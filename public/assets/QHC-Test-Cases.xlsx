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Summary" sheetId="1" r:id="rId4"/>
    <sheet state="visible" name="Login Functionality - US TC" sheetId="2" r:id="rId5"/>
    <sheet state="visible" name="Product Page - TC" sheetId="3" r:id="rId6"/>
    <sheet state="visible" name="Cart - TC" sheetId="4" r:id="rId7"/>
    <sheet state="visible" name="Checkout - TC" sheetId="5" r:id="rId8"/>
    <sheet state="visible" name="Defect Summary" sheetId="6" r:id="rId9"/>
    <sheet state="hidden" name="QA Tasks Effort" sheetId="7" r:id="rId10"/>
    <sheet state="hidden" name="Status Report" sheetId="8" r:id="rId11"/>
    <sheet state="hidden" name="Test Summary" sheetId="9" r:id="rId12"/>
    <sheet state="hidden" name="Requirements Traceability Matri" sheetId="10" r:id="rId13"/>
  </sheets>
  <externalReferences>
    <externalReference r:id="rId14"/>
    <externalReference r:id="rId15"/>
    <externalReference r:id="rId16"/>
  </externalReferences>
  <definedNames>
    <definedName hidden="1" localSheetId="4" name="_xlnm._FilterDatabase">'Checkout - TC'!$A$1:$K$596</definedName>
  </definedNames>
  <calcPr/>
  <extLst>
    <ext uri="GoogleSheetsCustomDataVersion2">
      <go:sheetsCustomData xmlns:go="http://customooxmlschemas.google.com/" r:id="rId17" roundtripDataChecksum="WxHWHaem8GUmZBCTJx08zQ3dQALiAnSM5vLJqTeBenI="/>
    </ext>
  </extLst>
</workbook>
</file>

<file path=xl/sharedStrings.xml><?xml version="1.0" encoding="utf-8"?>
<sst xmlns="http://schemas.openxmlformats.org/spreadsheetml/2006/main" count="21966" uniqueCount="3146">
  <si>
    <t xml:space="preserve"> </t>
  </si>
  <si>
    <t>SAUCEDEMO [RELEASE] Test Cases</t>
  </si>
  <si>
    <t>Date Modified:</t>
  </si>
  <si>
    <t>Author:</t>
  </si>
  <si>
    <t>Balansag, Escano, Ligon, Suico</t>
  </si>
  <si>
    <t>Description:</t>
  </si>
  <si>
    <t>A comprehensive test case index of the Saucedemo Swag Labs Website, a web application for shopping.</t>
  </si>
  <si>
    <t>Document Version:</t>
  </si>
  <si>
    <t>Approved By:</t>
  </si>
  <si>
    <t>Jerome Alvez</t>
  </si>
  <si>
    <t>Revision History</t>
  </si>
  <si>
    <t>Version</t>
  </si>
  <si>
    <t>Date of Modification</t>
  </si>
  <si>
    <t>Description of Revision</t>
  </si>
  <si>
    <t>Author</t>
  </si>
  <si>
    <t>Initial creation of test cases</t>
  </si>
  <si>
    <t>Revision/addition of test cases</t>
  </si>
  <si>
    <t>Final revision</t>
  </si>
  <si>
    <t>Case Number</t>
  </si>
  <si>
    <t>Feature Name</t>
  </si>
  <si>
    <t>Test Case/Scenario</t>
  </si>
  <si>
    <t>Pre-requisite</t>
  </si>
  <si>
    <t>Test Steps</t>
  </si>
  <si>
    <t>Expected Results</t>
  </si>
  <si>
    <t>Browsers</t>
  </si>
  <si>
    <t>Status</t>
  </si>
  <si>
    <t>Remarks</t>
  </si>
  <si>
    <t>Test Automation</t>
  </si>
  <si>
    <t>CHROME</t>
  </si>
  <si>
    <t>LF-001</t>
  </si>
  <si>
    <t>User Log-in</t>
  </si>
  <si>
    <t>Verify that the login page is displayed</t>
  </si>
  <si>
    <t>Browser is open and the SauceDemo login page (https://www.saucedemo.com/) is accessible.</t>
  </si>
  <si>
    <t>1. Launch the browser.
2. Navigate to the SauceDemo login page.</t>
  </si>
  <si>
    <t>The login page should be displayed with Username, Password, and Login button.</t>
  </si>
  <si>
    <t>Chrome</t>
  </si>
  <si>
    <t>Passed</t>
  </si>
  <si>
    <t>PASS</t>
  </si>
  <si>
    <t>LF-002</t>
  </si>
  <si>
    <t>User Log-in - Username Field</t>
  </si>
  <si>
    <t>Verify that the Username field accepts input.</t>
  </si>
  <si>
    <t>Navigate to the login page.</t>
  </si>
  <si>
    <t>1. Click the Username field. 
2. Type a sample username (e.g., standard_user).</t>
  </si>
  <si>
    <t>The entered username should appear in the Username field.</t>
  </si>
  <si>
    <t>LF-003</t>
  </si>
  <si>
    <t>User Log-in - Password Field</t>
  </si>
  <si>
    <t>Verify that the Password field masks the entered characters.</t>
  </si>
  <si>
    <t>1. Click the Password field. 
2. Type a sample password (e.g., secret_sauce).</t>
  </si>
  <si>
    <t>The password should be masked (displayed as dots or bullets).</t>
  </si>
  <si>
    <t>LF-004A</t>
  </si>
  <si>
    <t>Login Button - standard_user</t>
  </si>
  <si>
    <t>Verify if the Login button allows access using valid credentials.</t>
  </si>
  <si>
    <t>1. Open the login page.
2. Enter standard_user in the Username field.
3. Enter secret_sauce in the Password field.</t>
  </si>
  <si>
    <t>1. Click the Login button.</t>
  </si>
  <si>
    <t>The user should be redirected to the Products page.</t>
  </si>
  <si>
    <t>LF-004B</t>
  </si>
  <si>
    <t>Login Button - problem_user</t>
  </si>
  <si>
    <t>1. Open the login page.
2. Enter problem_user in the Username field.
3. Enter secret_sauce in the Password field.</t>
  </si>
  <si>
    <t>LF-004C</t>
  </si>
  <si>
    <t>Login Button - performance_glitch_user</t>
  </si>
  <si>
    <t>1. Open the login page.
2. Enter performance_glitch_user in the Username field.
3. Enter secret_sauce in the Password field.</t>
  </si>
  <si>
    <t>LF-004D</t>
  </si>
  <si>
    <t>Login Button - error_user</t>
  </si>
  <si>
    <t>1. Open the login page.
2. Enter error_user in the Username field.
3. Enter secret_sauce in the Password field.</t>
  </si>
  <si>
    <t>LF-004E</t>
  </si>
  <si>
    <t>Login Button - visual_user</t>
  </si>
  <si>
    <t>1. Open the login page.
2. Enter visual_user in the Username field.
3. Enter secret_sauce in the Password field.</t>
  </si>
  <si>
    <t>LF-004F</t>
  </si>
  <si>
    <t>Login Button - locked_out_user</t>
  </si>
  <si>
    <t>1. Open the login page.
2. Enter locked_out_user in the Username field.
3. Enter secret_sauce in the Password field.</t>
  </si>
  <si>
    <t>A message should notify the user that the account has been locked out.</t>
  </si>
  <si>
    <t>LF-005</t>
  </si>
  <si>
    <t>User Log-in - Invalid Username</t>
  </si>
  <si>
    <t>Verify if the system rejects an unregistered username.</t>
  </si>
  <si>
    <t xml:space="preserve">1. Enter an invalid username.
2. Enter secret_sauce in the Password field.
</t>
  </si>
  <si>
    <t>An error message should be displayed indicating that the username and password do not match any user.</t>
  </si>
  <si>
    <t>LF-006</t>
  </si>
  <si>
    <t>User Log-in - Invalid Password</t>
  </si>
  <si>
    <t>Verify if the system rejects an incorrect password.</t>
  </si>
  <si>
    <t xml:space="preserve">1. Enter valid username in the Username field.
2. Enter an incorrect password.
</t>
  </si>
  <si>
    <t>LF-007</t>
  </si>
  <si>
    <t>User Log-in - Empty Username</t>
  </si>
  <si>
    <t>Verify if the Username field is required before logging in.</t>
  </si>
  <si>
    <t>1. Leave the Username field blank.
2. Enter secret_sauce in the Password field.</t>
  </si>
  <si>
    <t>A validation message should indicate that the Username is required.</t>
  </si>
  <si>
    <t>LF-008</t>
  </si>
  <si>
    <t>User Log-in - Empty Password</t>
  </si>
  <si>
    <t>Verify if the Password field is required before logging in.</t>
  </si>
  <si>
    <t>1. Enter valid username in the Username field.
2. Leave the Password field blank.</t>
  </si>
  <si>
    <t>A validation message should indicate that the Password is required.</t>
  </si>
  <si>
    <t>LF-009</t>
  </si>
  <si>
    <t>User Log-in - Empty Credentials</t>
  </si>
  <si>
    <t>Verify if the system prevents login when both input fields are empty.</t>
  </si>
  <si>
    <t xml:space="preserve">1. Leave both the Username and Password fields empty.
</t>
  </si>
  <si>
    <t>LF-010</t>
  </si>
  <si>
    <t>User Log-in - Keyboard Input</t>
  </si>
  <si>
    <t>Verify if pressing the Enter key submits the login form.</t>
  </si>
  <si>
    <t>1. Open the login page.
2. Enter valid credentials.</t>
  </si>
  <si>
    <t>1. Press the Enter key.</t>
  </si>
  <si>
    <t>The login request should be submitted and the user should be redirected to the Products page.</t>
  </si>
  <si>
    <t>LF-011</t>
  </si>
  <si>
    <t>User Log-in - Login Error Message</t>
  </si>
  <si>
    <t>Verify if an error message is displayed after a failed login attempt.</t>
  </si>
  <si>
    <t>Enter invalid login credentials.</t>
  </si>
  <si>
    <t>An appropriate login error message should be displayed on the login page indicating that the username and password do not match any user.</t>
  </si>
  <si>
    <t>LF-012</t>
  </si>
  <si>
    <t>User Login – Session Timeout</t>
  </si>
  <si>
    <t>Verify session timeout after 10 minutes of inactivity</t>
  </si>
  <si>
    <t>1. Log in using valid credentials.
2. Remain inactive for 10 minutes.</t>
  </si>
  <si>
    <t>1. Wait for 10 minutes without performing any action.
2. Observe the system behavior.</t>
  </si>
  <si>
    <t>The user's session should automatically expire after 10 minutes of inactivity. The login page should be displayed with a session timeout message (e.g., "Your session has expired due to inactivity. Please log in again.").</t>
  </si>
  <si>
    <t>Failed</t>
  </si>
  <si>
    <t>SauceDemo has no session timeout feature. Even after 10 minutes of inactivity, the user remains logged in. This is expected behavior for the demo site.</t>
  </si>
  <si>
    <t>FAIL</t>
  </si>
  <si>
    <t>LF-013</t>
  </si>
  <si>
    <t>User Log-in – Username White Space Validation</t>
  </si>
  <si>
    <t>Verify if the system rejects usernames with leading or trailing white spaces.</t>
  </si>
  <si>
    <t>1. Enter a username with leading or trailing spaces.
2. Enter secret_sauce in the Password password.</t>
  </si>
  <si>
    <t>The system does not trim whitespace; login should fail and display the generic invalid-credentials error.</t>
  </si>
  <si>
    <t>LF-014</t>
  </si>
  <si>
    <t>User Log-in – Username Case Sensitivity</t>
  </si>
  <si>
    <t>Verify if the Username field is case-sensitive.</t>
  </si>
  <si>
    <t>1. Enter a valid username with altered casing (e.g., Standard_User). 
2. Enter secret_sauce in the Password field. 
3. Click the Login button.</t>
  </si>
  <si>
    <t>The system should reject the login attempt if the username does not exactly match the case-sensitive stored value, and display an appropriate error message.</t>
  </si>
  <si>
    <t>LF-015</t>
  </si>
  <si>
    <t xml:space="preserve"> User Log-in – Username Field Character Length Limit</t>
  </si>
  <si>
    <t>Verify if the Username field enforces a maximum character length.
Pre-requisite: Navigate to the login page.</t>
  </si>
  <si>
    <t>1. Enter an excessively long string (e.g., 100+ characters) in the Username field. 
2. Enter secret_sauce in the Password field. 
3. Click the Login button.</t>
  </si>
  <si>
    <t>The system should handle long input gracefully, either by truncating, rejecting, or displaying an appropriate error message without crashing or breaking the layout.</t>
  </si>
  <si>
    <t>The Username field accepts very long input with no character limit. Login fails only because the username is invalid, not because of its length.</t>
  </si>
  <si>
    <t>User Log-in – Password Special Character Support</t>
  </si>
  <si>
    <t>Verify if the password field accepts special characters as input.</t>
  </si>
  <si>
    <t>1. Enter a valid username.
2. Enter a password containing special characters.</t>
  </si>
  <si>
    <t>The password field should accept special characters as input. If the credentials are invalid, an authentication error should be displayed instead of an input validation error.</t>
  </si>
  <si>
    <t>LF-016</t>
  </si>
  <si>
    <t>User Log-in – Password White Space Validation</t>
  </si>
  <si>
    <t>Verify if the system handles passwords with leading or trailing white spaces correctly.</t>
  </si>
  <si>
    <t>1. Enter a valid username.
2. Enter a password with leading or trailing white spaces.</t>
  </si>
  <si>
    <t>LF-017</t>
  </si>
  <si>
    <t>User Log-in – Password Field Length Validation</t>
  </si>
  <si>
    <t>Verify if the password field accepts a minimum of 8 characters and a maximum of 16 characters.</t>
  </si>
  <si>
    <t>1. Open the login page.
2. Enter a valid username.
3. Enter a password with fewer than 8 characters or more than 16 characters.</t>
  </si>
  <si>
    <t>The system does not validate password length; login should fail with the generic invalid-credentials error regardless of password length.</t>
  </si>
  <si>
    <t>SauceDemo does not validate password length. Short passwords are accepted, and login fails only with the generic invalid credentials message.</t>
  </si>
  <si>
    <t>LF-018</t>
  </si>
  <si>
    <t>User Log-in – Logo Refresh</t>
  </si>
  <si>
    <t>Verify if clicking the system logo refreshes the login page.</t>
  </si>
  <si>
    <t>1. Open the login page.
2. Enter any value in the Username and Password fields.</t>
  </si>
  <si>
    <t>1. Click the system logo.</t>
  </si>
  <si>
    <t>The login page should refresh while remaining on the login page.</t>
  </si>
  <si>
    <t>Clicking the SauceDemo logo does nothing. The page does not refresh, and the entered Username and Password remain unchanged.</t>
  </si>
  <si>
    <t>LOG OUT</t>
  </si>
  <si>
    <t>LF-019</t>
  </si>
  <si>
    <t>User Log-out - Logout Option</t>
  </si>
  <si>
    <t>Verify if the log-out option is available after logging in.</t>
  </si>
  <si>
    <t>User is logged in.</t>
  </si>
  <si>
    <t>1. Open the side menu.</t>
  </si>
  <si>
    <t>The Logout option should be displayed in the menu.</t>
  </si>
  <si>
    <t>LF-020</t>
  </si>
  <si>
    <t>User Log-out – Successful Logout</t>
  </si>
  <si>
    <t>Verify if the Logout button successfully signs out the user.</t>
  </si>
  <si>
    <t>1. Click the Logout button.</t>
  </si>
  <si>
    <t>The user must be redirected to the login page.</t>
  </si>
  <si>
    <t>LF-021</t>
  </si>
  <si>
    <t>User Log-out – Protected Page Access</t>
  </si>
  <si>
    <t>Verify if the user is prevented from accessing protected pages after logging out.</t>
  </si>
  <si>
    <t>User has logged out.</t>
  </si>
  <si>
    <t>1. Attempt to access a previously visited Products page.</t>
  </si>
  <si>
    <t>The user must be redirected to the login page and should not be able to access protected pages.</t>
  </si>
  <si>
    <t>LF-022</t>
  </si>
  <si>
    <t>User Log-out – Browser Back Button</t>
  </si>
  <si>
    <t>Verify if using the browser's Back button does not restore the previous authenticated session.</t>
  </si>
  <si>
    <t>1. Click the browser's Back button.</t>
  </si>
  <si>
    <t>The user must remain logged out and should not regain access to the Products page.</t>
  </si>
  <si>
    <t>LF-023</t>
  </si>
  <si>
    <t>Logged-out Page - Login Screen</t>
  </si>
  <si>
    <t>Verify if the login page is displayed after a successful logout.</t>
  </si>
  <si>
    <t>The login page must be displayed with the Username field, Password field, and Login button.</t>
  </si>
  <si>
    <t>LF-024</t>
  </si>
  <si>
    <t>User Log-out – Browser Refresh</t>
  </si>
  <si>
    <t>Verify if refreshing the browser after logging out does not restore the previous authenticated session.</t>
  </si>
  <si>
    <t>1. Refresh the browser.</t>
  </si>
  <si>
    <t>The user should remain logged out and the login page should continue to be displayed.</t>
  </si>
  <si>
    <t>LF-025</t>
  </si>
  <si>
    <t>User Log-out – Direct URL Access</t>
  </si>
  <si>
    <t>Verify if protected pages cannot be accessed by manually entering their URL after logging out.</t>
  </si>
  <si>
    <t>1. Enter the URL of a protected page in the browser's address bar.</t>
  </si>
  <si>
    <t>The system prevents access to the protected page and keeps the user on the login page</t>
  </si>
  <si>
    <t>EDGE</t>
  </si>
  <si>
    <t>Edge</t>
  </si>
  <si>
    <t>OPERA GX</t>
  </si>
  <si>
    <t>Opera</t>
  </si>
  <si>
    <t>FIREFOX</t>
  </si>
  <si>
    <t>Firefox</t>
  </si>
  <si>
    <t>Account</t>
  </si>
  <si>
    <t>standard_user</t>
  </si>
  <si>
    <t>PP- 001</t>
  </si>
  <si>
    <t>Products Page</t>
  </si>
  <si>
    <t>Verify that the products page is displayed</t>
  </si>
  <si>
    <t>1. user  must be logged in
2. navigate to products list</t>
  </si>
  <si>
    <t>1. Navigate to Products List</t>
  </si>
  <si>
    <t>Display products list, "Cart" button, and filter button</t>
  </si>
  <si>
    <t>PP- 002</t>
  </si>
  <si>
    <t>Product Name</t>
  </si>
  <si>
    <t>Verify if the Product Name is displayed correctly</t>
  </si>
  <si>
    <t>Display Product name matching the actual product</t>
  </si>
  <si>
    <t>Product name defect on T-Shirt (Red)</t>
  </si>
  <si>
    <t>PP- 003</t>
  </si>
  <si>
    <t>Product Name - Redirect</t>
  </si>
  <si>
    <t>Verify if the user can click on the product name</t>
  </si>
  <si>
    <t>1. user must be logged in
2. navigate to Product List</t>
  </si>
  <si>
    <t>1. Click on the product name</t>
  </si>
  <si>
    <t>Display product information such as product image, product description, price, and Add to Cart button</t>
  </si>
  <si>
    <t>PP- 004</t>
  </si>
  <si>
    <t>Product Description</t>
  </si>
  <si>
    <t xml:space="preserve">1. user must be logged in
2. navigate to Product List
</t>
  </si>
  <si>
    <t>Display product description, price, and "Add to cart" button</t>
  </si>
  <si>
    <t>Description defect on Sauce Labs Backpack</t>
  </si>
  <si>
    <t>PP- 005</t>
  </si>
  <si>
    <t>Product Description - Price</t>
  </si>
  <si>
    <t>Verify if the user can see the product price</t>
  </si>
  <si>
    <t>Display the product price next to "Add to cart" button</t>
  </si>
  <si>
    <t>PP- 006</t>
  </si>
  <si>
    <t>Product Description - Add to cart (Add)</t>
  </si>
  <si>
    <t xml:space="preserve">Verify if the user can click the "Add to cart" button </t>
  </si>
  <si>
    <t>1. Click on the "Add to cart" button</t>
  </si>
  <si>
    <t>Add selected product to cart and changes button into "Remove" button</t>
  </si>
  <si>
    <t>PP- 007</t>
  </si>
  <si>
    <t>Product Description - Add to cart (Remove)</t>
  </si>
  <si>
    <t xml:space="preserve">Verify if the user can click the "Remove" button </t>
  </si>
  <si>
    <t>1. Click on the "Remove" button</t>
  </si>
  <si>
    <t>Remove selected product to cart and changes button into "Add to cart" button</t>
  </si>
  <si>
    <t>PP- 008</t>
  </si>
  <si>
    <t>Product Description - Back to products</t>
  </si>
  <si>
    <t xml:space="preserve">Veify if the user can click "Back to products" button </t>
  </si>
  <si>
    <t xml:space="preserve">1. user must be logged in
2. navigate to Product List
3. click on the product name
</t>
  </si>
  <si>
    <t>1. Click on "Back to products" button</t>
  </si>
  <si>
    <t>Redirect back to the Products Page</t>
  </si>
  <si>
    <t>PP- 009</t>
  </si>
  <si>
    <t xml:space="preserve">Product Image </t>
  </si>
  <si>
    <t>Verify if the user can see Product Image</t>
  </si>
  <si>
    <t xml:space="preserve">1. user must be logged in
2. navigate to Product List
</t>
  </si>
  <si>
    <t>Display Product image matching the correct product</t>
  </si>
  <si>
    <t>PP- 010</t>
  </si>
  <si>
    <t>Product Price</t>
  </si>
  <si>
    <t>Verify if the user can see Product Price</t>
  </si>
  <si>
    <t>Display Product Price matching the correct product</t>
  </si>
  <si>
    <t>PP- 011</t>
  </si>
  <si>
    <t xml:space="preserve"> Add to cart - Add</t>
  </si>
  <si>
    <t>PP- 012</t>
  </si>
  <si>
    <t xml:space="preserve"> Add to cart - Remove</t>
  </si>
  <si>
    <t>PP- 013</t>
  </si>
  <si>
    <t>Product Filter -  Name (A to Z)</t>
  </si>
  <si>
    <t>Verify if user can filter products A to Z in ascending order</t>
  </si>
  <si>
    <t>1. Click on the filter button
2. Select "Name (A to Z)" in the dropdown</t>
  </si>
  <si>
    <t>Display products A - Z in ascending order</t>
  </si>
  <si>
    <t>PP- 014</t>
  </si>
  <si>
    <t>Product Filter -  Name (Z to A)</t>
  </si>
  <si>
    <t>Verify if user can filter products A to Z in descending order</t>
  </si>
  <si>
    <t>1. Click on the filter button
2. Select "Name (Z to A)" in the dropdown</t>
  </si>
  <si>
    <t>Display products A - Z in descending order</t>
  </si>
  <si>
    <t>PP- 015</t>
  </si>
  <si>
    <t>Product Filter -  Price (low to high)</t>
  </si>
  <si>
    <t>Verify if user can filter products by price in ascending order</t>
  </si>
  <si>
    <t>1. Click on the filter button
2. Select "Price (low to high)" in the dropdown</t>
  </si>
  <si>
    <t>Display products by price in ascending order</t>
  </si>
  <si>
    <t>PP- 016</t>
  </si>
  <si>
    <t>Verify if user can filter products by price in descending order</t>
  </si>
  <si>
    <t>1. Click on the filter button
2. Select "Price (high to low)" in the dropdown</t>
  </si>
  <si>
    <t>Display products by price in descending order</t>
  </si>
  <si>
    <t>PP- 020</t>
  </si>
  <si>
    <t>Product Filter - Sort Persistence</t>
  </si>
  <si>
    <t>Verify whether selected sort/filter option persists or resets after page refresh</t>
  </si>
  <si>
    <t>1. user must be logged in
 2. navigate to products list
 3. select a non-default sort option (e.g. "Price (low to high)")</t>
  </si>
  <si>
    <t>1. Refresh the Products Page (F5)</t>
  </si>
  <si>
    <t xml:space="preserve">Display resets to default sorting. </t>
  </si>
  <si>
    <t>PP- 017</t>
  </si>
  <si>
    <t>Cart</t>
  </si>
  <si>
    <t>Verify if the user can click the "Cart" button</t>
  </si>
  <si>
    <t>1. Click on the "Cart" button</t>
  </si>
  <si>
    <t>Redirect to cart page</t>
  </si>
  <si>
    <t>PP- 018</t>
  </si>
  <si>
    <t>Cart - Badge Count</t>
  </si>
  <si>
    <t>Verify cart badge count updates correctly when adding multiple products</t>
  </si>
  <si>
    <t>1. user must be logged in
 2. navigate to products list</t>
  </si>
  <si>
    <t>1. Add 3 different products to cart via "Add to cart" buttons
 2. Observe cart icon badge</t>
  </si>
  <si>
    <t>Cart badge displays "3", matching the number of items added</t>
  </si>
  <si>
    <t>PP- 019</t>
  </si>
  <si>
    <t>Cart Persistence - Refresh</t>
  </si>
  <si>
    <t>Verify cart contents/badge persist after refreshing Products Page</t>
  </si>
  <si>
    <t>1. user must be logged in
 2. navigate to products list
 3. add at least 1 product to cart</t>
  </si>
  <si>
    <t>Cart badge count and "Remove" button state remain unchanged after refresh</t>
  </si>
  <si>
    <t>PP- 021</t>
  </si>
  <si>
    <t>Product Count</t>
  </si>
  <si>
    <t>Verify the exact number of products displayed on the Products Page</t>
  </si>
  <si>
    <t>1. Navigate to Products List
 2. Count the number of product tiles displayed</t>
  </si>
  <si>
    <t>Exactly 6 products are displayed, with no duplicates or missing items</t>
  </si>
  <si>
    <t>PP- 022</t>
  </si>
  <si>
    <t>Browser Navigation</t>
  </si>
  <si>
    <t>Verify browser Back button behavior after viewing a product detail page</t>
  </si>
  <si>
    <t>1. user must be logged in
 2. navigate to products list
 3. click on a product name</t>
  </si>
  <si>
    <t>1. Click the browser's Back button</t>
  </si>
  <si>
    <t>User is returned to the Products Page with the product list intact (not an error page or blank state)</t>
  </si>
  <si>
    <t>PP- 023</t>
  </si>
  <si>
    <t>Responsive Layout</t>
  </si>
  <si>
    <t>Verify Products Page layout on a mobile/small viewport</t>
  </si>
  <si>
    <t>1. Resize browser to mobile viewport (e.g. 375x667) or open on a mobile device
 2. Observe layout of product grid, cart icon, and filter button</t>
  </si>
  <si>
    <t>Page layout adapts correctly with no overlapping elements, cut-off text, or broken buttons</t>
  </si>
  <si>
    <t>PP- 024</t>
  </si>
  <si>
    <t>Logout</t>
  </si>
  <si>
    <t>Verify user can log out from the Products Page</t>
  </si>
  <si>
    <t>1. Open the side/burger menu
 2. Click "Logout"</t>
  </si>
  <si>
    <t>User is logged out and redirected to the Login Page; subsequent direct access to Products Page redirects to Login</t>
  </si>
  <si>
    <t>PP- 025</t>
  </si>
  <si>
    <t>Session Handling</t>
  </si>
  <si>
    <t>Verify behavior when session/token expires while on Products Page</t>
  </si>
  <si>
    <t>1. User is logged in and viewing Products List
 2. Session is manually expired/invalidated</t>
  </si>
  <si>
    <t>1. Wait for session to expire (or invalidate session)
 2. Attempt to interact with the page (e.g. click Add to Cart)</t>
  </si>
  <si>
    <t>User is logged out and redirected to Login Page, or is prompted to log in again</t>
  </si>
  <si>
    <t>locked_out_user</t>
  </si>
  <si>
    <t>PP- 026</t>
  </si>
  <si>
    <t>User did not meet the login prerequisite; account is locked out</t>
  </si>
  <si>
    <t>problem_user</t>
  </si>
  <si>
    <t>PP- 027</t>
  </si>
  <si>
    <t>PP- 028</t>
  </si>
  <si>
    <t>PP- 029</t>
  </si>
  <si>
    <t>Clicking the product name redirects to a different product</t>
  </si>
  <si>
    <t>PP- 030</t>
  </si>
  <si>
    <t>PP- 031</t>
  </si>
  <si>
    <t>PP- 032</t>
  </si>
  <si>
    <t>Inconsistent behavior — some products cannot be added to the cart</t>
  </si>
  <si>
    <t>PP- 033</t>
  </si>
  <si>
    <t>Add to cart button is unresponsive</t>
  </si>
  <si>
    <t>PP- 034</t>
  </si>
  <si>
    <t>PP- 035</t>
  </si>
  <si>
    <t>Incorrect product image displayed; shows a dog instead of the product</t>
  </si>
  <si>
    <t>PP- 036</t>
  </si>
  <si>
    <t>PP- 037</t>
  </si>
  <si>
    <t>PP- 038</t>
  </si>
  <si>
    <t>PP- 039</t>
  </si>
  <si>
    <t>Passed, but the result reflects the default sort order rather than the applied filter; needs re-verification</t>
  </si>
  <si>
    <t>PP- 040</t>
  </si>
  <si>
    <t>Filter/sort option is unresponsive</t>
  </si>
  <si>
    <t>PP- 041</t>
  </si>
  <si>
    <t xml:space="preserve">Failed </t>
  </si>
  <si>
    <t>PP- 042</t>
  </si>
  <si>
    <t>PP- 043</t>
  </si>
  <si>
    <t>PP- 044</t>
  </si>
  <si>
    <t>PP- 045</t>
  </si>
  <si>
    <t>PP- 046</t>
  </si>
  <si>
    <t>PP- 047</t>
  </si>
  <si>
    <t>PP- 048</t>
  </si>
  <si>
    <t>PP- 049</t>
  </si>
  <si>
    <t>PP- 050</t>
  </si>
  <si>
    <t>PP- 051</t>
  </si>
  <si>
    <t>performance_glitch_user</t>
  </si>
  <si>
    <t>PP- 052</t>
  </si>
  <si>
    <t>Noticeable lag/delay in response</t>
  </si>
  <si>
    <t>PP- 053</t>
  </si>
  <si>
    <t>PP- 054</t>
  </si>
  <si>
    <t>PP- 055</t>
  </si>
  <si>
    <t>PP- 056</t>
  </si>
  <si>
    <t>PP- 057</t>
  </si>
  <si>
    <t>PP- 058</t>
  </si>
  <si>
    <t>PP- 059</t>
  </si>
  <si>
    <t>PP- 060</t>
  </si>
  <si>
    <t>PP- 061</t>
  </si>
  <si>
    <t>PP- 062</t>
  </si>
  <si>
    <t>PP- 063</t>
  </si>
  <si>
    <t>PP- 064</t>
  </si>
  <si>
    <t>PP- 065</t>
  </si>
  <si>
    <t>PP- 066</t>
  </si>
  <si>
    <t>PP- 067</t>
  </si>
  <si>
    <t>PP- 068</t>
  </si>
  <si>
    <t>PP- 069</t>
  </si>
  <si>
    <t>PP- 070</t>
  </si>
  <si>
    <t>PP- 071</t>
  </si>
  <si>
    <t>PP- 072</t>
  </si>
  <si>
    <t>PP- 073</t>
  </si>
  <si>
    <t>Performance degradation observed</t>
  </si>
  <si>
    <t>PP- 074</t>
  </si>
  <si>
    <t>PP- 075</t>
  </si>
  <si>
    <t>PP- 076</t>
  </si>
  <si>
    <t>error_user</t>
  </si>
  <si>
    <t>PP- 077</t>
  </si>
  <si>
    <t>PP- 078</t>
  </si>
  <si>
    <t>Product names mismatch</t>
  </si>
  <si>
    <t>PP- 079</t>
  </si>
  <si>
    <t>PP- 080</t>
  </si>
  <si>
    <t>Unexpected error message displayed</t>
  </si>
  <si>
    <t>PP- 081</t>
  </si>
  <si>
    <t>PP- 082</t>
  </si>
  <si>
    <t>Inconsistent behavior — some products cannot be added to the cart; no error message shown</t>
  </si>
  <si>
    <t>PP- 083</t>
  </si>
  <si>
    <t>Add to cart button is unresponsive; no error message shown</t>
  </si>
  <si>
    <t>PP- 084</t>
  </si>
  <si>
    <t>PP- 085</t>
  </si>
  <si>
    <t>PP- 086</t>
  </si>
  <si>
    <t>PP- 087</t>
  </si>
  <si>
    <t>PP- 088</t>
  </si>
  <si>
    <t>PP- 089</t>
  </si>
  <si>
    <t>PP- 090</t>
  </si>
  <si>
    <t>PP- 091</t>
  </si>
  <si>
    <t>PP- 092</t>
  </si>
  <si>
    <t>PP- 093</t>
  </si>
  <si>
    <t>PP- 094</t>
  </si>
  <si>
    <t>PP- 095</t>
  </si>
  <si>
    <t>PP- 096</t>
  </si>
  <si>
    <t>PP- 097</t>
  </si>
  <si>
    <t>PP- 098</t>
  </si>
  <si>
    <t>PP- 099</t>
  </si>
  <si>
    <t>PP- 100</t>
  </si>
  <si>
    <t>PP- 101</t>
  </si>
  <si>
    <t>visual_user</t>
  </si>
  <si>
    <t>PP- 102</t>
  </si>
  <si>
    <t>Display Products List, "Cart" button, and Filter button</t>
  </si>
  <si>
    <t>PP- 103</t>
  </si>
  <si>
    <t>Two product names are right-aligned instead of left-aligned</t>
  </si>
  <si>
    <t>PP- 104</t>
  </si>
  <si>
    <t>PP- 105</t>
  </si>
  <si>
    <t>Verify if the user can see the product description</t>
  </si>
  <si>
    <t>Same defect as previous test case</t>
  </si>
  <si>
    <t>PP- 106</t>
  </si>
  <si>
    <t>PP- 107</t>
  </si>
  <si>
    <t>PP- 108</t>
  </si>
  <si>
    <t>PP- 109</t>
  </si>
  <si>
    <t>PP- 110</t>
  </si>
  <si>
    <t>Placeholder image of a dog displayed in place of the first product's image</t>
  </si>
  <si>
    <t>PP- 111</t>
  </si>
  <si>
    <t>Displayed price changes unexpectedly on each page load</t>
  </si>
  <si>
    <t>PP- 112</t>
  </si>
  <si>
    <t xml:space="preserve"> Add to cart - Display</t>
  </si>
  <si>
    <t>Verify if the "Add to cart" button is displayed correctly</t>
  </si>
  <si>
    <t>"Add to cart" button is displayed correctly</t>
  </si>
  <si>
    <t>Add to cart button overflows outside its container</t>
  </si>
  <si>
    <t>PP- 113</t>
  </si>
  <si>
    <t>PP- 114</t>
  </si>
  <si>
    <t>PP- 115</t>
  </si>
  <si>
    <t>PP- 116</t>
  </si>
  <si>
    <t>PP- 117</t>
  </si>
  <si>
    <t>Displayed prices change unexpectedly each time the sort is reapplied</t>
  </si>
  <si>
    <t>PP- 118</t>
  </si>
  <si>
    <t>PP- 119</t>
  </si>
  <si>
    <t>PP- 120</t>
  </si>
  <si>
    <t>Cart -  Display</t>
  </si>
  <si>
    <t>Verify if the user can see the "Cart" button</t>
  </si>
  <si>
    <t>Display cart button correctly</t>
  </si>
  <si>
    <t>Element is misaligned</t>
  </si>
  <si>
    <t>PP- 121</t>
  </si>
  <si>
    <t>PP- 122</t>
  </si>
  <si>
    <t>Side Bar Button</t>
  </si>
  <si>
    <t>Verify if the "Burger" button is displayed correctly</t>
  </si>
  <si>
    <t>Burger Button is correctly displayed</t>
  </si>
  <si>
    <t>Icon/button is rendered at an angle instead of straight</t>
  </si>
  <si>
    <t>PP- 123</t>
  </si>
  <si>
    <t>PP- 124</t>
  </si>
  <si>
    <t>PP- 125</t>
  </si>
  <si>
    <t>PP- 126</t>
  </si>
  <si>
    <t>PP- 127</t>
  </si>
  <si>
    <t>Button elements overlap and overflow at different aspect ratios</t>
  </si>
  <si>
    <t>PP- 128</t>
  </si>
  <si>
    <t>PP- 129</t>
  </si>
  <si>
    <t>PP- 130</t>
  </si>
  <si>
    <t>PP- 131</t>
  </si>
  <si>
    <t>PP- 132</t>
  </si>
  <si>
    <t>PP- 133</t>
  </si>
  <si>
    <t>PP- 134</t>
  </si>
  <si>
    <t>PP- 135</t>
  </si>
  <si>
    <t>PP- 136</t>
  </si>
  <si>
    <t>PP- 137</t>
  </si>
  <si>
    <t>PP- 138</t>
  </si>
  <si>
    <t>PP- 139</t>
  </si>
  <si>
    <t>PP- 140</t>
  </si>
  <si>
    <t>PP- 141</t>
  </si>
  <si>
    <t>PP- 142</t>
  </si>
  <si>
    <t>PP- 143</t>
  </si>
  <si>
    <t>PP- 144</t>
  </si>
  <si>
    <t>PP- 145</t>
  </si>
  <si>
    <t>PP- 146</t>
  </si>
  <si>
    <t>PP- 147</t>
  </si>
  <si>
    <t>PP- 148</t>
  </si>
  <si>
    <t>PP- 149</t>
  </si>
  <si>
    <t>PP- 150</t>
  </si>
  <si>
    <t>PP- 151</t>
  </si>
  <si>
    <t>PP- 152</t>
  </si>
  <si>
    <t>PP- 153</t>
  </si>
  <si>
    <t>PP- 154</t>
  </si>
  <si>
    <t>PP- 155</t>
  </si>
  <si>
    <t>PP- 156</t>
  </si>
  <si>
    <t>PP- 157</t>
  </si>
  <si>
    <t>PP- 158</t>
  </si>
  <si>
    <t>PP- 159</t>
  </si>
  <si>
    <t>PP- 160</t>
  </si>
  <si>
    <t>PP- 161</t>
  </si>
  <si>
    <t>PP- 162</t>
  </si>
  <si>
    <t>PP- 163</t>
  </si>
  <si>
    <t>PP- 164</t>
  </si>
  <si>
    <t>PP- 165</t>
  </si>
  <si>
    <t>PP- 166</t>
  </si>
  <si>
    <t>PP- 167</t>
  </si>
  <si>
    <t>PP- 168</t>
  </si>
  <si>
    <t>PP- 169</t>
  </si>
  <si>
    <t>PP- 170</t>
  </si>
  <si>
    <t>PP- 171</t>
  </si>
  <si>
    <t>PP- 172</t>
  </si>
  <si>
    <t>PP- 173</t>
  </si>
  <si>
    <t>PP- 174</t>
  </si>
  <si>
    <t>PP- 175</t>
  </si>
  <si>
    <t>PP- 176</t>
  </si>
  <si>
    <t>PP- 177</t>
  </si>
  <si>
    <t>PP- 178</t>
  </si>
  <si>
    <t>PP- 179</t>
  </si>
  <si>
    <t>PP- 180</t>
  </si>
  <si>
    <t>PP- 181</t>
  </si>
  <si>
    <t>PP- 182</t>
  </si>
  <si>
    <t>PP- 183</t>
  </si>
  <si>
    <t>PP- 184</t>
  </si>
  <si>
    <t>PP- 185</t>
  </si>
  <si>
    <t>PP- 186</t>
  </si>
  <si>
    <t>PP- 187</t>
  </si>
  <si>
    <t>PP- 188</t>
  </si>
  <si>
    <t>PP- 189</t>
  </si>
  <si>
    <t>PP- 190</t>
  </si>
  <si>
    <t>PP- 191</t>
  </si>
  <si>
    <t>PP- 192</t>
  </si>
  <si>
    <t>PP- 193</t>
  </si>
  <si>
    <t>PP- 194</t>
  </si>
  <si>
    <t>PP- 195</t>
  </si>
  <si>
    <t>PP- 196</t>
  </si>
  <si>
    <t>PP- 197</t>
  </si>
  <si>
    <t>PP- 198</t>
  </si>
  <si>
    <t>PP- 199</t>
  </si>
  <si>
    <t>PP- 200</t>
  </si>
  <si>
    <t>PP- 201</t>
  </si>
  <si>
    <t>PP- 202</t>
  </si>
  <si>
    <t>PP- 203</t>
  </si>
  <si>
    <t>PP- 204</t>
  </si>
  <si>
    <t>PP- 205</t>
  </si>
  <si>
    <t>PP- 206</t>
  </si>
  <si>
    <t>PP- 207</t>
  </si>
  <si>
    <t>PP- 208</t>
  </si>
  <si>
    <t>PP- 209</t>
  </si>
  <si>
    <t>PP- 210</t>
  </si>
  <si>
    <t>PP- 211</t>
  </si>
  <si>
    <t>PP- 212</t>
  </si>
  <si>
    <t>PP- 213</t>
  </si>
  <si>
    <t>PP- 214</t>
  </si>
  <si>
    <t>PP- 215</t>
  </si>
  <si>
    <t>PP- 216</t>
  </si>
  <si>
    <t>PP- 217</t>
  </si>
  <si>
    <t>PP- 218</t>
  </si>
  <si>
    <t>PP- 219</t>
  </si>
  <si>
    <t>PP- 220</t>
  </si>
  <si>
    <t>PP- 221</t>
  </si>
  <si>
    <t>PP- 222</t>
  </si>
  <si>
    <t>PP- 223</t>
  </si>
  <si>
    <t>PP- 224</t>
  </si>
  <si>
    <t>PP- 225</t>
  </si>
  <si>
    <t>PP- 226</t>
  </si>
  <si>
    <t>PP- 227</t>
  </si>
  <si>
    <t>PP- 228</t>
  </si>
  <si>
    <t>PP- 229</t>
  </si>
  <si>
    <t>PP- 230</t>
  </si>
  <si>
    <t>PP- 231</t>
  </si>
  <si>
    <t>PP- 232</t>
  </si>
  <si>
    <t>PP- 233</t>
  </si>
  <si>
    <t>PP- 234</t>
  </si>
  <si>
    <t>PP- 235</t>
  </si>
  <si>
    <t>PP- 236</t>
  </si>
  <si>
    <t>PP- 237</t>
  </si>
  <si>
    <t>PP- 238</t>
  </si>
  <si>
    <t>PP- 239</t>
  </si>
  <si>
    <t>PP- 240</t>
  </si>
  <si>
    <t>PP- 241</t>
  </si>
  <si>
    <t>PP- 242</t>
  </si>
  <si>
    <t>PP- 243</t>
  </si>
  <si>
    <t>PP- 244</t>
  </si>
  <si>
    <t>PP- 245</t>
  </si>
  <si>
    <t>PP- 246</t>
  </si>
  <si>
    <t>PP- 247</t>
  </si>
  <si>
    <t>PP- 248</t>
  </si>
  <si>
    <t>PP- 249</t>
  </si>
  <si>
    <t>PP- 250</t>
  </si>
  <si>
    <t>PP- 251</t>
  </si>
  <si>
    <t>PP- 252</t>
  </si>
  <si>
    <t>PP- 253</t>
  </si>
  <si>
    <t>PP- 254</t>
  </si>
  <si>
    <t>PP- 255</t>
  </si>
  <si>
    <t>PP- 256</t>
  </si>
  <si>
    <t>PP- 257</t>
  </si>
  <si>
    <t>PP- 258</t>
  </si>
  <si>
    <t>PP- 259</t>
  </si>
  <si>
    <t>PP- 260</t>
  </si>
  <si>
    <t>PP- 261</t>
  </si>
  <si>
    <t>PP- 262</t>
  </si>
  <si>
    <t>PP- 263</t>
  </si>
  <si>
    <t>PP- 264</t>
  </si>
  <si>
    <t>PP- 265</t>
  </si>
  <si>
    <t>PP- 266</t>
  </si>
  <si>
    <t>PP- 267</t>
  </si>
  <si>
    <t>PP- 268</t>
  </si>
  <si>
    <t>PP- 269</t>
  </si>
  <si>
    <t>PP- 270</t>
  </si>
  <si>
    <t>PP- 271</t>
  </si>
  <si>
    <t>PP- 272</t>
  </si>
  <si>
    <t>PP- 273</t>
  </si>
  <si>
    <t>PP- 274</t>
  </si>
  <si>
    <t>PP- 275</t>
  </si>
  <si>
    <t>PP- 276</t>
  </si>
  <si>
    <t>PP- 277</t>
  </si>
  <si>
    <t>PP- 278</t>
  </si>
  <si>
    <t>PP- 279</t>
  </si>
  <si>
    <t>PP- 280</t>
  </si>
  <si>
    <t>PP- 281</t>
  </si>
  <si>
    <t>PP- 282</t>
  </si>
  <si>
    <t>PP- 283</t>
  </si>
  <si>
    <t>PP- 284</t>
  </si>
  <si>
    <t>PP- 285</t>
  </si>
  <si>
    <t>PP- 286</t>
  </si>
  <si>
    <t>PP- 287</t>
  </si>
  <si>
    <t>PP- 288</t>
  </si>
  <si>
    <t>PP- 289</t>
  </si>
  <si>
    <t>PP- 290</t>
  </si>
  <si>
    <t>PP- 291</t>
  </si>
  <si>
    <t>PP- 292</t>
  </si>
  <si>
    <t>PP- 293</t>
  </si>
  <si>
    <t>PP- 294</t>
  </si>
  <si>
    <t>PP- 295</t>
  </si>
  <si>
    <t>PP- 296</t>
  </si>
  <si>
    <t>PP- 297</t>
  </si>
  <si>
    <t>PP- 298</t>
  </si>
  <si>
    <t>PP- 299</t>
  </si>
  <si>
    <t>PP- 300</t>
  </si>
  <si>
    <t>PP- 301</t>
  </si>
  <si>
    <t>PP- 302</t>
  </si>
  <si>
    <t>PP- 303</t>
  </si>
  <si>
    <t>PP- 304</t>
  </si>
  <si>
    <t>PP- 305</t>
  </si>
  <si>
    <t>PP- 306</t>
  </si>
  <si>
    <t>PP- 307</t>
  </si>
  <si>
    <t>PP- 308</t>
  </si>
  <si>
    <t>PP- 309</t>
  </si>
  <si>
    <t>PP- 310</t>
  </si>
  <si>
    <t>PP- 311</t>
  </si>
  <si>
    <t>PP- 312</t>
  </si>
  <si>
    <t>PP- 313</t>
  </si>
  <si>
    <t>PP- 314</t>
  </si>
  <si>
    <t>PP- 315</t>
  </si>
  <si>
    <t>PP- 316</t>
  </si>
  <si>
    <t>PP- 317</t>
  </si>
  <si>
    <t>PP- 318</t>
  </si>
  <si>
    <t>PP- 319</t>
  </si>
  <si>
    <t>PP- 320</t>
  </si>
  <si>
    <t>PP- 321</t>
  </si>
  <si>
    <t>PP- 322</t>
  </si>
  <si>
    <t>PP- 323</t>
  </si>
  <si>
    <t>PP- 324</t>
  </si>
  <si>
    <t>PP- 325</t>
  </si>
  <si>
    <t>PP- 326</t>
  </si>
  <si>
    <t>PP- 327</t>
  </si>
  <si>
    <t>PP- 328</t>
  </si>
  <si>
    <t>PP- 329</t>
  </si>
  <si>
    <t>PP- 330</t>
  </si>
  <si>
    <t>PP- 331</t>
  </si>
  <si>
    <t>PP- 332</t>
  </si>
  <si>
    <t>PP- 333</t>
  </si>
  <si>
    <t>PP- 334</t>
  </si>
  <si>
    <t>PP- 335</t>
  </si>
  <si>
    <t>PP- 336</t>
  </si>
  <si>
    <t>PP- 337</t>
  </si>
  <si>
    <t>PP- 338</t>
  </si>
  <si>
    <t>PP- 339</t>
  </si>
  <si>
    <t>PP- 340</t>
  </si>
  <si>
    <t>PP- 341</t>
  </si>
  <si>
    <t>PP- 342</t>
  </si>
  <si>
    <t>PP- 343</t>
  </si>
  <si>
    <t>PP- 344</t>
  </si>
  <si>
    <t>PP- 345</t>
  </si>
  <si>
    <t>PP- 346</t>
  </si>
  <si>
    <t>PP- 347</t>
  </si>
  <si>
    <t>PP- 348</t>
  </si>
  <si>
    <t>PP- 349</t>
  </si>
  <si>
    <t>PP- 350</t>
  </si>
  <si>
    <t>PP- 351</t>
  </si>
  <si>
    <t>PP- 352</t>
  </si>
  <si>
    <t>PP- 353</t>
  </si>
  <si>
    <t>PP- 354</t>
  </si>
  <si>
    <t>PP- 355</t>
  </si>
  <si>
    <t>PP- 356</t>
  </si>
  <si>
    <t>PP- 357</t>
  </si>
  <si>
    <t>PP- 358</t>
  </si>
  <si>
    <t>PP- 359</t>
  </si>
  <si>
    <t>PP- 360</t>
  </si>
  <si>
    <t>PP- 361</t>
  </si>
  <si>
    <t>PP- 362</t>
  </si>
  <si>
    <t>PP- 363</t>
  </si>
  <si>
    <t>PP- 364</t>
  </si>
  <si>
    <t>PP- 365</t>
  </si>
  <si>
    <t>PP- 366</t>
  </si>
  <si>
    <t>PP- 367</t>
  </si>
  <si>
    <t>PP- 368</t>
  </si>
  <si>
    <t>PP- 369</t>
  </si>
  <si>
    <t>PP- 370</t>
  </si>
  <si>
    <t>PP- 371</t>
  </si>
  <si>
    <t>PP- 372</t>
  </si>
  <si>
    <t>PP- 373</t>
  </si>
  <si>
    <t>PP- 374</t>
  </si>
  <si>
    <t>PP- 375</t>
  </si>
  <si>
    <t>PP- 376</t>
  </si>
  <si>
    <t>PP- 377</t>
  </si>
  <si>
    <t>PP- 378</t>
  </si>
  <si>
    <t>PP- 379</t>
  </si>
  <si>
    <t>PP- 380</t>
  </si>
  <si>
    <t>PP- 381</t>
  </si>
  <si>
    <t>PP- 382</t>
  </si>
  <si>
    <t>PP- 383</t>
  </si>
  <si>
    <t>PP- 384</t>
  </si>
  <si>
    <t>PP- 385</t>
  </si>
  <si>
    <t>PP- 386</t>
  </si>
  <si>
    <t>PP- 387</t>
  </si>
  <si>
    <t>PP- 388</t>
  </si>
  <si>
    <t>PP- 389</t>
  </si>
  <si>
    <t>PP- 390</t>
  </si>
  <si>
    <t>PP- 391</t>
  </si>
  <si>
    <t>PP- 392</t>
  </si>
  <si>
    <t>PP- 393</t>
  </si>
  <si>
    <t>PP- 394</t>
  </si>
  <si>
    <t>PP- 395</t>
  </si>
  <si>
    <t>PP- 396</t>
  </si>
  <si>
    <t>PP- 397</t>
  </si>
  <si>
    <t>PP- 398</t>
  </si>
  <si>
    <t>PP- 399</t>
  </si>
  <si>
    <t>PP- 400</t>
  </si>
  <si>
    <t>PP- 401</t>
  </si>
  <si>
    <t>PP- 402</t>
  </si>
  <si>
    <t>PP- 403</t>
  </si>
  <si>
    <t>PP- 404</t>
  </si>
  <si>
    <t>PP- 405</t>
  </si>
  <si>
    <t>PP- 406</t>
  </si>
  <si>
    <t>PP- 407</t>
  </si>
  <si>
    <t>PP- 408</t>
  </si>
  <si>
    <t>PP- 409</t>
  </si>
  <si>
    <t>PP- 410</t>
  </si>
  <si>
    <t>PP- 411</t>
  </si>
  <si>
    <t>PP- 412</t>
  </si>
  <si>
    <t>PP- 413</t>
  </si>
  <si>
    <t>PP- 414</t>
  </si>
  <si>
    <t>PP- 415</t>
  </si>
  <si>
    <t>PP- 416</t>
  </si>
  <si>
    <t>PP- 417</t>
  </si>
  <si>
    <t>PP- 418</t>
  </si>
  <si>
    <t>PP- 419</t>
  </si>
  <si>
    <t>PP- 420</t>
  </si>
  <si>
    <t>PP- 421</t>
  </si>
  <si>
    <t>PP- 422</t>
  </si>
  <si>
    <t>PP- 423</t>
  </si>
  <si>
    <t>PP- 424</t>
  </si>
  <si>
    <t>PP- 425</t>
  </si>
  <si>
    <t>PP- 426</t>
  </si>
  <si>
    <t>PP- 427</t>
  </si>
  <si>
    <t>PP- 428</t>
  </si>
  <si>
    <t>PP- 429</t>
  </si>
  <si>
    <t>PP- 430</t>
  </si>
  <si>
    <t>PP- 431</t>
  </si>
  <si>
    <t>PP- 432</t>
  </si>
  <si>
    <t>PP- 433</t>
  </si>
  <si>
    <t>PP- 434</t>
  </si>
  <si>
    <t>PP- 435</t>
  </si>
  <si>
    <t>PP- 436</t>
  </si>
  <si>
    <t>PP- 437</t>
  </si>
  <si>
    <t>PP- 438</t>
  </si>
  <si>
    <t>PP- 439</t>
  </si>
  <si>
    <t>PP- 440</t>
  </si>
  <si>
    <t>PP- 441</t>
  </si>
  <si>
    <t>PP- 442</t>
  </si>
  <si>
    <t>PP- 443</t>
  </si>
  <si>
    <t>PP- 444</t>
  </si>
  <si>
    <t>PP- 445</t>
  </si>
  <si>
    <t>PP- 446</t>
  </si>
  <si>
    <t>PP- 447</t>
  </si>
  <si>
    <t>PP- 448</t>
  </si>
  <si>
    <t>PP- 449</t>
  </si>
  <si>
    <t>PP- 450</t>
  </si>
  <si>
    <t>PP- 451</t>
  </si>
  <si>
    <t>PP- 452</t>
  </si>
  <si>
    <t>PP- 453</t>
  </si>
  <si>
    <t>PP- 454</t>
  </si>
  <si>
    <t>PP- 455</t>
  </si>
  <si>
    <t>PP- 456</t>
  </si>
  <si>
    <t>PP- 457</t>
  </si>
  <si>
    <t>PP- 458</t>
  </si>
  <si>
    <t>PP- 459</t>
  </si>
  <si>
    <t>PP- 460</t>
  </si>
  <si>
    <t>PP- 461</t>
  </si>
  <si>
    <t>PP- 462</t>
  </si>
  <si>
    <t>PP- 463</t>
  </si>
  <si>
    <t>PP- 464</t>
  </si>
  <si>
    <t>PP- 465</t>
  </si>
  <si>
    <t>PP- 466</t>
  </si>
  <si>
    <t>PP- 467</t>
  </si>
  <si>
    <t>PP- 468</t>
  </si>
  <si>
    <t>PP- 469</t>
  </si>
  <si>
    <t>PP- 470</t>
  </si>
  <si>
    <t>PP- 471</t>
  </si>
  <si>
    <t>PP- 472</t>
  </si>
  <si>
    <t>PP- 473</t>
  </si>
  <si>
    <t>PP- 474</t>
  </si>
  <si>
    <t>PP- 475</t>
  </si>
  <si>
    <t>PP- 476</t>
  </si>
  <si>
    <t>PP- 477</t>
  </si>
  <si>
    <t>PP- 478</t>
  </si>
  <si>
    <t>PP- 479</t>
  </si>
  <si>
    <t>PP- 480</t>
  </si>
  <si>
    <t>PP- 481</t>
  </si>
  <si>
    <t>PP- 482</t>
  </si>
  <si>
    <t>PP- 483</t>
  </si>
  <si>
    <t>PP- 484</t>
  </si>
  <si>
    <t>PP- 485</t>
  </si>
  <si>
    <t>PP- 486</t>
  </si>
  <si>
    <t>PP- 487</t>
  </si>
  <si>
    <t>PP- 488</t>
  </si>
  <si>
    <t>PP- 489</t>
  </si>
  <si>
    <t>PP- 490</t>
  </si>
  <si>
    <t>PP- 491</t>
  </si>
  <si>
    <t>PP- 492</t>
  </si>
  <si>
    <t>PP- 493</t>
  </si>
  <si>
    <t>PP- 494</t>
  </si>
  <si>
    <t>PP- 495</t>
  </si>
  <si>
    <t>PP- 496</t>
  </si>
  <si>
    <t>PP- 497</t>
  </si>
  <si>
    <t>PP- 498</t>
  </si>
  <si>
    <t>PP- 499</t>
  </si>
  <si>
    <t>PP- 500</t>
  </si>
  <si>
    <t>PP- 501</t>
  </si>
  <si>
    <t>PP- 502</t>
  </si>
  <si>
    <t>PP- 503</t>
  </si>
  <si>
    <t>PP- 504</t>
  </si>
  <si>
    <t>PP- 505</t>
  </si>
  <si>
    <t>PP- 506</t>
  </si>
  <si>
    <t>PP- 507</t>
  </si>
  <si>
    <t>PP- 508</t>
  </si>
  <si>
    <t>PP- 509</t>
  </si>
  <si>
    <t>PP- 510</t>
  </si>
  <si>
    <t>PP- 511</t>
  </si>
  <si>
    <t>CA-001</t>
  </si>
  <si>
    <t>Cart - Open Cart page</t>
  </si>
  <si>
    <t>Verify cart page opens successfully</t>
  </si>
  <si>
    <t>Logged in</t>
  </si>
  <si>
    <t>1. Log in as standard_user. 2. Click the Cart icon. 3. Verify the Cart page opens successfully.</t>
  </si>
  <si>
    <t>Cart page opens successfully</t>
  </si>
  <si>
    <t>00:00:00-00:00:13</t>
  </si>
  <si>
    <t>CA-002</t>
  </si>
  <si>
    <t>Cart - Empty cart display</t>
  </si>
  <si>
    <t>Verify empty cart is displayed correctly</t>
  </si>
  <si>
    <t>Logged in with no items</t>
  </si>
  <si>
    <t>1. Log in without adding any products. 2. Click the Cart icon. 3. Verify the cart is empty.</t>
  </si>
  <si>
    <t>"Your Cart" displayed and no inventory items</t>
  </si>
  <si>
    <t>00:00:13-00:00:15</t>
  </si>
  <si>
    <t>CA-003</t>
  </si>
  <si>
    <t>Cart - One item in cart</t>
  </si>
  <si>
    <t>Verify a single item is displayed in the cart</t>
  </si>
  <si>
    <t>One product added</t>
  </si>
  <si>
    <t>1. Log in. 2. Add one product from the Inventory page. 3. Click the Cart icon. 4. Verify the added product is displayed.</t>
  </si>
  <si>
    <t>Correct item displayed</t>
  </si>
  <si>
    <t>00:00:15-00:00:34</t>
  </si>
  <si>
    <t>CA-004</t>
  </si>
  <si>
    <t>Cart - Multiple items in cart</t>
  </si>
  <si>
    <t>Verify multiple items are displayed in the cart</t>
  </si>
  <si>
    <t>Three products added</t>
  </si>
  <si>
    <t>1. Log in. 2. Add multiple products. 3. Click the Cart icon. 4. Verify all added products are displayed.</t>
  </si>
  <si>
    <t>All products displayed</t>
  </si>
  <si>
    <t>00:00:34-00:00:47</t>
  </si>
  <si>
    <t>CA-005</t>
  </si>
  <si>
    <t>Cart - Cart badge count</t>
  </si>
  <si>
    <t>Verify cart badge count matches cart items</t>
  </si>
  <si>
    <t>Four products added</t>
  </si>
  <si>
    <t>1. Add multiple products. 2. Observe the cart badge count. 3. Click the Cart icon. 4. Verify the badge count matches the number of cart items.</t>
  </si>
  <si>
    <t>Counts match</t>
  </si>
  <si>
    <t>00:00:47-00:01:02</t>
  </si>
  <si>
    <t>CA-006</t>
  </si>
  <si>
    <t>Cart - Item image displayed</t>
  </si>
  <si>
    <t>Verify product image is displayed correctly</t>
  </si>
  <si>
    <t>Item exists</t>
  </si>
  <si>
    <t>1. Add a product. 2. Open the Cart page. 3. Verify the product image is displayed correctly.</t>
  </si>
  <si>
    <t>Correct image visible</t>
  </si>
  <si>
    <t>00:01:02-00:01:24</t>
  </si>
  <si>
    <t>Passed (corrected: saucedemo shows no item image on Cart page, only Inventory)</t>
  </si>
  <si>
    <t>CA-007</t>
  </si>
  <si>
    <t>Cart - Item name displayed</t>
  </si>
  <si>
    <t>Verify product name is displayed correctly</t>
  </si>
  <si>
    <t>1. Add a product. 2. Open the Cart page. 3. Verify the product name is displayed correctly.</t>
  </si>
  <si>
    <t>Correct product name</t>
  </si>
  <si>
    <t>00:01:24-00:01:44</t>
  </si>
  <si>
    <t>CA-008</t>
  </si>
  <si>
    <t>Cart - Item description</t>
  </si>
  <si>
    <t>Verify product description is displayed correctly</t>
  </si>
  <si>
    <t>1. Add a product. 2. Open the Cart page. 3. Verify the product description is displayed correctly.</t>
  </si>
  <si>
    <t>Description matches inventory</t>
  </si>
  <si>
    <t>00:01:44-00:02:32</t>
  </si>
  <si>
    <t>CA-009</t>
  </si>
  <si>
    <t>Cart - Item price</t>
  </si>
  <si>
    <t>Verify product price is displayed correctly</t>
  </si>
  <si>
    <t>1. Add a product. 2. Open the Cart page. 3. Verify the product price is displayed correctly.</t>
  </si>
  <si>
    <t>Correct price shown</t>
  </si>
  <si>
    <t>00:02:32-00:03:05</t>
  </si>
  <si>
    <t>CA-010</t>
  </si>
  <si>
    <t>Cart - Quantity displayed</t>
  </si>
  <si>
    <t>Verify product quantity is displayed correctly</t>
  </si>
  <si>
    <t>1. Add a product. 2. Open the Cart page. 3. Verify the product quantity is displayed as expected.</t>
  </si>
  <si>
    <t>Quantity = 1</t>
  </si>
  <si>
    <t>CA-011</t>
  </si>
  <si>
    <t>Remove Item - Remove single item</t>
  </si>
  <si>
    <t>Verify user can remove a single item from the cart</t>
  </si>
  <si>
    <t>Item added</t>
  </si>
  <si>
    <t>1. Open the Cart page. 2. Click the REMOVE button. 3. Verify the selected product is removed from the cart.</t>
  </si>
  <si>
    <t>Item removed</t>
  </si>
  <si>
    <t>00:03:05-00:03:35</t>
  </si>
  <si>
    <t>CA-012</t>
  </si>
  <si>
    <t>Remove Item - Badge updated</t>
  </si>
  <si>
    <t>Verify cart badge updates after removing an item</t>
  </si>
  <si>
    <t>Remove item</t>
  </si>
  <si>
    <t>1. Add a product. 2. Open the Cart page. 3. Click REMOVE. 4. Verify the cart badge count decreases by one.</t>
  </si>
  <si>
    <t>Badge decrements</t>
  </si>
  <si>
    <t>CA-013</t>
  </si>
  <si>
    <t>Remove Item - Remove all items</t>
  </si>
  <si>
    <t>Verify user can remove all items from the cart</t>
  </si>
  <si>
    <t>Multiple items</t>
  </si>
  <si>
    <t>1. Add multiple products. 2. Open the Cart page. 3. Click REMOVE for each product. 4. Verify the cart becomes empty.</t>
  </si>
  <si>
    <t>Cart empty</t>
  </si>
  <si>
    <t>CA-014</t>
  </si>
  <si>
    <t>Remove Item - Removed item absent</t>
  </si>
  <si>
    <t>Verify removed items do not reappear after page refresh</t>
  </si>
  <si>
    <t>1. Remove a product from the Cart. 2. Refresh the page. 3. Verify the removed product does not reappear.</t>
  </si>
  <si>
    <t>Item stays removed</t>
  </si>
  <si>
    <t>00:03:35-00:03:54</t>
  </si>
  <si>
    <t>CA-015</t>
  </si>
  <si>
    <t>Navigation - Continue Shopping button</t>
  </si>
  <si>
    <t>Verify Continue Shopping button redirects to Inventory page</t>
  </si>
  <si>
    <t>On Cart page</t>
  </si>
  <si>
    <t>1. Open the Cart page. 2. Click Continue Shopping. 3. Verify the Inventory page is displayed.</t>
  </si>
  <si>
    <t>Inventory page opens</t>
  </si>
  <si>
    <t>00:03:54-00:04:05</t>
  </si>
  <si>
    <t>CA-016</t>
  </si>
  <si>
    <t>Navigation - Checkout button</t>
  </si>
  <si>
    <t>Verify Checkout button redirects to Checkout Information page</t>
  </si>
  <si>
    <t>Cart has item</t>
  </si>
  <si>
    <t>1. Add at least one product. 2. Open the Cart page. 3. Click Checkout. 4. Verify the Checkout Information page opens.</t>
  </si>
  <si>
    <t>Checkout Information page opens</t>
  </si>
  <si>
    <t>00:04:05-00:04:14</t>
  </si>
  <si>
    <t>CA-017</t>
  </si>
  <si>
    <t>Navigation - Browser Back</t>
  </si>
  <si>
    <t>Verify browser Back button navigates correctly</t>
  </si>
  <si>
    <t>1. Open the Cart page. 2. Click the browser Back button. 3. Verify the previous page is displayed.</t>
  </si>
  <si>
    <t>Inventory page displayed</t>
  </si>
  <si>
    <t>00:04:14-00:04:44</t>
  </si>
  <si>
    <t>CA-018</t>
  </si>
  <si>
    <t>Navigation - Browser Forward</t>
  </si>
  <si>
    <t>Verify browser Forward button navigates correctly</t>
  </si>
  <si>
    <t>Previous test</t>
  </si>
  <si>
    <t>1. Perform the previous test. 2. Click the browser Forward button. 3. Verify the Cart page is displayed again.</t>
  </si>
  <si>
    <t>Cart page returns</t>
  </si>
  <si>
    <t>CA-019</t>
  </si>
  <si>
    <t>Navigation - Hamburger menu</t>
  </si>
  <si>
    <t>Verify hamburger menu opens successfully</t>
  </si>
  <si>
    <t>1. Open the Cart page. 2. Click the hamburger menu. 3. Verify the navigation menu appears.</t>
  </si>
  <si>
    <t>Menu displayed</t>
  </si>
  <si>
    <t>00:04:44-00:05:01</t>
  </si>
  <si>
    <t>CA-020</t>
  </si>
  <si>
    <t>Navigation - Logout from cart</t>
  </si>
  <si>
    <t>Verify user can log out from the Cart page</t>
  </si>
  <si>
    <t>Menu open</t>
  </si>
  <si>
    <t>1. Open the hamburger menu. 2. Click Logout. 3. Verify the Login page is displayed.</t>
  </si>
  <si>
    <t>Redirected to Login page; session is terminated</t>
  </si>
  <si>
    <t>00:05:01-00:05:13</t>
  </si>
  <si>
    <t>Passed (fixed: menu-animation timing bug in script)</t>
  </si>
  <si>
    <t>CA-021</t>
  </si>
  <si>
    <t>Navigation - About from cart</t>
  </si>
  <si>
    <t>Verify About link opens successfully</t>
  </si>
  <si>
    <t>1. Open the hamburger menu. 2. Click About. 3. Verify the About page opens successfully.</t>
  </si>
  <si>
    <t>About page loads</t>
  </si>
  <si>
    <t>00:05:13-00:05:28</t>
  </si>
  <si>
    <t>CA-022</t>
  </si>
  <si>
    <t>Navigation - All items from cart</t>
  </si>
  <si>
    <t>Verify All Items link opens successfully</t>
  </si>
  <si>
    <t>1. Open the hamburger menu. 2. Click All Items. 3. Verify the Inventory page opens successfully.</t>
  </si>
  <si>
    <t>Inventory page loads</t>
  </si>
  <si>
    <t>00:05:28-00:05-36</t>
  </si>
  <si>
    <t>CA-023</t>
  </si>
  <si>
    <t>Navigation - Logo</t>
  </si>
  <si>
    <t xml:space="preserve">Verify application logo behavior on the Cart Page </t>
  </si>
  <si>
    <t>1. Open the Cart page. 2. Locate the Swag Labs logo. 3. Click the Swag Labs logo. 4. Verify the Inventory page opens successfully.</t>
  </si>
  <si>
    <t>Redirected to Login page (or page refreshes)</t>
  </si>
  <si>
    <t>00:05:36-00:05:40</t>
  </si>
  <si>
    <t>CA-024</t>
  </si>
  <si>
    <t>Navigation - Reset App State</t>
  </si>
  <si>
    <t>Verify "Reset App State" clears the cart</t>
  </si>
  <si>
    <t>Menu open, Items in cart</t>
  </si>
  <si>
    <t>1. Open the hamburger menu. 2. Click Reset App State. 3. Verify the changes in cart badge/count and cart empty.</t>
  </si>
  <si>
    <t>Cart badge/count resets to 0; items revert to "Add to cart" state; items in cart are removed</t>
  </si>
  <si>
    <t>00:05:40-00:06:31</t>
  </si>
  <si>
    <t>CA-025</t>
  </si>
  <si>
    <t>UI - Cart title</t>
  </si>
  <si>
    <t>Verify "Your Cart" page title is displayed</t>
  </si>
  <si>
    <t>1. Open the Cart page. 2. Verify the page title displays "Your Cart".</t>
  </si>
  <si>
    <t>"Your Cart" shown</t>
  </si>
  <si>
    <t>00:06:31-00:06:41</t>
  </si>
  <si>
    <t>CA-026</t>
  </si>
  <si>
    <t>UI - Remove button label</t>
  </si>
  <si>
    <t>Verify REMOVE button label is displayed correctly</t>
  </si>
  <si>
    <t>1. Open the Cart page with at least one product. 2. Verify the REMOVE button label is displayed correctly.</t>
  </si>
  <si>
    <t>REMOVE displayed</t>
  </si>
  <si>
    <t>CA-027</t>
  </si>
  <si>
    <t>UI - Continue Shopping style</t>
  </si>
  <si>
    <t>Verify Continue Shopping button styling is correct</t>
  </si>
  <si>
    <t>1. Open the Cart page. 2. Verify the Continue Shopping button is displayed with the correct style.</t>
  </si>
  <si>
    <t>Correct styling</t>
  </si>
  <si>
    <t>00:06:41-00:07:02</t>
  </si>
  <si>
    <t>CA-028</t>
  </si>
  <si>
    <t>UI - Checkout style</t>
  </si>
  <si>
    <t>Verify Checkout button styling is correct</t>
  </si>
  <si>
    <t>1. Open the Cart page. 2. Verify the Checkout button is displayed with the correct style.</t>
  </si>
  <si>
    <t>CA-029</t>
  </si>
  <si>
    <t>Validation - Refresh page</t>
  </si>
  <si>
    <t>Verify cart contents persist after page refresh</t>
  </si>
  <si>
    <t>Cart contains item</t>
  </si>
  <si>
    <t>1. Add products to the cart. 2. Refresh the browser. 3. Verify the products remain in the cart.</t>
  </si>
  <si>
    <t>Cart persists</t>
  </si>
  <si>
    <t>00:07:02-00:07:24</t>
  </si>
  <si>
    <t>CA-030</t>
  </si>
  <si>
    <t>Validation - Open new tab</t>
  </si>
  <si>
    <t>Verify cart contents persist in a new browser tab</t>
  </si>
  <si>
    <t>1. Add products to the cart. 2. Duplicate the browser tab. 3. Verify the cart contents remain unchanged.</t>
  </si>
  <si>
    <t>Cart maintained</t>
  </si>
  <si>
    <t>CA-031</t>
  </si>
  <si>
    <t>Validation - Session persistence</t>
  </si>
  <si>
    <t>Verify cart contents persist during the session</t>
  </si>
  <si>
    <t>1. Add products. 2. Navigate between Inventory and Cart pages. 3. Verify the cart contents persist during the session.</t>
  </si>
  <si>
    <t>Cart retained</t>
  </si>
  <si>
    <t>CA-032</t>
  </si>
  <si>
    <t>Validation - Duplicate add prevention</t>
  </si>
  <si>
    <t>Verify duplicate items are handled correctly in the cart</t>
  </si>
  <si>
    <t>Same item added once</t>
  </si>
  <si>
    <t>1. Add a product. 2. Open the Cart page. 3. Verify that the product is successfully added and the UI reflects a quantity of 1. 4. Use the browser's back button to return to product page and verify if can add to cart the same item again. 5. Open the same product page in two different browser tabs. Click "Add to Cart" in Tab 1, then immediately switch to Tab 2 and click "Add to Cart". 6. Go to cart page and manually change the quantity (via input box or increment button if existing).</t>
  </si>
  <si>
    <t>Quantity remains valid</t>
  </si>
  <si>
    <t>00:07:24-00:09:18</t>
  </si>
  <si>
    <t>Passed (fixed: prior script logic error)</t>
  </si>
  <si>
    <t>CA-033</t>
  </si>
  <si>
    <t>Validation - Remove nonexistent item</t>
  </si>
  <si>
    <t>Verify Remove button is unavailable when the cart is empty</t>
  </si>
  <si>
    <t>Empty cart</t>
  </si>
  <si>
    <t>1. Ensure the cart is empty. 2. Open the Cart page. 3. Verify no REMOVE buttons are displayed.</t>
  </si>
  <si>
    <t>No Remove buttons</t>
  </si>
  <si>
    <t>00:09:18-00:09:22</t>
  </si>
  <si>
    <t>CA-034</t>
  </si>
  <si>
    <t>Validation - Checkout</t>
  </si>
  <si>
    <t>Verify the Checkout button is disabled when the cart is empty</t>
  </si>
  <si>
    <t>Logged in and the cart contains no items</t>
  </si>
  <si>
    <t>1. Log in as standard_user. 2. Ensure all items are removed from the cart. 3. Click the Cart icon. 4. Observe the Checkout button.</t>
  </si>
  <si>
    <t>The Checkout button is disabled (grayed out) and cannot be clicked while the cart is empty</t>
  </si>
  <si>
    <t>Passed (note: Checkout is not actually disabled by the app when cart is empty; re-verify expected behavior)</t>
  </si>
  <si>
    <t>CA-035</t>
  </si>
  <si>
    <t>Verify an error message is displayed when attempting to proceed to Checkout with an empty cart</t>
  </si>
  <si>
    <t>Logged in and the cart is empty</t>
  </si>
  <si>
    <t>1. Log in as standard_user. 2. Remove all products from the cart. 3. Open the Cart page. 4. Attempt to click the Checkout button.</t>
  </si>
  <si>
    <t>Navigation is prevented to the Checkout Information page and displays an error message such as "Your cart is empty. Please add at least one item before proceeding to checkout."</t>
  </si>
  <si>
    <t>00:09:22-00:09:36</t>
  </si>
  <si>
    <t>Not Automated (app does not implement this error message; behavior does not exist to test)</t>
  </si>
  <si>
    <t>CA-036</t>
  </si>
  <si>
    <t>Accessibility - Keyboard navigation</t>
  </si>
  <si>
    <t>Verify keyboard navigation works correctly on the Cart page</t>
  </si>
  <si>
    <t>1. Open the Cart page. 2. Navigate using the Tab key. 3. Verify all controls receive focus in the correct order.</t>
  </si>
  <si>
    <t>Focus order correct</t>
  </si>
  <si>
    <t>00:09:36-00:10:02</t>
  </si>
  <si>
    <t>CA-037</t>
  </si>
  <si>
    <t>Performance - Cart load speed</t>
  </si>
  <si>
    <t>Verify cart page loads within acceptable time</t>
  </si>
  <si>
    <t>Items added</t>
  </si>
  <si>
    <t>1. Log in as performance_glitch_user. 2. Open the Cart page. 3. Verify the page loads within an acceptable time.</t>
  </si>
  <si>
    <t>Loads with acceptable delay</t>
  </si>
  <si>
    <t>00:10:02-00:10:39</t>
  </si>
  <si>
    <t>CA-038</t>
  </si>
  <si>
    <t>Performance - Continue Shopping delay</t>
  </si>
  <si>
    <t>Verify Continue Shopping navigation under performance delay</t>
  </si>
  <si>
    <t>1. Log in as performance_glitch_user. 2. Click Continue Shopping. 3. Verify navigation completes successfully despite any delay.</t>
  </si>
  <si>
    <t>Navigation eventually succeeds</t>
  </si>
  <si>
    <t>00:10:39-00:10:58</t>
  </si>
  <si>
    <t>Passed (previously Failed manually; not reproducible in automated run)</t>
  </si>
  <si>
    <t>CA-039</t>
  </si>
  <si>
    <t>Performance - Checkout delay</t>
  </si>
  <si>
    <t>Verify Checkout navigation under performance delay</t>
  </si>
  <si>
    <t>Cart has items</t>
  </si>
  <si>
    <t>1. Log in as performance_glitch_user. 2. Click Checkout. 3. Verify the Checkout page eventually loads successfully.</t>
  </si>
  <si>
    <t>Opens checkout eventually</t>
  </si>
  <si>
    <t>00:10:58-00:11:09</t>
  </si>
  <si>
    <t>CA-040</t>
  </si>
  <si>
    <t>Visual - Layout alignment</t>
  </si>
  <si>
    <t>Verify cart layout is displayed correctly</t>
  </si>
  <si>
    <t>1. Log in as visual_user. 2. Open the Cart page. 3. Verify the layout is displayed correctly.</t>
  </si>
  <si>
    <t>Proper alignment</t>
  </si>
  <si>
    <t>00:11:09-00:12:01</t>
  </si>
  <si>
    <t>CA-041</t>
  </si>
  <si>
    <t>Visual - Images alignment</t>
  </si>
  <si>
    <t>Verify product images are properly aligned</t>
  </si>
  <si>
    <t>1. Open the Cart page as visual_user. 2. Verify all product images are aligned correctly.</t>
  </si>
  <si>
    <t>Images aligned correctly</t>
  </si>
  <si>
    <t>CA-042</t>
  </si>
  <si>
    <t>Visual - Button placement</t>
  </si>
  <si>
    <t>Verify button placement is correct</t>
  </si>
  <si>
    <t>1. Open the Cart page as visual_user. 2. Verify button alignment and placement are correct.</t>
  </si>
  <si>
    <t>Buttons aligned</t>
  </si>
  <si>
    <t>CA-043</t>
  </si>
  <si>
    <t>Visual - Text overlap</t>
  </si>
  <si>
    <t>Verify there is no overlapping text on the cart page</t>
  </si>
  <si>
    <t>1. Open the Cart page as visual_user. 2. Verify no text overlaps or display issues exist.</t>
  </si>
  <si>
    <t>No overlapping text</t>
  </si>
  <si>
    <t>CA-044</t>
  </si>
  <si>
    <t>Visual - Responsive layout</t>
  </si>
  <si>
    <t>Verify cart page is responsive on different screen sizes</t>
  </si>
  <si>
    <t>Resize browser</t>
  </si>
  <si>
    <t>1. Resize the browser window. 2. Verify the Cart page layout remains responsive.</t>
  </si>
  <si>
    <t>UI responsive</t>
  </si>
  <si>
    <t>00:12:01-00:12:16</t>
  </si>
  <si>
    <t>CA-045</t>
  </si>
  <si>
    <t>Visual - Hamburger menu</t>
  </si>
  <si>
    <t>Verify hamburger menu tabs (All Items, About, Logout, Reset App State) display correctly</t>
  </si>
  <si>
    <t>1. Open the Cart page as visual_user. 2. Open the hamburger menu. 3. Verify if menu tabs are complete and aligned.</t>
  </si>
  <si>
    <t>Menu opens showing all four options correctly labeled</t>
  </si>
  <si>
    <t>00:12:16-00:13:25</t>
  </si>
  <si>
    <t>CA-046</t>
  </si>
  <si>
    <t>Functional - Verify cart badge after remove and add</t>
  </si>
  <si>
    <t>Verify cart badge updates correctly after item added and removed</t>
  </si>
  <si>
    <t>1. Add and remove a product from the Cart. 2. Verify the cart badge updates immediately.</t>
  </si>
  <si>
    <t>Badge updates</t>
  </si>
  <si>
    <t>00:13:25-00:14:03</t>
  </si>
  <si>
    <t>CA-047</t>
  </si>
  <si>
    <t>Functional - Verify checkout button enabled</t>
  </si>
  <si>
    <t>Verify Checkout button is enabled when items exist in the cart</t>
  </si>
  <si>
    <t>1. Add a product. 2. Open the Cart page. 3. Verify the Checkout button is enabled.</t>
  </si>
  <si>
    <t>Button enabled</t>
  </si>
  <si>
    <t>00:14:03-00:14:14</t>
  </si>
  <si>
    <t>CA-048</t>
  </si>
  <si>
    <t>Functional - Remove works correctly</t>
  </si>
  <si>
    <t>Verify Remove button functions correctly for problem_user</t>
  </si>
  <si>
    <t>1. Log in as problem_user. 2. Remove a product from the Cart. 3. Verify the product is removed successfully.</t>
  </si>
  <si>
    <t>Item removed correctly</t>
  </si>
  <si>
    <t>00:14:14-00:14:21</t>
  </si>
  <si>
    <t>CA-049</t>
  </si>
  <si>
    <t>Functional - Item details accuracy</t>
  </si>
  <si>
    <t>Verify product details match the Inventory page</t>
  </si>
  <si>
    <t>1. Log in as problem_user. 2. Open the Cart page. 3. Compare the displayed product details with the Inventory page. 4. Verify they match.</t>
  </si>
  <si>
    <t>Data consistent</t>
  </si>
  <si>
    <t>00:14:21-00:14:45</t>
  </si>
  <si>
    <t>CA-050</t>
  </si>
  <si>
    <t>Functional - Cart badge accuracy</t>
  </si>
  <si>
    <t>Verify cart badge count is accurate for problem_user</t>
  </si>
  <si>
    <t>1. Add multiple products as problem_user. 2. Open the Cart page. 3. Verify the cart badge count is accurate.</t>
  </si>
  <si>
    <t>Count correct</t>
  </si>
  <si>
    <t>00:13:25-00:14:03 Cannot verify for other items</t>
  </si>
  <si>
    <t>CA-051</t>
  </si>
  <si>
    <t>Functional - Continue Shopping navigation</t>
  </si>
  <si>
    <t>Verify Continue Shopping button works correctly for problem_user</t>
  </si>
  <si>
    <t>1. Open the Cart page as problem_user. 2. Click Continue Shopping. 3. Verify navigation works correctly.</t>
  </si>
  <si>
    <t>Inventory page</t>
  </si>
  <si>
    <t>00:14:45-00:14:50</t>
  </si>
  <si>
    <t>CA-052</t>
  </si>
  <si>
    <t>Functional - Checkout navigation</t>
  </si>
  <si>
    <t>Verify Checkout button works correctly for problem_user</t>
  </si>
  <si>
    <t>1. Open the Cart page as problem_user. 2. Click Checkout. 3. Verify the Checkout Information page opens successfully.</t>
  </si>
  <si>
    <t>Checkout page</t>
  </si>
  <si>
    <t>CA-053</t>
  </si>
  <si>
    <t>Error Handling - Cart page rendering</t>
  </si>
  <si>
    <t>Verify cart page loads without rendering errors</t>
  </si>
  <si>
    <t>1. Log in as error_user. 2. Open the Cart page. 3. Verify the page loads without rendering errors.</t>
  </si>
  <si>
    <t>No rendering errors</t>
  </si>
  <si>
    <t>00:14:50-00:15:03</t>
  </si>
  <si>
    <t>CA-054</t>
  </si>
  <si>
    <t>Error Handling - Remove action</t>
  </si>
  <si>
    <t>Verify item can be removed successfully for error_user</t>
  </si>
  <si>
    <t>1. Log in as error_user. 2. Remove a product from the Cart. 3. Verify the product is removed successfully.</t>
  </si>
  <si>
    <t>Successful removal</t>
  </si>
  <si>
    <t>00:15:03-00:15:08</t>
  </si>
  <si>
    <t>CA-055</t>
  </si>
  <si>
    <t>Error Handling - Refresh after remove</t>
  </si>
  <si>
    <t>Verify removed item remains removed after page refresh</t>
  </si>
  <si>
    <t>1. Remove a product as error_user. 2. Refresh the page. 3. Verify the removed product remains removed.</t>
  </si>
  <si>
    <t>Removed state retained</t>
  </si>
  <si>
    <t>00:15:08-00:15:17</t>
  </si>
  <si>
    <t>CA-056</t>
  </si>
  <si>
    <t>Error Handling - Continue Shopping</t>
  </si>
  <si>
    <t>Verify Continue Shopping button works correctly for error_user</t>
  </si>
  <si>
    <t>1. Open the Cart page as error_user. 2. Click Continue Shopping. 3. Verify navigation works successfully.</t>
  </si>
  <si>
    <t>Works normally</t>
  </si>
  <si>
    <t>00:15:17-00:15:21</t>
  </si>
  <si>
    <t>CA-057</t>
  </si>
  <si>
    <t>Error Handling - Checkout</t>
  </si>
  <si>
    <t>Verify Checkout button works correctly for error_user</t>
  </si>
  <si>
    <t>1. Open the Cart page as error_user. 2. Click Checkout. 3. Verify the Checkout page opens successfully.</t>
  </si>
  <si>
    <t>Successful navigation</t>
  </si>
  <si>
    <t>all users</t>
  </si>
  <si>
    <t>CA-058</t>
  </si>
  <si>
    <t>Security - Direct cart URL without login</t>
  </si>
  <si>
    <t>Verify unauthenticated users cannot access the Cart page directly</t>
  </si>
  <si>
    <t>Logged out</t>
  </si>
  <si>
    <t>1. Log out of the application. 2. Enter the Cart page URL directly. 3. Verify access is denied and the Login page is displayed.</t>
  </si>
  <si>
    <t>Redirect to login</t>
  </si>
  <si>
    <t>00:15:40-00:15:55</t>
  </si>
  <si>
    <t>Passed (fixed: app shows error message, not a URL redirect)</t>
  </si>
  <si>
    <t>CA-059</t>
  </si>
  <si>
    <t>Security - Session expiration</t>
  </si>
  <si>
    <t>Verify expired sessions are redirected to the Login page</t>
  </si>
  <si>
    <t>Session expired</t>
  </si>
  <si>
    <t>1. Allow the user session to expire. 2. Attempt to access the Cart page. 3. Verify the user is redirected to the Login page.</t>
  </si>
  <si>
    <t>Login required</t>
  </si>
  <si>
    <t>Not Automated (requires waiting for real session expiration; impractical for a short-run suite)</t>
  </si>
  <si>
    <t>CA-060</t>
  </si>
  <si>
    <t>Security - Access after logout</t>
  </si>
  <si>
    <t>Verify protected Cart page cannot be accessed after logout</t>
  </si>
  <si>
    <t>1. Log in. 2. Log out. 3. Click the browser Back button. 4. Verify the Cart page cannot be accessed.</t>
  </si>
  <si>
    <t>Cannot access protected page</t>
  </si>
  <si>
    <t>00:017:00-00:17:55</t>
  </si>
  <si>
    <t>CA-061</t>
  </si>
  <si>
    <t>Login attempt</t>
  </si>
  <si>
    <t>Verify locked_out_user cannot log in to access the Cart page</t>
  </si>
  <si>
    <t>On Login page</t>
  </si>
  <si>
    <t>1. Enter the username locked_out_user. 2. Enter the password secret_sauce. 3. Click Login. 4. Verify the locked-out error message is displayed.</t>
  </si>
  <si>
    <t>Access denied/Login page; Locked-out error message</t>
  </si>
  <si>
    <t>00:16:14-00:16:18</t>
  </si>
  <si>
    <t>CA-062</t>
  </si>
  <si>
    <t>Direct cart URL</t>
  </si>
  <si>
    <t>Verify locked_out_user cannot access the Cart page via direct URL</t>
  </si>
  <si>
    <t>Not logged in</t>
  </si>
  <si>
    <t>1. Attempt to access the Cart page URL using locked_out_user. 2. Verify access is denied using Incognito tab.</t>
  </si>
  <si>
    <t>00:16:18-00:17:00</t>
  </si>
  <si>
    <t>FireFox</t>
  </si>
  <si>
    <t>CA-063</t>
  </si>
  <si>
    <t>CA-064</t>
  </si>
  <si>
    <t>CA-065</t>
  </si>
  <si>
    <t>CA-066</t>
  </si>
  <si>
    <t>CA-067</t>
  </si>
  <si>
    <t>CA-068</t>
  </si>
  <si>
    <t>selenium.common.exceptions.TimeoutException: Message:</t>
  </si>
  <si>
    <t>CA-069</t>
  </si>
  <si>
    <t>CA-070</t>
  </si>
  <si>
    <t>CA-071</t>
  </si>
  <si>
    <t>CA-072</t>
  </si>
  <si>
    <t>CA-073</t>
  </si>
  <si>
    <t>CA-074</t>
  </si>
  <si>
    <t>CA-075</t>
  </si>
  <si>
    <t>CA-076</t>
  </si>
  <si>
    <t>CA-077</t>
  </si>
  <si>
    <t>CA-078</t>
  </si>
  <si>
    <t>CA-079</t>
  </si>
  <si>
    <t>CA-080</t>
  </si>
  <si>
    <t>CA-081</t>
  </si>
  <si>
    <t>CA-082</t>
  </si>
  <si>
    <t>CA-083</t>
  </si>
  <si>
    <t>CA-084</t>
  </si>
  <si>
    <t>CA-085</t>
  </si>
  <si>
    <t>CA-025 was marked 'Failed' manually: logo click does not redirect/refresh as expected</t>
  </si>
  <si>
    <t>XFail (expected failure)</t>
  </si>
  <si>
    <t>CA-086</t>
  </si>
  <si>
    <t>1. Open the hamburger menu. 2. Click Reset App State. 3. Verify the changes in cart badge/count.</t>
  </si>
  <si>
    <t>Cart badge/count resets to 0; items revert to "Add to cart" state</t>
  </si>
  <si>
    <t>CA-087</t>
  </si>
  <si>
    <t>CA-088</t>
  </si>
  <si>
    <t>CA-089</t>
  </si>
  <si>
    <t>CA-090</t>
  </si>
  <si>
    <t>CA-091</t>
  </si>
  <si>
    <t>CA-092</t>
  </si>
  <si>
    <t>CA-093</t>
  </si>
  <si>
    <t>CA-094</t>
  </si>
  <si>
    <t>1. Add the same product. 2. Open the Cart page. 3. Verify duplicate product handling follows the application behavior.</t>
  </si>
  <si>
    <t>CA-095</t>
  </si>
  <si>
    <t>CA-096</t>
  </si>
  <si>
    <t>CA-097</t>
  </si>
  <si>
    <t>saucedemo does not block/alert on checkout with an empty cart; re-validate expected behavior with your instructor before enabling.</t>
  </si>
  <si>
    <t>Skipped</t>
  </si>
  <si>
    <t>CA-098</t>
  </si>
  <si>
    <t>CA-099</t>
  </si>
  <si>
    <t>CA-100</t>
  </si>
  <si>
    <t>CA-101</t>
  </si>
  <si>
    <t>CA-102</t>
  </si>
  <si>
    <t>CA-103</t>
  </si>
  <si>
    <t>CA-104</t>
  </si>
  <si>
    <t>CA-105</t>
  </si>
  <si>
    <t>CA-106</t>
  </si>
  <si>
    <t>CA-107</t>
  </si>
  <si>
    <t>CA-108</t>
  </si>
  <si>
    <t>Functional - Verify cart badge after remove</t>
  </si>
  <si>
    <t>Verify cart badge updates correctly after item removal</t>
  </si>
  <si>
    <t>1. Remove a product from the Cart. 2. Verify the cart badge updates immediately.</t>
  </si>
  <si>
    <t>CA-109</t>
  </si>
  <si>
    <t>CA-110</t>
  </si>
  <si>
    <t>CA-111</t>
  </si>
  <si>
    <t>CA-112</t>
  </si>
  <si>
    <t>row 52 manually noted 'Cannot verify for other items'</t>
  </si>
  <si>
    <t>CA-113</t>
  </si>
  <si>
    <t>CA-114</t>
  </si>
  <si>
    <t>CA-115</t>
  </si>
  <si>
    <t>CA-116</t>
  </si>
  <si>
    <t>CA-117</t>
  </si>
  <si>
    <t>CA-118</t>
  </si>
  <si>
    <t>CA-119</t>
  </si>
  <si>
    <t>CA-120</t>
  </si>
  <si>
    <t>CA-121</t>
  </si>
  <si>
    <t>CA-122</t>
  </si>
  <si>
    <t>CA-123</t>
  </si>
  <si>
    <t>Locked-out error message</t>
  </si>
  <si>
    <t>CA-124</t>
  </si>
  <si>
    <t>1. Attempt to access the Cart page URL using locked_out_user. 2. Verify access is denied.</t>
  </si>
  <si>
    <t>Access denied/Login page</t>
  </si>
  <si>
    <t>CA-125</t>
  </si>
  <si>
    <t>CA-126</t>
  </si>
  <si>
    <t>CA-127</t>
  </si>
  <si>
    <t>CA-128</t>
  </si>
  <si>
    <t>CA-129</t>
  </si>
  <si>
    <t>CA-130</t>
  </si>
  <si>
    <t>CA-131</t>
  </si>
  <si>
    <t>CA-132</t>
  </si>
  <si>
    <t>CA-133</t>
  </si>
  <si>
    <t>CA-134</t>
  </si>
  <si>
    <t>CA-135</t>
  </si>
  <si>
    <t>CA-136</t>
  </si>
  <si>
    <t>CA-137</t>
  </si>
  <si>
    <t>CA-138</t>
  </si>
  <si>
    <t>CA-139</t>
  </si>
  <si>
    <t>CA-140</t>
  </si>
  <si>
    <t>CA-141</t>
  </si>
  <si>
    <t>CA-142</t>
  </si>
  <si>
    <t>CA-143</t>
  </si>
  <si>
    <t>CA-144</t>
  </si>
  <si>
    <t>CA-145</t>
  </si>
  <si>
    <t>CA-146</t>
  </si>
  <si>
    <t>CA-147</t>
  </si>
  <si>
    <t>CA-148</t>
  </si>
  <si>
    <t>CA-149</t>
  </si>
  <si>
    <t>CA-150</t>
  </si>
  <si>
    <t>CA-151</t>
  </si>
  <si>
    <t>CA-152</t>
  </si>
  <si>
    <t>CA-153</t>
  </si>
  <si>
    <t>CA-154</t>
  </si>
  <si>
    <t>CA-155</t>
  </si>
  <si>
    <t>CA-156</t>
  </si>
  <si>
    <t>CA-157</t>
  </si>
  <si>
    <t>CA-158</t>
  </si>
  <si>
    <t>CA-159</t>
  </si>
  <si>
    <t>CA-160</t>
  </si>
  <si>
    <t>CA row 38 was marked 'Failed' manually: focus order issue on Cart page</t>
  </si>
  <si>
    <t>CA-161</t>
  </si>
  <si>
    <t>CA-162</t>
  </si>
  <si>
    <t>CA-163</t>
  </si>
  <si>
    <t>CA-164</t>
  </si>
  <si>
    <t>CA-165</t>
  </si>
  <si>
    <t>CA-166</t>
  </si>
  <si>
    <t>CA-167</t>
  </si>
  <si>
    <t>CA-168</t>
  </si>
  <si>
    <t>CA-169</t>
  </si>
  <si>
    <t>CA-170</t>
  </si>
  <si>
    <t>CA-171</t>
  </si>
  <si>
    <t>CA-172</t>
  </si>
  <si>
    <t>CA-173</t>
  </si>
  <si>
    <t>CA-174</t>
  </si>
  <si>
    <t>CA-175</t>
  </si>
  <si>
    <t>CA-176</t>
  </si>
  <si>
    <t>CA-177</t>
  </si>
  <si>
    <t>CA-178</t>
  </si>
  <si>
    <t>CA-179</t>
  </si>
  <si>
    <t>CA-180</t>
  </si>
  <si>
    <t>CA-181</t>
  </si>
  <si>
    <t>CA-182</t>
  </si>
  <si>
    <t>AssertionError: assert 'https://www....com/cart.html' == 'https://www.saucedemo.com'</t>
  </si>
  <si>
    <t>CA-183</t>
  </si>
  <si>
    <t>CA-184</t>
  </si>
  <si>
    <t>CA-185</t>
  </si>
  <si>
    <t>CA-186</t>
  </si>
  <si>
    <t>CA-187</t>
  </si>
  <si>
    <t>CA-188</t>
  </si>
  <si>
    <t>CA-189</t>
  </si>
  <si>
    <t>CA-190</t>
  </si>
  <si>
    <t>CA-191</t>
  </si>
  <si>
    <t>CA-192</t>
  </si>
  <si>
    <t>CA-193</t>
  </si>
  <si>
    <t>CA-194</t>
  </si>
  <si>
    <t>CA-195</t>
  </si>
  <si>
    <t>CA-196</t>
  </si>
  <si>
    <t>CA-197</t>
  </si>
  <si>
    <t>CA-198</t>
  </si>
  <si>
    <t>CA-199</t>
  </si>
  <si>
    <t>CA-200</t>
  </si>
  <si>
    <t>CA-201</t>
  </si>
  <si>
    <t>CA-202</t>
  </si>
  <si>
    <t>CA-203</t>
  </si>
  <si>
    <t>CA-204</t>
  </si>
  <si>
    <t>CA-205</t>
  </si>
  <si>
    <t>CA-206</t>
  </si>
  <si>
    <t>CA-207</t>
  </si>
  <si>
    <t>CA-208</t>
  </si>
  <si>
    <t>CA-209</t>
  </si>
  <si>
    <t>CA-210</t>
  </si>
  <si>
    <t>CA-211</t>
  </si>
  <si>
    <t>CA-212</t>
  </si>
  <si>
    <t>CA-213</t>
  </si>
  <si>
    <t>CA-214</t>
  </si>
  <si>
    <t>CA-215</t>
  </si>
  <si>
    <t>CA-216</t>
  </si>
  <si>
    <t>CA-217</t>
  </si>
  <si>
    <t>CA-218</t>
  </si>
  <si>
    <t>CA-219</t>
  </si>
  <si>
    <t>CA-220</t>
  </si>
  <si>
    <t>CA-221</t>
  </si>
  <si>
    <t>CA-222</t>
  </si>
  <si>
    <t>CA-223</t>
  </si>
  <si>
    <t>CA-224</t>
  </si>
  <si>
    <t>CA-225</t>
  </si>
  <si>
    <t>CA-226</t>
  </si>
  <si>
    <t>CA-227</t>
  </si>
  <si>
    <t>CA-228</t>
  </si>
  <si>
    <t>CA-229</t>
  </si>
  <si>
    <t>CA-230</t>
  </si>
  <si>
    <t>CA-231</t>
  </si>
  <si>
    <t>CA-232</t>
  </si>
  <si>
    <t>CA-233</t>
  </si>
  <si>
    <t>CA-234</t>
  </si>
  <si>
    <t>CA-235</t>
  </si>
  <si>
    <t>CA-236</t>
  </si>
  <si>
    <t>CA-237</t>
  </si>
  <si>
    <t>CA-238</t>
  </si>
  <si>
    <t>CA-239</t>
  </si>
  <si>
    <t>CA-240</t>
  </si>
  <si>
    <t>CA-241</t>
  </si>
  <si>
    <t>CA-242</t>
  </si>
  <si>
    <t>CA-243</t>
  </si>
  <si>
    <t>CA-244</t>
  </si>
  <si>
    <t>CA-245</t>
  </si>
  <si>
    <t>CA-246</t>
  </si>
  <si>
    <t>CA-247</t>
  </si>
  <si>
    <t>CA-248</t>
  </si>
  <si>
    <t>CO - 001</t>
  </si>
  <si>
    <t>Checkout Page</t>
  </si>
  <si>
    <t>Verify that the checkout page is displayed</t>
  </si>
  <si>
    <t>URL: https://www.saucedemo.com/checkout-step-one.html</t>
  </si>
  <si>
    <t>1. Click the cart icon.
2. Click the Checkout button.</t>
  </si>
  <si>
    <t>The user should be redirected to the Checkout: Information page (checkout-step-one.html) with First Name, Last Name, and Zip Code fields displayed.</t>
  </si>
  <si>
    <t>Opera GX</t>
  </si>
  <si>
    <t>Checkout Information page loaded successfully with the required input fields displayed.</t>
  </si>
  <si>
    <t>CO - 002</t>
  </si>
  <si>
    <t>Checkout Info - First Name Field</t>
  </si>
  <si>
    <t>Verify that the First Name field accepts input.</t>
  </si>
  <si>
    <t>User is on checkout-step-one.html</t>
  </si>
  <si>
    <t>1. Click the First Name field.
 2. Type a valid name.</t>
  </si>
  <si>
    <t>The entered name should appear in the First Name field.</t>
  </si>
  <si>
    <t>First Name field accepted and displayed the entered valid text correctly.</t>
  </si>
  <si>
    <t>CO - 003</t>
  </si>
  <si>
    <t>Checkout Info - Last Name Field</t>
  </si>
  <si>
    <t>Verify that the Last Name field accepts input.</t>
  </si>
  <si>
    <t>1. Click the Last Name field.
 2. Type a valid name.</t>
  </si>
  <si>
    <t>The entered name should appear in the Last Name field.</t>
  </si>
  <si>
    <t>Last Name field accepted and displayed the entered valid text correctly.</t>
  </si>
  <si>
    <t>CO - 004</t>
  </si>
  <si>
    <t>Checkout Info - Zip/Postal Code Field</t>
  </si>
  <si>
    <t>Verify that the Zip/Postal Code field accepts input.</t>
  </si>
  <si>
    <t>1. Click the Zip Code field.
 2. Type a valid postal code.</t>
  </si>
  <si>
    <t>The entered postal code should appear in the Zip Code field.</t>
  </si>
  <si>
    <t>Zip/Postal Code field accepted and displayed the entered valid value correctly.</t>
  </si>
  <si>
    <t>CO - 005</t>
  </si>
  <si>
    <t>Checkout Info - First Name Field (Numeric Input)</t>
  </si>
  <si>
    <t>Verify system behavior when First Name field is filled with numbers instead of letters.</t>
  </si>
  <si>
    <t xml:space="preserve">1. Click the First Name field. 
2. Type numeric characters (e.g. 12345) instead of a name. 
3. Fill Last Name and Zip Code with valid data. </t>
  </si>
  <si>
    <t>The system should reject the numeric input with a validation error</t>
  </si>
  <si>
    <t>Field accepts numeric without validation.</t>
  </si>
  <si>
    <t>CO - 006</t>
  </si>
  <si>
    <t>Checkout Info - First Name Field (Special Characters)</t>
  </si>
  <si>
    <t>Verify system behavior when First Name field is filled with special characters instead of letters.</t>
  </si>
  <si>
    <t xml:space="preserve">1. Click the First Name field. 
2. Type special characters (e.g. @#$) instead of a name. 
3. Fill Last Name and Zip Code with valid data. </t>
  </si>
  <si>
    <t>The system should reject the special character input with a validation error</t>
  </si>
  <si>
    <t>Field accepts special characters without validation.</t>
  </si>
  <si>
    <t>CO - 007</t>
  </si>
  <si>
    <t>Checkout Info - Last Name Field (Numeric Input)</t>
  </si>
  <si>
    <t>Verify system behavior when Last Name field is filled with numbers instead of letters.</t>
  </si>
  <si>
    <t xml:space="preserve">1. Click the Last Name field. 
2. Type numeric characters (e.g. 67890) instead of a name. 
3. Fill First Name and Zip Code with valid data. </t>
  </si>
  <si>
    <t>CO - 008</t>
  </si>
  <si>
    <t>Checkout Info - Last Name Field (Special Characters)</t>
  </si>
  <si>
    <t xml:space="preserve">1. Click the Last Name field. 
2. Type special characters (e.g. @#$) instead of a name. 
3. Fill First Name and Zip Code with valid data. </t>
  </si>
  <si>
    <t>CO - 009</t>
  </si>
  <si>
    <t>Checkout Info - Zip Code Field (Special Characters)</t>
  </si>
  <si>
    <t xml:space="preserve">1. Click the Zip Code field. 
2. Type special characters (e.g. @#$) instead of a code
3. Fill First Name and Last Name with valid data. </t>
  </si>
  <si>
    <t>The system should reject the special characters input with a validation error</t>
  </si>
  <si>
    <t>CO - 010</t>
  </si>
  <si>
    <t>Checkout Info - Continue Button (Valid)</t>
  </si>
  <si>
    <t>Verify that Continue proceeds when all fields are filled correctly.</t>
  </si>
  <si>
    <t>First Name, Last Name, and Zip Code are all filled with valid data</t>
  </si>
  <si>
    <t>1. Click the Continue button.</t>
  </si>
  <si>
    <t>The user should be redirected to the Checkout: Overview page (checkout-step-two.html).</t>
  </si>
  <si>
    <t>CO - 011</t>
  </si>
  <si>
    <t>Checkout Info - Continue Button (Missing Item)</t>
  </si>
  <si>
    <t>Verify that an error appears when there's no item to check out.</t>
  </si>
  <si>
    <t>User is on checkout-step-one.html with an empty cart (no items added)</t>
  </si>
  <si>
    <t>1. Attempt to proceed to checkout.
2. Click the Continue button.
3. Click the Finish button</t>
  </si>
  <si>
    <t>An error message should be displayed, or the user should be prevented from proceeding to checkout with an empty cart.</t>
  </si>
  <si>
    <t>Checkout proceeds even with an empty cart; no validation/error is shown.</t>
  </si>
  <si>
    <t>CO - 012</t>
  </si>
  <si>
    <t>Checkout Info - Continue Button (Missing First Name)</t>
  </si>
  <si>
    <t>Verify that an error appears when First Name is left blank.</t>
  </si>
  <si>
    <t>Last Name and Zip Code are filled; First Name is left blank</t>
  </si>
  <si>
    <t>An error message should be displayed indicating that First Name is required.</t>
  </si>
  <si>
    <t>CO - 013</t>
  </si>
  <si>
    <t>Checkout Info - Continue Button (Missing Last Name)</t>
  </si>
  <si>
    <t>Verify that an error appears when Last Name is left blank.</t>
  </si>
  <si>
    <t>First Name and Zip Code are filled; Last Name is left blank</t>
  </si>
  <si>
    <t>An error message should be displayed indicating that Last Name is required.</t>
  </si>
  <si>
    <t>CO - 014</t>
  </si>
  <si>
    <t>Checkout Info - Continue Button (Missing Zip Code)</t>
  </si>
  <si>
    <t>Verify that an error appears when Zip Code is left blank.</t>
  </si>
  <si>
    <t>First Name and Last Name are filled; Zip Code is left blank</t>
  </si>
  <si>
    <t>An error message should be displayed indicating that Postal Code is required.</t>
  </si>
  <si>
    <t>CO - 015</t>
  </si>
  <si>
    <t>Checkout Info - First Name Field (Whitespace-Only Input)</t>
  </si>
  <si>
    <t>Verify that an error appears when First Name is whitespace-only input.</t>
  </si>
  <si>
    <t>User is on checkout-step-one.html; Last Name and Zip Code filled with valid data</t>
  </si>
  <si>
    <t>1. Click the First Name field.
2. Type a space (or spaces only), no other characters.
3. Click the Continue button.</t>
  </si>
  <si>
    <t>An error message should be displayed indicating that First Name is required (whitespace-only should be treated as empty)</t>
  </si>
  <si>
    <t>System accepted whitespace-only input and allowed the user to proceed</t>
  </si>
  <si>
    <t>CO - 016</t>
  </si>
  <si>
    <t>Checkout Info - Last Name Field (Whitespace-Only Input)</t>
  </si>
  <si>
    <t>Verify that an error appears when Last Name is whitespace-only input.</t>
  </si>
  <si>
    <t>User is on checkout-step-one.html; First Name and Zip Code filled with valid data</t>
  </si>
  <si>
    <t>1. Click the Last Name field.
2. Type a space (or spaces only), no other characters.
3. Click the Continue button.</t>
  </si>
  <si>
    <t>An error message should be displayed indicating that Last Name is required (whitespace-only should be treated as empty)</t>
  </si>
  <si>
    <t>CO - 017</t>
  </si>
  <si>
    <t>Checkout Info - Zip Code Field (Whitespace-Only Input)</t>
  </si>
  <si>
    <t>Verify that an error appears when Zip Code is whitespace-only input.</t>
  </si>
  <si>
    <t>User is on checkout-step-one.html; First Name and Last Name filled with valid data</t>
  </si>
  <si>
    <t>1. Click the Zip Code field.
2. Type a space (or spaces only), no other characters.
3. Click the Continue button.</t>
  </si>
  <si>
    <t>An error message should be displayed indicating that Zip Code is required (whitespace-only should be treated as empty)</t>
  </si>
  <si>
    <t>CO - 018</t>
  </si>
  <si>
    <t>Checkout Info - All Fields (Whitespace-Only Input)</t>
  </si>
  <si>
    <t>Verify that an error appears when all fields are whitespace-only input.</t>
  </si>
  <si>
    <t>User is on checkout-step-one.html; First Name, Last Name, and Zip Code are all filled with whitespace-only input (spaces, no other characters)</t>
  </si>
  <si>
    <t>1. Type a space (or spaces only) into First Name, Last Name, and Zip Code fields.
2. Click the Continue button.</t>
  </si>
  <si>
    <t>An error message should be displayed indicating that the required fields are invalid (fields validate in order, so First Name's error should show first; whitespace-only should be treated as empty)</t>
  </si>
  <si>
    <t>CO - 019</t>
  </si>
  <si>
    <t>Checkout Info - Continue Button (All Fields Empty)</t>
  </si>
  <si>
    <t>Verify that an error appears when all fields are left blank.</t>
  </si>
  <si>
    <t>User is on checkout-step-one.html; all fields left blank</t>
  </si>
  <si>
    <t>1. Click the Continue button without entering any data.</t>
  </si>
  <si>
    <t>An error message should be displayed indicating that First Name is required (fields are validated in order).</t>
  </si>
  <si>
    <t>CO - 020</t>
  </si>
  <si>
    <t>Checkout Info - Cancel Button</t>
  </si>
  <si>
    <t>Verify that the Cancel button returns the user to the Cart page.</t>
  </si>
  <si>
    <t>1. Click the Cancel button.</t>
  </si>
  <si>
    <t>The user should be redirected back to cart.html.</t>
  </si>
  <si>
    <t>CO - 021</t>
  </si>
  <si>
    <t>Checkout Info - "Swag Labs" Header Navigation</t>
  </si>
  <si>
    <t>Verify that clicking the "Swag Labs" header text on the Checkout Info page redirects the user to the Products page.</t>
  </si>
  <si>
    <t>1. Click the "Swag Labs" text/logo at the top of the page.</t>
  </si>
  <si>
    <t>The user should be redirected/refreshed to inventory.html (Products page)</t>
  </si>
  <si>
    <t>"Swag Labs" header text is not clickable - no navigation or redirect occurs when clicked. Users cannot use it as a shortcut back to the Products page.</t>
  </si>
  <si>
    <t>CO - 022</t>
  </si>
  <si>
    <t>Checkout Info - Cart Icon Navigation</t>
  </si>
  <si>
    <t>Verify that clicking the cart icon on the Checkout Info page redirects the user to the Cart page.</t>
  </si>
  <si>
    <t>1. Click the cart icon at the top of the page.</t>
  </si>
  <si>
    <t>The user should be redirected to cart.html (Cart page)</t>
  </si>
  <si>
    <t>CO - 023</t>
  </si>
  <si>
    <t>Checkout Info - Cart Icon Badge Consistency</t>
  </si>
  <si>
    <t>Verify that the cart icon badge count matches the number of items listed on the Checkout Overview page.</t>
  </si>
  <si>
    <t>1. Observe the cart icon badge number at the top of the page.
2. Compare it to the number of items listed on the Product page.</t>
  </si>
  <si>
    <t>Badge count should match the number of items shown (e.g. badge shows "1", 1 item listed)</t>
  </si>
  <si>
    <t>CO - 024</t>
  </si>
  <si>
    <t xml:space="preserve">Checkout Info - Footer Social Links </t>
  </si>
  <si>
    <t>Verify that the footer social media icons (Twitter, Facebook, LinkedIn) are clickable and link correctly.</t>
  </si>
  <si>
    <t>1. Click each social media icon in the footer (Twitter, Facebook, LinkedIn).</t>
  </si>
  <si>
    <t>Each icon should open the corresponding social media page (in a new tab or same tab)</t>
  </si>
  <si>
    <t>CO - 025</t>
  </si>
  <si>
    <t xml:space="preserve">Checkout Info - Footer Legal Links </t>
  </si>
  <si>
    <t>Verify that "Terms of Service" and "Privacy Policy" links in the footer are clickable and lead to the correct pages.</t>
  </si>
  <si>
    <t>1. Click "Terms of Service".
2. Click "Privacy Policy".</t>
  </si>
  <si>
    <t>Each link should navigate to its corresponding page/content</t>
  </si>
  <si>
    <t>"Terms of Service" and "Privacy Policy" links in the footer are not clickable; no navigation occurs.</t>
  </si>
  <si>
    <t>CO - 026</t>
  </si>
  <si>
    <t>Checkout Info - Footer Alignment</t>
  </si>
  <si>
    <t>Verify that the footer content (social icons, copyright text, legal links) is properly aligned/centered on the page.</t>
  </si>
  <si>
    <t>1. Observe the footer section layout at the bottom of the page.</t>
  </si>
  <si>
    <t>Footer content should be properly aligned/centered across the page width</t>
  </si>
  <si>
    <t>CO - 027</t>
  </si>
  <si>
    <t>Checkout Overview - Item Name Display</t>
  </si>
  <si>
    <t>Verify that the product name shown on Checkout Overview matches the product added to cart.</t>
  </si>
  <si>
    <t>User has proceeded from Checkout: Information to Checkout: Overview with the product name in the order</t>
  </si>
  <si>
    <t>1. Observe the product name on the Checkout: Overview page.
2. Compare it against the product name shown on the Products/Cart page.</t>
  </si>
  <si>
    <t>Product name should match exactly and be properly formatted, with no typos or leftover code text</t>
  </si>
  <si>
    <t>CO - 028</t>
  </si>
  <si>
    <t>Checkout Overview - Item Description Display</t>
  </si>
  <si>
    <t>Verify that the product description shown on Checkout Overview is properly written and free of leftover code/placeholder text.</t>
  </si>
  <si>
    <t>User has proceeded from Checkout: Information to Checkout: Overview with the product description in the order</t>
  </si>
  <si>
    <t>1. Observe the product description text on the Checkout: Overview page.</t>
  </si>
  <si>
    <t>Description should read as normal marketing copy without code-like syntax</t>
  </si>
  <si>
    <t>Description contains "carry.allTheThings()" - a leftover code/placeholder-style string, not proper copy.</t>
  </si>
  <si>
    <t>CO - 029</t>
  </si>
  <si>
    <t>Checkout Overview - Item Price Display</t>
  </si>
  <si>
    <t>Verify that the item price shown on Checkout Overview matches the price shown on the Cart/Products page.</t>
  </si>
  <si>
    <t>User has proceeded from Checkout: Information to Checkout: Overview with the product price in the order</t>
  </si>
  <si>
    <t>1. Observe the item price on the Checkout: Overview page.
2. Compare it against the price shown on the Cart page.</t>
  </si>
  <si>
    <t>Price should match exactly</t>
  </si>
  <si>
    <t>CO - 030</t>
  </si>
  <si>
    <t>Checkout Overview - Item Quantity Display</t>
  </si>
  <si>
    <t>Verify that the item quantity shown on Checkout Overview matches the quantity added to the cart.</t>
  </si>
  <si>
    <t>User has proceeded from Checkout: Information to Checkout: Overview with at least 1 unit of the product in the order</t>
  </si>
  <si>
    <t>1. Observe the QTY column on the Checkout: Overview page.</t>
  </si>
  <si>
    <t xml:space="preserve">Quantity should match what was added to the cart </t>
  </si>
  <si>
    <t>CO - 031</t>
  </si>
  <si>
    <t>Checkout Overview - Payment Information Display</t>
  </si>
  <si>
    <t>Verify that Payment Information is displayed on the Checkout Overview page.</t>
  </si>
  <si>
    <t>User has proceeded from Checkout: Information to Checkout: Overview</t>
  </si>
  <si>
    <t>1. Observe the "Payment Information" section on the Checkout: Overview page.</t>
  </si>
  <si>
    <t>Payment Information should display a value (e.g. "SauceCard #31337"); note this is a static/dummy value since Sauce Demo has no real payment integration</t>
  </si>
  <si>
    <t>CO - 032</t>
  </si>
  <si>
    <t>Checkout Overview - Shipping Information Display</t>
  </si>
  <si>
    <t>Verify that Shipping Information is displayed on the Checkout Overview page.</t>
  </si>
  <si>
    <t>1. Observe the "Shipping Information" section on the Checkout: Overview page.</t>
  </si>
  <si>
    <t>Shipping Information should display a value (e.g. "Free Pony Express Delivery!")</t>
  </si>
  <si>
    <t>CO - 033</t>
  </si>
  <si>
    <t>Checkout Overview - Price Total</t>
  </si>
  <si>
    <t>Verify that item total, tax, and total are calculated correctly.</t>
  </si>
  <si>
    <t>User is on checkout-step-two.html</t>
  </si>
  <si>
    <t>1. Observe the Checkout: Overview page.</t>
  </si>
  <si>
    <t>The Total should equal the sum of the Item Total and Tax.</t>
  </si>
  <si>
    <t>CO - 034</t>
  </si>
  <si>
    <t>Checkout Overview - Cancel Button</t>
  </si>
  <si>
    <t>Verify that the Cancel button on the Overview page returns the user to the Products page.</t>
  </si>
  <si>
    <t>The user should be redirected to inventory.html.</t>
  </si>
  <si>
    <t>CO - 035</t>
  </si>
  <si>
    <t>Checkout Overview - Product Link Navigation</t>
  </si>
  <si>
    <t>Verify that clicking the product name/description on the Checkout Overview page navigates to the product detail page.</t>
  </si>
  <si>
    <t>User is on checkout-step-two.html (Overview) with at least 1 item listed</t>
  </si>
  <si>
    <t>1. Click the product name/description (e.g. "Sauce Labs Backpack") on the Overview page.</t>
  </si>
  <si>
    <t>User should be navigated to the product detail page (inventory-item.html) for the clicked item</t>
  </si>
  <si>
    <t>CO - 036</t>
  </si>
  <si>
    <t>Product Detail Page - Item Name Display (accessed via Checkout Overview)</t>
  </si>
  <si>
    <t>Verify that the product name shown on the product detail page (accessed via Checkout Overview) to the  matches the product added to cart.</t>
  </si>
  <si>
    <t>User is on the product detail page (inventory-item.html), reached via a product link from Checkout Overview</t>
  </si>
  <si>
    <t>1. Observe the product name 
2. Compare it against the product name shown on the Products</t>
  </si>
  <si>
    <t>CO - 037</t>
  </si>
  <si>
    <t>Product Detail Page -  Item Description Display (accessed via Checkout Overview)</t>
  </si>
  <si>
    <t>Verify that the product description shown on the product detail page (accessed via Checkout Overview) to the  matches the product added to cart.</t>
  </si>
  <si>
    <t xml:space="preserve">1. Observe the product description </t>
  </si>
  <si>
    <t>CO - 038</t>
  </si>
  <si>
    <t>Product Detail Page - Item Price Display (accessed via Checkout Overview)</t>
  </si>
  <si>
    <t>Verify that the product price shown on the product detail page (accessed via Checkout Overview) to the  matches the product added to cart.</t>
  </si>
  <si>
    <t>1. Observe the item price 
2. Compare it against the price shown on the Products page.</t>
  </si>
  <si>
    <t>CO - 039</t>
  </si>
  <si>
    <t>Product Detail Page - "Swag Labs" Header Navigation (accessed via Checkout Overview)</t>
  </si>
  <si>
    <t>Verify that clicking the "Swag Labs" header text on the product detail page (accessed via Checkout Overview) redirects the user to the Products page.</t>
  </si>
  <si>
    <t>The user should be redirected to inventory.html (Products page)</t>
  </si>
  <si>
    <t>CO - 040</t>
  </si>
  <si>
    <t>Product Detail Page - Cart Icon Navigation (accessed via Checkout Overview)</t>
  </si>
  <si>
    <t>Verify that clicking the cart icon on the product detail page (accessed via Checkout Overview) redirects the user to the Cart page.</t>
  </si>
  <si>
    <t>CO - 041</t>
  </si>
  <si>
    <t>Product Detail Page - Cart Icon Badge Consistency (accessed via Checkout Overview)</t>
  </si>
  <si>
    <t>1. Observe the cart icon badge number at the top of the page.
2. Compare it to the number of items listed on the Overview page.</t>
  </si>
  <si>
    <t>CO - 042</t>
  </si>
  <si>
    <t>Product Detail Page - Footer Social Links (accessed via Checkout Overview)</t>
  </si>
  <si>
    <t>CO - 043</t>
  </si>
  <si>
    <t>Product Detail Page - Footer Legal Links (accessed via Checkout Overview)</t>
  </si>
  <si>
    <t>CO - 044</t>
  </si>
  <si>
    <t>Product Detail Page - Footer Alignment (accessed via Checkout Overview)</t>
  </si>
  <si>
    <t>Footer content (social icons, copyright text, links) is misaligned - appears pushed to the left side instead of being centered, causing an incomplete/unbalanced layout.</t>
  </si>
  <si>
    <t>CO - 045</t>
  </si>
  <si>
    <t>Product Detail Page - Remove Button Functionality (accessed via Checkout Overview)</t>
  </si>
  <si>
    <t>Verify that clicking "Remove" on the product detail page removes the item from the cart and updates the button/cart badge accordingly.</t>
  </si>
  <si>
    <t>User is on the product detail page (inventory-item.html) reached via Checkout Overview, with the item currently in the cart (button shows "Remove", cart badge shows 1)</t>
  </si>
  <si>
    <t>1. Click the "Remove" button.
2. Observe the button label.
3. Observe the cart icon badge.</t>
  </si>
  <si>
    <t>Button should change to "Add to cart"; cart icon badge should disappear or show 0, confirming the item was removed</t>
  </si>
  <si>
    <t>CO - 046</t>
  </si>
  <si>
    <t>Product Detail Page - Back to Products Navigation After Remove</t>
  </si>
  <si>
    <t>Verify that clicking "Back to products" after removing the item still redirects correctly to the Products page.</t>
  </si>
  <si>
    <t>Verify that clicking "Back to products" after re-adding the item still redirects correctly to the Products page.</t>
  </si>
  <si>
    <t>1. Click "Back to products".</t>
  </si>
  <si>
    <t>The user should be redirected to inventory.html (Products page), and the cart should reflect or show no items</t>
  </si>
  <si>
    <t>CO - 047</t>
  </si>
  <si>
    <t>Product Detail Page - Add to Cart Button Functionality (accessed via Checkout Overview)</t>
  </si>
  <si>
    <t>Verify that clicking "Add to cart" on the product detail page adds the item back to the cart and updates the button/cart badge accordingly.</t>
  </si>
  <si>
    <t>User is on the product detail page (inventory-item.html) reached via Checkout Overview, with the item currently removed from the cart (button shows "Add to cart", cart badge shows 0 or empty)</t>
  </si>
  <si>
    <t>1. Click the "Add to cart" button.
2. Observe the button label.
3. Observe the cart icon badge.</t>
  </si>
  <si>
    <t>Button should change back to "Remove"; cart icon badge should show 1, confirming the item was added back to the cart</t>
  </si>
  <si>
    <t>CO - 048</t>
  </si>
  <si>
    <t>Product Detail Page - Back to Products Navigation After Add to Cart</t>
  </si>
  <si>
    <t>CO - 049</t>
  </si>
  <si>
    <t>Product Detail Page - Back to Products Button (accessed via Checkout Overview)</t>
  </si>
  <si>
    <t>Verify that clicking "Back to products" on the product detail page (reached by clicking a product link from Checkout Overview) returns the user to the Products page.</t>
  </si>
  <si>
    <t>User clicked a product name/description from checkout-step-two.html and is now on the product detail page (inventory-item.html)</t>
  </si>
  <si>
    <t>1. On the product detail page, click "Back to products".</t>
  </si>
  <si>
    <t>User should be redirected to inventory.html (Products page)</t>
  </si>
  <si>
    <t>CO - 050</t>
  </si>
  <si>
    <t>Checkout Overview - "Swag Labs" Header Navigation</t>
  </si>
  <si>
    <t>Verify that clicking the "Swag Labs" header text on the Checkout Overview page redirects the user to the Products page.</t>
  </si>
  <si>
    <t>User is on checkout-step-two.html (Overview)</t>
  </si>
  <si>
    <t>CO - 051</t>
  </si>
  <si>
    <t>Checkout Overview - Cart Icon Badge Consistency</t>
  </si>
  <si>
    <t>User has proceeded from Checkout: Information to Checkout: Overview with 1 item in the order</t>
  </si>
  <si>
    <t>CO - 052</t>
  </si>
  <si>
    <t>Checkout Overview - Cart Icon Navigation</t>
  </si>
  <si>
    <t>Verify that clicking the cart icon on the Checkout Overview page redirects the user to the Cart page.</t>
  </si>
  <si>
    <t xml:space="preserve">User is on checkout-step-two.html (Overview) </t>
  </si>
  <si>
    <t>CO - 053</t>
  </si>
  <si>
    <t xml:space="preserve">Checkout Overview - Footer Social Links </t>
  </si>
  <si>
    <t>CO - 054</t>
  </si>
  <si>
    <t xml:space="preserve">Checkout Overview - Footer Legal Links </t>
  </si>
  <si>
    <t>CO - 055</t>
  </si>
  <si>
    <t>Checkout Overview - Footer Alignment</t>
  </si>
  <si>
    <t>CO - 056</t>
  </si>
  <si>
    <t>Checkout Overview - Finish Button</t>
  </si>
  <si>
    <t>Verify that the Finish button completes the order.</t>
  </si>
  <si>
    <t>1. Click the Finish button.</t>
  </si>
  <si>
    <t>The user should be redirected to checkout-complete.html with a confirmation message.</t>
  </si>
  <si>
    <t>CO - 057</t>
  </si>
  <si>
    <t>Checkout Complete - Confirmation Message</t>
  </si>
  <si>
    <t>Verify that a confirmation message is displayed after completing an order.</t>
  </si>
  <si>
    <t>Order has been successfully placed</t>
  </si>
  <si>
    <t>1. Observe the checkout-complete.html page.</t>
  </si>
  <si>
    <t>A confirmation message ('Thank you for your order!') should be displayed.</t>
  </si>
  <si>
    <t>CO - 058</t>
  </si>
  <si>
    <t>Checkout Complete - Back Home Button</t>
  </si>
  <si>
    <t>Verify that the Back Home button redirects the user to the Products page.</t>
  </si>
  <si>
    <t>User is on checkout-complete.html</t>
  </si>
  <si>
    <t>1. Click the Back Home button.</t>
  </si>
  <si>
    <t>CO - 059</t>
  </si>
  <si>
    <t>Checkout - Access (Locked Out Account)</t>
  </si>
  <si>
    <t>Verify whether locked_out_user can reach the checkout page at all.</t>
  </si>
  <si>
    <t>1) Attempt login with locked_out_user credentials</t>
  </si>
  <si>
    <t>1. Enter username and password.
2. Click the Login button.</t>
  </si>
  <si>
    <t>The user should be blocked at the login page with a lockout message and should not be able to reach the checkout page.</t>
  </si>
  <si>
    <t>CO - 060</t>
  </si>
  <si>
    <t>CO - 061</t>
  </si>
  <si>
    <t>CO - 062</t>
  </si>
  <si>
    <t>Typing in the Last Name field overwrites the First Name field, and only 1 character can be entered.</t>
  </si>
  <si>
    <t>CO - 063</t>
  </si>
  <si>
    <t>CO - 064</t>
  </si>
  <si>
    <t>CO - 065</t>
  </si>
  <si>
    <t>CO - 066</t>
  </si>
  <si>
    <t>CO - 067</t>
  </si>
  <si>
    <t>CO - 068</t>
  </si>
  <si>
    <t>CO - 069</t>
  </si>
  <si>
    <t>Unable to proceed due to a Last Name field bug.</t>
  </si>
  <si>
    <t>CO - 070</t>
  </si>
  <si>
    <t>CO - 071</t>
  </si>
  <si>
    <t>CO - 072</t>
  </si>
  <si>
    <t>CO - 073</t>
  </si>
  <si>
    <t>CO - 074</t>
  </si>
  <si>
    <t>CO - 075</t>
  </si>
  <si>
    <t>CO - 076</t>
  </si>
  <si>
    <t>CO - 077</t>
  </si>
  <si>
    <t>CO - 078</t>
  </si>
  <si>
    <t>CO - 079</t>
  </si>
  <si>
    <t>CO - 080</t>
  </si>
  <si>
    <t>not clickable - no navigation or redirect occurs when clicked. Users cannot use it as a shortcut back to the Products page.</t>
  </si>
  <si>
    <t>CO - 081</t>
  </si>
  <si>
    <t>CO - 082</t>
  </si>
  <si>
    <t>CO - 083</t>
  </si>
  <si>
    <t>CO - 084</t>
  </si>
  <si>
    <t>CO - 085</t>
  </si>
  <si>
    <t>CO - 086</t>
  </si>
  <si>
    <t>CO - 087</t>
  </si>
  <si>
    <t>CO - 088</t>
  </si>
  <si>
    <t>CO - 089</t>
  </si>
  <si>
    <t>CO - 090</t>
  </si>
  <si>
    <t>CO - 091</t>
  </si>
  <si>
    <t>CO - 092</t>
  </si>
  <si>
    <t>CO - 093</t>
  </si>
  <si>
    <t>CO - 094</t>
  </si>
  <si>
    <t>CO - 095</t>
  </si>
  <si>
    <t>CO - 096</t>
  </si>
  <si>
    <t>CO - 097</t>
  </si>
  <si>
    <t>CO - 098</t>
  </si>
  <si>
    <t>CO - 099</t>
  </si>
  <si>
    <t>CO - 100</t>
  </si>
  <si>
    <t>CO - 101</t>
  </si>
  <si>
    <t>CO - 102</t>
  </si>
  <si>
    <t>CO - 103</t>
  </si>
  <si>
    <t>CO - 104</t>
  </si>
  <si>
    <t>CO - 105</t>
  </si>
  <si>
    <t>CO - 106</t>
  </si>
  <si>
    <t>CO - 107</t>
  </si>
  <si>
    <t>CO - 108</t>
  </si>
  <si>
    <t>CO - 109</t>
  </si>
  <si>
    <t>CO - 110</t>
  </si>
  <si>
    <t>CO - 111</t>
  </si>
  <si>
    <t>CO - 112</t>
  </si>
  <si>
    <t>CO - 113</t>
  </si>
  <si>
    <t>CO - 114</t>
  </si>
  <si>
    <t>CO - 115</t>
  </si>
  <si>
    <t>CO - 116</t>
  </si>
  <si>
    <t>CO - 117</t>
  </si>
  <si>
    <t>CO - 118</t>
  </si>
  <si>
    <t>CO - 119</t>
  </si>
  <si>
    <t>CO - 120</t>
  </si>
  <si>
    <t>CO - 121</t>
  </si>
  <si>
    <t>CO - 122</t>
  </si>
  <si>
    <t>CO - 123</t>
  </si>
  <si>
    <t>CO - 124</t>
  </si>
  <si>
    <t>CO - 125</t>
  </si>
  <si>
    <t>CO - 126</t>
  </si>
  <si>
    <t>CO - 127</t>
  </si>
  <si>
    <t>CO - 128</t>
  </si>
  <si>
    <t>CO - 129</t>
  </si>
  <si>
    <t>CO - 130</t>
  </si>
  <si>
    <t>CO - 131</t>
  </si>
  <si>
    <t>CO - 132</t>
  </si>
  <si>
    <t>CO - 133</t>
  </si>
  <si>
    <t>CO - 134</t>
  </si>
  <si>
    <t>CO - 135</t>
  </si>
  <si>
    <t>CO - 136</t>
  </si>
  <si>
    <t>CO - 137</t>
  </si>
  <si>
    <t>CO - 138</t>
  </si>
  <si>
    <t>CO - 139</t>
  </si>
  <si>
    <t>CO - 140</t>
  </si>
  <si>
    <t>CO - 141</t>
  </si>
  <si>
    <t>CO - 142</t>
  </si>
  <si>
    <t>CO - 143</t>
  </si>
  <si>
    <t>CO - 144</t>
  </si>
  <si>
    <t>CO - 145</t>
  </si>
  <si>
    <t>CO - 146</t>
  </si>
  <si>
    <t>CO - 147</t>
  </si>
  <si>
    <t>CO - 148</t>
  </si>
  <si>
    <t>CO - 149</t>
  </si>
  <si>
    <t>CO - 150</t>
  </si>
  <si>
    <t>CO - 151</t>
  </si>
  <si>
    <t>CO - 152</t>
  </si>
  <si>
    <t>CO - 153</t>
  </si>
  <si>
    <t>Navigation completed after a noticeable delay (approximately 5 seconds).</t>
  </si>
  <si>
    <t>CO - 154</t>
  </si>
  <si>
    <t>CO - 155</t>
  </si>
  <si>
    <t>CO - 156</t>
  </si>
  <si>
    <t>CO - 157</t>
  </si>
  <si>
    <t>CO - 158</t>
  </si>
  <si>
    <t>CO - 159</t>
  </si>
  <si>
    <t>CO - 160</t>
  </si>
  <si>
    <t>CO - 161</t>
  </si>
  <si>
    <t>CO - 162</t>
  </si>
  <si>
    <t>CO - 163</t>
  </si>
  <si>
    <t>CO - 164</t>
  </si>
  <si>
    <t>CO - 165</t>
  </si>
  <si>
    <t>CO - 166</t>
  </si>
  <si>
    <t>CO - 167</t>
  </si>
  <si>
    <t>CO - 168</t>
  </si>
  <si>
    <t>CO - 169</t>
  </si>
  <si>
    <t>CO - 170</t>
  </si>
  <si>
    <t>CO - 171</t>
  </si>
  <si>
    <t>CO - 172</t>
  </si>
  <si>
    <t>CO - 173</t>
  </si>
  <si>
    <t>CO - 174</t>
  </si>
  <si>
    <t>CO - 175</t>
  </si>
  <si>
    <t>CO - 176</t>
  </si>
  <si>
    <t>CO - 177</t>
  </si>
  <si>
    <t>CO - 178</t>
  </si>
  <si>
    <t>CO - 179</t>
  </si>
  <si>
    <t>Unable to enter text into the input field.</t>
  </si>
  <si>
    <t>CO - 180</t>
  </si>
  <si>
    <t>CO - 181</t>
  </si>
  <si>
    <t>CO - 182</t>
  </si>
  <si>
    <t>CO - 183</t>
  </si>
  <si>
    <t>CO - 184</t>
  </si>
  <si>
    <t>CO - 185</t>
  </si>
  <si>
    <t>CO - 186</t>
  </si>
  <si>
    <t>poceeds even without input</t>
  </si>
  <si>
    <t>CO - 187</t>
  </si>
  <si>
    <t>CO - 188</t>
  </si>
  <si>
    <t>CO - 189</t>
  </si>
  <si>
    <t>CO - 190</t>
  </si>
  <si>
    <t>CO - 191</t>
  </si>
  <si>
    <t>CO - 192</t>
  </si>
  <si>
    <t>CO - 193</t>
  </si>
  <si>
    <t>CO - 194</t>
  </si>
  <si>
    <t>CO - 195</t>
  </si>
  <si>
    <t>CO - 196</t>
  </si>
  <si>
    <t>CO - 197</t>
  </si>
  <si>
    <t>CO - 198</t>
  </si>
  <si>
    <t>CO - 199</t>
  </si>
  <si>
    <t>CO - 200</t>
  </si>
  <si>
    <t>CO - 201</t>
  </si>
  <si>
    <t>CO - 202</t>
  </si>
  <si>
    <t>CO - 203</t>
  </si>
  <si>
    <t>CO - 204</t>
  </si>
  <si>
    <t>CO - 205</t>
  </si>
  <si>
    <t>CO - 206</t>
  </si>
  <si>
    <t>CO - 207</t>
  </si>
  <si>
    <t>CO - 208</t>
  </si>
  <si>
    <t>CO - 209</t>
  </si>
  <si>
    <t>CO - 210</t>
  </si>
  <si>
    <t>CO - 211</t>
  </si>
  <si>
    <t>CO - 212</t>
  </si>
  <si>
    <t>CO - 213</t>
  </si>
  <si>
    <t>no description</t>
  </si>
  <si>
    <t>CO - 214</t>
  </si>
  <si>
    <t>CO - 215</t>
  </si>
  <si>
    <t>CO - 216</t>
  </si>
  <si>
    <t>CO - 217</t>
  </si>
  <si>
    <t>CO - 218</t>
  </si>
  <si>
    <t>CO - 219</t>
  </si>
  <si>
    <t>CO - 220</t>
  </si>
  <si>
    <t>CO - 221</t>
  </si>
  <si>
    <t>not clickable; doesnt function at all</t>
  </si>
  <si>
    <t>CO - 222</t>
  </si>
  <si>
    <t>CO - 223</t>
  </si>
  <si>
    <t>CO - 224</t>
  </si>
  <si>
    <t>CO - 225</t>
  </si>
  <si>
    <t>CO - 226</t>
  </si>
  <si>
    <t>CO - 227</t>
  </si>
  <si>
    <t>CO - 228</t>
  </si>
  <si>
    <t>CO - 229</t>
  </si>
  <si>
    <t>CO - 230</t>
  </si>
  <si>
    <t>CO - 231</t>
  </si>
  <si>
    <t>CO - 232</t>
  </si>
  <si>
    <t>Page failed to load after clicking the Finish button.</t>
  </si>
  <si>
    <t>CO - 233</t>
  </si>
  <si>
    <t>Unable to verify because the Checkout Complete page did not load</t>
  </si>
  <si>
    <t>CO - 234</t>
  </si>
  <si>
    <t>CO - 235</t>
  </si>
  <si>
    <t>CO - 236</t>
  </si>
  <si>
    <t>CO - 237</t>
  </si>
  <si>
    <t>CO - 238</t>
  </si>
  <si>
    <t>CO - 239</t>
  </si>
  <si>
    <t>CO - 240</t>
  </si>
  <si>
    <t>CO - 241</t>
  </si>
  <si>
    <t>CO - 242</t>
  </si>
  <si>
    <t>CO - 243</t>
  </si>
  <si>
    <t>CO - 244</t>
  </si>
  <si>
    <t>CO - 245</t>
  </si>
  <si>
    <t>CO - 246</t>
  </si>
  <si>
    <t>CO - 247</t>
  </si>
  <si>
    <t>CO - 248</t>
  </si>
  <si>
    <t>CO - 249</t>
  </si>
  <si>
    <t>CO - 250</t>
  </si>
  <si>
    <t>CO - 251</t>
  </si>
  <si>
    <t>CO - 252</t>
  </si>
  <si>
    <t>CO - 253</t>
  </si>
  <si>
    <t>CO - 254</t>
  </si>
  <si>
    <t>CO - 255</t>
  </si>
  <si>
    <t>CO - 256</t>
  </si>
  <si>
    <t>CO - 257</t>
  </si>
  <si>
    <t>CO - 258</t>
  </si>
  <si>
    <t>CO - 259</t>
  </si>
  <si>
    <t>CO - 260</t>
  </si>
  <si>
    <t>CO - 261</t>
  </si>
  <si>
    <t>CO - 262</t>
  </si>
  <si>
    <t>CO - 263</t>
  </si>
  <si>
    <t>Displayed item price does not match the price of the item added to the cart.</t>
  </si>
  <si>
    <t>CO - 264</t>
  </si>
  <si>
    <t>CO - 265</t>
  </si>
  <si>
    <t>CO - 266</t>
  </si>
  <si>
    <t>CO - 267</t>
  </si>
  <si>
    <t>CO - 268</t>
  </si>
  <si>
    <t>CO - 269</t>
  </si>
  <si>
    <t>CO - 270</t>
  </si>
  <si>
    <t>CO - 271</t>
  </si>
  <si>
    <t>CO - 272</t>
  </si>
  <si>
    <t>CO - 273</t>
  </si>
  <si>
    <t>CO - 274</t>
  </si>
  <si>
    <t>CO - 275</t>
  </si>
  <si>
    <t>CO - 276</t>
  </si>
  <si>
    <t>CO - 277</t>
  </si>
  <si>
    <t>CO - 278</t>
  </si>
  <si>
    <t>CO - 279</t>
  </si>
  <si>
    <t>CO - 280</t>
  </si>
  <si>
    <t>The user should be redirected to inventory.html (Products page), and the cart should reflect or show no item</t>
  </si>
  <si>
    <t>CO - 281</t>
  </si>
  <si>
    <t>CO - 282</t>
  </si>
  <si>
    <t>CO - 283</t>
  </si>
  <si>
    <t>CO - 284</t>
  </si>
  <si>
    <t>CO - 285</t>
  </si>
  <si>
    <t>CO - 286</t>
  </si>
  <si>
    <t>CO - 287</t>
  </si>
  <si>
    <t>CO - 288</t>
  </si>
  <si>
    <t>CO - 289</t>
  </si>
  <si>
    <t>CO - 290</t>
  </si>
  <si>
    <t>CO - 291</t>
  </si>
  <si>
    <t>CO - 292</t>
  </si>
  <si>
    <t>CO - 293</t>
  </si>
  <si>
    <t>Verify checkout page layout</t>
  </si>
  <si>
    <t>User is logged in as visual_user and has at least one item in the cart.</t>
  </si>
  <si>
    <t>1. Click the cart icon.
2. Click Checkout.
3. Observe the Checkout: Information page.</t>
  </si>
  <si>
    <t>All UI elements (title, labels, input fields, and buttons) are properly aligned, visible, and free from visual defects.</t>
  </si>
  <si>
    <t>UI elements are misaligned on the Checkout Information page.</t>
  </si>
  <si>
    <t>CO - 294</t>
  </si>
  <si>
    <t>Checkout Information Fields</t>
  </si>
  <si>
    <t>Verify input fields are displayed correctly</t>
  </si>
  <si>
    <t>User is on checkout-step-one.html.</t>
  </si>
  <si>
    <t>1. Observe the input fields.
2. Click each field.</t>
  </si>
  <si>
    <t>Input fields have consistent size, spacing, borders, and are fully visible.</t>
  </si>
  <si>
    <t>CO - 295</t>
  </si>
  <si>
    <t>Checkout Overview</t>
  </si>
  <si>
    <t>Verify that order summary are displayed correctly.</t>
  </si>
  <si>
    <t>User has completed the Checkout Information page and is on checkout-step-two.html.</t>
  </si>
  <si>
    <t>1. Observe the item details and prices.</t>
  </si>
  <si>
    <t xml:space="preserve"> Text and prices are properly aligned.</t>
  </si>
  <si>
    <t>CO - 296</t>
  </si>
  <si>
    <t>Checkout Complete</t>
  </si>
  <si>
    <t>Verify that the confirmation page is displayed correctly.</t>
  </si>
  <si>
    <t>User has completed the checkout process.</t>
  </si>
  <si>
    <t>1. Click Finish.
2. Observe the confirmation page.</t>
  </si>
  <si>
    <t>The confirmation message and Back Home button are properly displayed and aligned.</t>
  </si>
  <si>
    <t>CO - 297</t>
  </si>
  <si>
    <t>CO - 298</t>
  </si>
  <si>
    <t>CO - 299</t>
  </si>
  <si>
    <t>CO - 300</t>
  </si>
  <si>
    <t>CO - 301</t>
  </si>
  <si>
    <t>CO - 302</t>
  </si>
  <si>
    <t>CO - 303</t>
  </si>
  <si>
    <t>CO - 304</t>
  </si>
  <si>
    <t>CO - 305</t>
  </si>
  <si>
    <t>CO - 306</t>
  </si>
  <si>
    <t>CO - 307</t>
  </si>
  <si>
    <t>CO - 308</t>
  </si>
  <si>
    <t>CO - 309</t>
  </si>
  <si>
    <t>CO - 310</t>
  </si>
  <si>
    <t>CO - 311</t>
  </si>
  <si>
    <t>CO - 312</t>
  </si>
  <si>
    <t>CO - 313</t>
  </si>
  <si>
    <t>CO - 314</t>
  </si>
  <si>
    <t>CO - 315</t>
  </si>
  <si>
    <t>CO - 316</t>
  </si>
  <si>
    <t>CO - 317</t>
  </si>
  <si>
    <t>CO - 318</t>
  </si>
  <si>
    <t>CO - 319</t>
  </si>
  <si>
    <t>CO - 320</t>
  </si>
  <si>
    <t>CO - 321</t>
  </si>
  <si>
    <t>CO - 322</t>
  </si>
  <si>
    <t>CO - 323</t>
  </si>
  <si>
    <t>CO - 324</t>
  </si>
  <si>
    <t>CO - 325</t>
  </si>
  <si>
    <t>CO - 326</t>
  </si>
  <si>
    <t>CO - 327</t>
  </si>
  <si>
    <t>CO - 328</t>
  </si>
  <si>
    <t>CO - 329</t>
  </si>
  <si>
    <t>CO - 330</t>
  </si>
  <si>
    <t>CO - 331</t>
  </si>
  <si>
    <t>CO - 332</t>
  </si>
  <si>
    <t>CO - 333</t>
  </si>
  <si>
    <t>CO - 334</t>
  </si>
  <si>
    <t>CO - 335</t>
  </si>
  <si>
    <t>CO - 336</t>
  </si>
  <si>
    <t>CO - 337</t>
  </si>
  <si>
    <t>CO - 338</t>
  </si>
  <si>
    <t>CO - 339</t>
  </si>
  <si>
    <t>CO - 340</t>
  </si>
  <si>
    <t>CO - 341</t>
  </si>
  <si>
    <t>CO - 342</t>
  </si>
  <si>
    <t>CO - 343</t>
  </si>
  <si>
    <t>CO - 344</t>
  </si>
  <si>
    <t>CO - 345</t>
  </si>
  <si>
    <t>CO - 346</t>
  </si>
  <si>
    <t>CO - 347</t>
  </si>
  <si>
    <t>CO - 348</t>
  </si>
  <si>
    <t>CO - 349</t>
  </si>
  <si>
    <t>CO - 350</t>
  </si>
  <si>
    <t>CO - 351</t>
  </si>
  <si>
    <t>CO - 352</t>
  </si>
  <si>
    <t>CO - 353</t>
  </si>
  <si>
    <t>CO - 354</t>
  </si>
  <si>
    <t>CO - 355</t>
  </si>
  <si>
    <t>CO - 356</t>
  </si>
  <si>
    <t>CO - 357</t>
  </si>
  <si>
    <t>CO - 358</t>
  </si>
  <si>
    <t>CO - 359</t>
  </si>
  <si>
    <t>CO - 360</t>
  </si>
  <si>
    <t>CO - 361</t>
  </si>
  <si>
    <t>CO - 362</t>
  </si>
  <si>
    <t>CO - 363</t>
  </si>
  <si>
    <t>CO - 364</t>
  </si>
  <si>
    <t>CO - 365</t>
  </si>
  <si>
    <t>CO - 366</t>
  </si>
  <si>
    <t>CO - 367</t>
  </si>
  <si>
    <t>CO - 368</t>
  </si>
  <si>
    <t>CO - 369</t>
  </si>
  <si>
    <t>CO - 370</t>
  </si>
  <si>
    <t>CO - 371</t>
  </si>
  <si>
    <t>CO - 372</t>
  </si>
  <si>
    <t>CO - 373</t>
  </si>
  <si>
    <t>CO - 374</t>
  </si>
  <si>
    <t>CO - 375</t>
  </si>
  <si>
    <t>CO - 376</t>
  </si>
  <si>
    <t>CO - 377</t>
  </si>
  <si>
    <t>CO - 378</t>
  </si>
  <si>
    <t>CO - 379</t>
  </si>
  <si>
    <t>CO - 380</t>
  </si>
  <si>
    <t>CO - 381</t>
  </si>
  <si>
    <t>CO - 382</t>
  </si>
  <si>
    <t>CO - 383</t>
  </si>
  <si>
    <t>CO - 384</t>
  </si>
  <si>
    <t>CO - 385</t>
  </si>
  <si>
    <t>CO - 386</t>
  </si>
  <si>
    <t>CO - 387</t>
  </si>
  <si>
    <t>CO - 388</t>
  </si>
  <si>
    <t>CO - 389</t>
  </si>
  <si>
    <t>CO - 390</t>
  </si>
  <si>
    <t>CO - 391</t>
  </si>
  <si>
    <t>CO - 392</t>
  </si>
  <si>
    <t>CO - 393</t>
  </si>
  <si>
    <t>CO - 394</t>
  </si>
  <si>
    <t>CO - 395</t>
  </si>
  <si>
    <t>CO - 396</t>
  </si>
  <si>
    <t>CO - 397</t>
  </si>
  <si>
    <t>CO - 398</t>
  </si>
  <si>
    <t>CO - 399</t>
  </si>
  <si>
    <t>CO - 400</t>
  </si>
  <si>
    <t>CO - 401</t>
  </si>
  <si>
    <t>CO - 402</t>
  </si>
  <si>
    <t>CO - 403</t>
  </si>
  <si>
    <t>CO - 404</t>
  </si>
  <si>
    <t>CO - 405</t>
  </si>
  <si>
    <t>CO - 406</t>
  </si>
  <si>
    <t>CO - 407</t>
  </si>
  <si>
    <t>CO - 408</t>
  </si>
  <si>
    <t>CO - 409</t>
  </si>
  <si>
    <t>CO - 410</t>
  </si>
  <si>
    <t>CO - 411</t>
  </si>
  <si>
    <t>CO - 412</t>
  </si>
  <si>
    <t>CO - 413</t>
  </si>
  <si>
    <t>CO - 414</t>
  </si>
  <si>
    <t>CO - 415</t>
  </si>
  <si>
    <t>CO - 416</t>
  </si>
  <si>
    <t>CO - 417</t>
  </si>
  <si>
    <t>CO - 418</t>
  </si>
  <si>
    <t>CO - 419</t>
  </si>
  <si>
    <t>CO - 420</t>
  </si>
  <si>
    <t>CO - 421</t>
  </si>
  <si>
    <t>CO - 422</t>
  </si>
  <si>
    <t>CO - 423</t>
  </si>
  <si>
    <t>CO - 424</t>
  </si>
  <si>
    <t>CO - 425</t>
  </si>
  <si>
    <t>CO - 426</t>
  </si>
  <si>
    <t>CO - 427</t>
  </si>
  <si>
    <t>CO - 428</t>
  </si>
  <si>
    <t>CO - 429</t>
  </si>
  <si>
    <t>CO - 430</t>
  </si>
  <si>
    <t>CO - 431</t>
  </si>
  <si>
    <t>CO - 432</t>
  </si>
  <si>
    <t>CO - 433</t>
  </si>
  <si>
    <t>CO - 434</t>
  </si>
  <si>
    <t>CO - 435</t>
  </si>
  <si>
    <t>CO - 436</t>
  </si>
  <si>
    <t>CO - 437</t>
  </si>
  <si>
    <t>CO - 438</t>
  </si>
  <si>
    <t>CO - 439</t>
  </si>
  <si>
    <t>CO - 440</t>
  </si>
  <si>
    <t>CO - 441</t>
  </si>
  <si>
    <t>CO - 442</t>
  </si>
  <si>
    <t>CO - 443</t>
  </si>
  <si>
    <t>CO - 444</t>
  </si>
  <si>
    <t>CO - 445</t>
  </si>
  <si>
    <t>CO - 446</t>
  </si>
  <si>
    <t>CO - 447</t>
  </si>
  <si>
    <t>CO - 448</t>
  </si>
  <si>
    <t>CO - 449</t>
  </si>
  <si>
    <t>CO - 450</t>
  </si>
  <si>
    <t>CO - 451</t>
  </si>
  <si>
    <t>CO - 452</t>
  </si>
  <si>
    <t>CO - 453</t>
  </si>
  <si>
    <t>CO - 454</t>
  </si>
  <si>
    <t>CO - 455</t>
  </si>
  <si>
    <t>CO - 456</t>
  </si>
  <si>
    <t>CO - 457</t>
  </si>
  <si>
    <t>CO - 458</t>
  </si>
  <si>
    <t>CO - 459</t>
  </si>
  <si>
    <t>CO - 460</t>
  </si>
  <si>
    <t>CO - 461</t>
  </si>
  <si>
    <t>CO - 462</t>
  </si>
  <si>
    <t>CO - 463</t>
  </si>
  <si>
    <t>CO - 464</t>
  </si>
  <si>
    <t>CO - 465</t>
  </si>
  <si>
    <t>CO - 466</t>
  </si>
  <si>
    <t>CO - 467</t>
  </si>
  <si>
    <t>CO - 468</t>
  </si>
  <si>
    <t>CO - 469</t>
  </si>
  <si>
    <t>CO - 470</t>
  </si>
  <si>
    <t>CO - 471</t>
  </si>
  <si>
    <t>CO - 472</t>
  </si>
  <si>
    <t>CO - 473</t>
  </si>
  <si>
    <t>CO - 474</t>
  </si>
  <si>
    <t>CO - 475</t>
  </si>
  <si>
    <t>CO - 476</t>
  </si>
  <si>
    <t>CO - 477</t>
  </si>
  <si>
    <t>CO - 478</t>
  </si>
  <si>
    <t>CO - 479</t>
  </si>
  <si>
    <t>CO - 480</t>
  </si>
  <si>
    <t>CO - 481</t>
  </si>
  <si>
    <t>CO - 482</t>
  </si>
  <si>
    <t>CO - 483</t>
  </si>
  <si>
    <t>CO - 484</t>
  </si>
  <si>
    <t>CO - 485</t>
  </si>
  <si>
    <t>CO - 486</t>
  </si>
  <si>
    <t>CO - 487</t>
  </si>
  <si>
    <t>CO - 488</t>
  </si>
  <si>
    <t>CO - 489</t>
  </si>
  <si>
    <t>CO - 490</t>
  </si>
  <si>
    <t>CO - 491</t>
  </si>
  <si>
    <t>CO - 492</t>
  </si>
  <si>
    <t>CO - 493</t>
  </si>
  <si>
    <t>CO - 494</t>
  </si>
  <si>
    <t>CO - 495</t>
  </si>
  <si>
    <t>CO - 496</t>
  </si>
  <si>
    <t>CO - 497</t>
  </si>
  <si>
    <t>CO - 498</t>
  </si>
  <si>
    <t>CO - 499</t>
  </si>
  <si>
    <t>CO - 500</t>
  </si>
  <si>
    <t>CO - 501</t>
  </si>
  <si>
    <t>CO - 502</t>
  </si>
  <si>
    <t>CO - 503</t>
  </si>
  <si>
    <t>CO - 504</t>
  </si>
  <si>
    <t>CO - 505</t>
  </si>
  <si>
    <t>CO - 506</t>
  </si>
  <si>
    <t>CO - 507</t>
  </si>
  <si>
    <t>CO - 508</t>
  </si>
  <si>
    <t>CO - 509</t>
  </si>
  <si>
    <t>CO - 510</t>
  </si>
  <si>
    <t>CO - 511</t>
  </si>
  <si>
    <t>CO - 512</t>
  </si>
  <si>
    <t>CO - 513</t>
  </si>
  <si>
    <t>CO - 514</t>
  </si>
  <si>
    <t>CO - 515</t>
  </si>
  <si>
    <t>CO - 516</t>
  </si>
  <si>
    <t>CO - 517</t>
  </si>
  <si>
    <t>CO - 518</t>
  </si>
  <si>
    <t>CO - 519</t>
  </si>
  <si>
    <t>CO - 520</t>
  </si>
  <si>
    <t>CO - 521</t>
  </si>
  <si>
    <t>CO - 522</t>
  </si>
  <si>
    <t>CO - 523</t>
  </si>
  <si>
    <t>CO - 524</t>
  </si>
  <si>
    <t>CO - 525</t>
  </si>
  <si>
    <t>CO - 526</t>
  </si>
  <si>
    <t>CO - 527</t>
  </si>
  <si>
    <t>CO - 528</t>
  </si>
  <si>
    <t>CO - 529</t>
  </si>
  <si>
    <t>CO - 530</t>
  </si>
  <si>
    <t>CO - 531</t>
  </si>
  <si>
    <t>CO - 532</t>
  </si>
  <si>
    <t>CO - 533</t>
  </si>
  <si>
    <t>CO - 534</t>
  </si>
  <si>
    <t>CO - 535</t>
  </si>
  <si>
    <t>CO - 536</t>
  </si>
  <si>
    <t>CO - 537</t>
  </si>
  <si>
    <t>CO - 538</t>
  </si>
  <si>
    <t>CO - 539</t>
  </si>
  <si>
    <t>CO - 540</t>
  </si>
  <si>
    <t>CO - 541</t>
  </si>
  <si>
    <t>CO - 542</t>
  </si>
  <si>
    <t>CO - 543</t>
  </si>
  <si>
    <t>CO - 544</t>
  </si>
  <si>
    <t>CO - 545</t>
  </si>
  <si>
    <t>CO - 546</t>
  </si>
  <si>
    <t>CO - 547</t>
  </si>
  <si>
    <t>CO - 548</t>
  </si>
  <si>
    <t>CO - 549</t>
  </si>
  <si>
    <t>CO - 550</t>
  </si>
  <si>
    <t>CO - 551</t>
  </si>
  <si>
    <t>CO - 552</t>
  </si>
  <si>
    <t>CO - 553</t>
  </si>
  <si>
    <t>CO - 554</t>
  </si>
  <si>
    <t>CO - 555</t>
  </si>
  <si>
    <t>CO - 556</t>
  </si>
  <si>
    <t>CO - 557</t>
  </si>
  <si>
    <t>CO - 558</t>
  </si>
  <si>
    <t>CO - 559</t>
  </si>
  <si>
    <t>CO - 560</t>
  </si>
  <si>
    <t>CO - 561</t>
  </si>
  <si>
    <t>CO - 562</t>
  </si>
  <si>
    <t>CO - 563</t>
  </si>
  <si>
    <t>CO - 564</t>
  </si>
  <si>
    <t>CO - 565</t>
  </si>
  <si>
    <t>CO - 566</t>
  </si>
  <si>
    <t>CO - 567</t>
  </si>
  <si>
    <t>CO - 568</t>
  </si>
  <si>
    <t>CO - 569</t>
  </si>
  <si>
    <t>CO - 570</t>
  </si>
  <si>
    <t>CO - 571</t>
  </si>
  <si>
    <t>CO - 572</t>
  </si>
  <si>
    <t>CO - 573</t>
  </si>
  <si>
    <t>CO - 574</t>
  </si>
  <si>
    <t>CO - 575</t>
  </si>
  <si>
    <t>CO - 576</t>
  </si>
  <si>
    <t>CO - 577</t>
  </si>
  <si>
    <t>CO - 578</t>
  </si>
  <si>
    <t>CO - 579</t>
  </si>
  <si>
    <t>CO - 580</t>
  </si>
  <si>
    <t>CO - 581</t>
  </si>
  <si>
    <t>CO - 582</t>
  </si>
  <si>
    <t>CO - 583</t>
  </si>
  <si>
    <t>CO - 584</t>
  </si>
  <si>
    <t>CO - 585</t>
  </si>
  <si>
    <t>CO - 586</t>
  </si>
  <si>
    <t>CO - 587</t>
  </si>
  <si>
    <t>CO - 588</t>
  </si>
  <si>
    <t>CO - 589</t>
  </si>
  <si>
    <t>CO - 590</t>
  </si>
  <si>
    <t>CO - 591</t>
  </si>
  <si>
    <t>CO - 592</t>
  </si>
  <si>
    <t>CO - 593</t>
  </si>
  <si>
    <t>CO - 594</t>
  </si>
  <si>
    <t>CO - 595</t>
  </si>
  <si>
    <t>CO - 596</t>
  </si>
  <si>
    <t>CO - 597</t>
  </si>
  <si>
    <t>CO - 598</t>
  </si>
  <si>
    <t>CO - 599</t>
  </si>
  <si>
    <t>CO - 600</t>
  </si>
  <si>
    <t>CO - 601</t>
  </si>
  <si>
    <t>CO - 602</t>
  </si>
  <si>
    <t>CO - 603</t>
  </si>
  <si>
    <t>CO - 604</t>
  </si>
  <si>
    <t>CO - 605</t>
  </si>
  <si>
    <t>CO - 606</t>
  </si>
  <si>
    <t>CO - 607</t>
  </si>
  <si>
    <t>CO - 608</t>
  </si>
  <si>
    <t>CO - 609</t>
  </si>
  <si>
    <t>CO - 610</t>
  </si>
  <si>
    <t>CO - 611</t>
  </si>
  <si>
    <t>CO - 612</t>
  </si>
  <si>
    <t>CO - 613</t>
  </si>
  <si>
    <t>CO - 614</t>
  </si>
  <si>
    <t>CO - 615</t>
  </si>
  <si>
    <t>CO - 616</t>
  </si>
  <si>
    <t>CO - 617</t>
  </si>
  <si>
    <t>CO - 618</t>
  </si>
  <si>
    <t>CO - 619</t>
  </si>
  <si>
    <t>CO - 620</t>
  </si>
  <si>
    <t>CO - 621</t>
  </si>
  <si>
    <t>CO - 622</t>
  </si>
  <si>
    <t>CO - 623</t>
  </si>
  <si>
    <t>CO - 624</t>
  </si>
  <si>
    <t>CO - 625</t>
  </si>
  <si>
    <t>CO - 626</t>
  </si>
  <si>
    <t>CO - 627</t>
  </si>
  <si>
    <t>CO - 628</t>
  </si>
  <si>
    <t>CO - 629</t>
  </si>
  <si>
    <t>CO - 630</t>
  </si>
  <si>
    <t>CO - 631</t>
  </si>
  <si>
    <t>CO - 632</t>
  </si>
  <si>
    <t>CO - 633</t>
  </si>
  <si>
    <t>CO - 634</t>
  </si>
  <si>
    <t>CO - 635</t>
  </si>
  <si>
    <t>CO - 636</t>
  </si>
  <si>
    <t>CO - 637</t>
  </si>
  <si>
    <t>CO - 638</t>
  </si>
  <si>
    <t>CO - 639</t>
  </si>
  <si>
    <t>CO - 640</t>
  </si>
  <si>
    <t>CO - 641</t>
  </si>
  <si>
    <t>CO - 642</t>
  </si>
  <si>
    <t>CO - 643</t>
  </si>
  <si>
    <t>CO - 644</t>
  </si>
  <si>
    <t>CO - 645</t>
  </si>
  <si>
    <t>CO - 646</t>
  </si>
  <si>
    <t>CO - 647</t>
  </si>
  <si>
    <t>CO - 648</t>
  </si>
  <si>
    <t>CO - 649</t>
  </si>
  <si>
    <t>CO - 650</t>
  </si>
  <si>
    <t>CO - 651</t>
  </si>
  <si>
    <t>CO - 652</t>
  </si>
  <si>
    <t>CO - 653</t>
  </si>
  <si>
    <t>CO - 654</t>
  </si>
  <si>
    <t>CO - 655</t>
  </si>
  <si>
    <t>CO - 656</t>
  </si>
  <si>
    <t>CO - 657</t>
  </si>
  <si>
    <t>CO - 658</t>
  </si>
  <si>
    <t>CO - 659</t>
  </si>
  <si>
    <t>CO - 660</t>
  </si>
  <si>
    <t>CO - 661</t>
  </si>
  <si>
    <t>CO - 662</t>
  </si>
  <si>
    <t>CO - 663</t>
  </si>
  <si>
    <t>CO - 664</t>
  </si>
  <si>
    <t>CO - 665</t>
  </si>
  <si>
    <t>CO - 666</t>
  </si>
  <si>
    <t>CO - 667</t>
  </si>
  <si>
    <t>CO - 668</t>
  </si>
  <si>
    <t>CO - 669</t>
  </si>
  <si>
    <t>CO - 670</t>
  </si>
  <si>
    <t>CO - 671</t>
  </si>
  <si>
    <t>CO - 672</t>
  </si>
  <si>
    <t>CO - 673</t>
  </si>
  <si>
    <t>CO - 674</t>
  </si>
  <si>
    <t>CO - 675</t>
  </si>
  <si>
    <t>CO - 676</t>
  </si>
  <si>
    <t>CO - 677</t>
  </si>
  <si>
    <t>CO - 678</t>
  </si>
  <si>
    <t>CO - 679</t>
  </si>
  <si>
    <t>CO - 680</t>
  </si>
  <si>
    <t>CO - 681</t>
  </si>
  <si>
    <t>CO - 682</t>
  </si>
  <si>
    <t>CO - 683</t>
  </si>
  <si>
    <t>CO - 684</t>
  </si>
  <si>
    <t>CO - 685</t>
  </si>
  <si>
    <t>CO - 686</t>
  </si>
  <si>
    <t>CO - 687</t>
  </si>
  <si>
    <t>CO - 688</t>
  </si>
  <si>
    <t>CO - 689</t>
  </si>
  <si>
    <t>CO - 690</t>
  </si>
  <si>
    <t>CO - 691</t>
  </si>
  <si>
    <t>CO - 692</t>
  </si>
  <si>
    <t>CO - 693</t>
  </si>
  <si>
    <t>CO - 694</t>
  </si>
  <si>
    <t>CO - 695</t>
  </si>
  <si>
    <t>CO - 696</t>
  </si>
  <si>
    <t>CO - 697</t>
  </si>
  <si>
    <t>CO - 698</t>
  </si>
  <si>
    <t>CO - 699</t>
  </si>
  <si>
    <t>CO - 700</t>
  </si>
  <si>
    <t>CO - 701</t>
  </si>
  <si>
    <t>CO - 702</t>
  </si>
  <si>
    <t>CO - 703</t>
  </si>
  <si>
    <t>CO - 704</t>
  </si>
  <si>
    <t>CO - 705</t>
  </si>
  <si>
    <t>CO - 706</t>
  </si>
  <si>
    <t>CO - 707</t>
  </si>
  <si>
    <t>CO - 708</t>
  </si>
  <si>
    <t>CO - 709</t>
  </si>
  <si>
    <t>CO - 710</t>
  </si>
  <si>
    <t>CO - 711</t>
  </si>
  <si>
    <t>CO - 712</t>
  </si>
  <si>
    <t>CO - 713</t>
  </si>
  <si>
    <t>CO - 714</t>
  </si>
  <si>
    <t>CO - 715</t>
  </si>
  <si>
    <t>CO - 716</t>
  </si>
  <si>
    <t>CO - 717</t>
  </si>
  <si>
    <t>CO - 718</t>
  </si>
  <si>
    <t>CO - 719</t>
  </si>
  <si>
    <t>CO - 720</t>
  </si>
  <si>
    <t>CO - 721</t>
  </si>
  <si>
    <t>CO - 722</t>
  </si>
  <si>
    <t>CO - 723</t>
  </si>
  <si>
    <t>CO - 724</t>
  </si>
  <si>
    <t>CO - 725</t>
  </si>
  <si>
    <t>CO - 726</t>
  </si>
  <si>
    <t>CO - 727</t>
  </si>
  <si>
    <t>CO - 728</t>
  </si>
  <si>
    <t>CO - 729</t>
  </si>
  <si>
    <t>CO - 730</t>
  </si>
  <si>
    <t>CO - 731</t>
  </si>
  <si>
    <t>CO - 732</t>
  </si>
  <si>
    <t>CO - 733</t>
  </si>
  <si>
    <t>CO - 734</t>
  </si>
  <si>
    <t>CO - 735</t>
  </si>
  <si>
    <t>CO - 736</t>
  </si>
  <si>
    <t>CO - 737</t>
  </si>
  <si>
    <t>CO - 738</t>
  </si>
  <si>
    <t>CO - 739</t>
  </si>
  <si>
    <t>CO - 740</t>
  </si>
  <si>
    <t>CO - 741</t>
  </si>
  <si>
    <t>CO - 742</t>
  </si>
  <si>
    <t>CO - 743</t>
  </si>
  <si>
    <t>CO - 744</t>
  </si>
  <si>
    <t>CO - 745</t>
  </si>
  <si>
    <t>CO - 746</t>
  </si>
  <si>
    <t>CO - 747</t>
  </si>
  <si>
    <t>CO - 748</t>
  </si>
  <si>
    <t>CO - 749</t>
  </si>
  <si>
    <t>CO - 750</t>
  </si>
  <si>
    <t>CO - 751</t>
  </si>
  <si>
    <t>CO - 752</t>
  </si>
  <si>
    <t>CO - 753</t>
  </si>
  <si>
    <t>CO - 754</t>
  </si>
  <si>
    <t>CO - 755</t>
  </si>
  <si>
    <t>CO - 756</t>
  </si>
  <si>
    <t>CO - 757</t>
  </si>
  <si>
    <t>CO - 758</t>
  </si>
  <si>
    <t>CO - 759</t>
  </si>
  <si>
    <t>CO - 760</t>
  </si>
  <si>
    <t>CO - 761</t>
  </si>
  <si>
    <t>CO - 762</t>
  </si>
  <si>
    <t>CO - 763</t>
  </si>
  <si>
    <t>CO - 764</t>
  </si>
  <si>
    <t>CO - 765</t>
  </si>
  <si>
    <t>CO - 766</t>
  </si>
  <si>
    <t>CO - 767</t>
  </si>
  <si>
    <t>CO - 768</t>
  </si>
  <si>
    <t>CO - 769</t>
  </si>
  <si>
    <t>CO - 770</t>
  </si>
  <si>
    <t>CO - 771</t>
  </si>
  <si>
    <t>CO - 772</t>
  </si>
  <si>
    <t>CO - 773</t>
  </si>
  <si>
    <t>CO - 774</t>
  </si>
  <si>
    <t>CO - 775</t>
  </si>
  <si>
    <t>CO - 776</t>
  </si>
  <si>
    <t>CO - 777</t>
  </si>
  <si>
    <t>CO - 778</t>
  </si>
  <si>
    <t>CO - 779</t>
  </si>
  <si>
    <t>CO - 780</t>
  </si>
  <si>
    <t>CO - 781</t>
  </si>
  <si>
    <t>CO - 782</t>
  </si>
  <si>
    <t>CO - 783</t>
  </si>
  <si>
    <t>CO - 784</t>
  </si>
  <si>
    <t>CO - 785</t>
  </si>
  <si>
    <t>CO - 786</t>
  </si>
  <si>
    <t>CO - 787</t>
  </si>
  <si>
    <t>CO - 788</t>
  </si>
  <si>
    <t>CO - 789</t>
  </si>
  <si>
    <t>CO - 790</t>
  </si>
  <si>
    <t>CO - 791</t>
  </si>
  <si>
    <t>CO - 792</t>
  </si>
  <si>
    <t>CO - 793</t>
  </si>
  <si>
    <t>CO - 794</t>
  </si>
  <si>
    <t>CO - 795</t>
  </si>
  <si>
    <t>CO - 796</t>
  </si>
  <si>
    <t>CO - 797</t>
  </si>
  <si>
    <t>CO - 798</t>
  </si>
  <si>
    <t>CO - 799</t>
  </si>
  <si>
    <t>CO - 800</t>
  </si>
  <si>
    <t>CO - 801</t>
  </si>
  <si>
    <t>CO - 802</t>
  </si>
  <si>
    <t>CO - 803</t>
  </si>
  <si>
    <t>CO - 804</t>
  </si>
  <si>
    <t>CO - 805</t>
  </si>
  <si>
    <t>CO - 806</t>
  </si>
  <si>
    <t>CO - 807</t>
  </si>
  <si>
    <t>CO - 808</t>
  </si>
  <si>
    <t>CO - 809</t>
  </si>
  <si>
    <t>CO - 810</t>
  </si>
  <si>
    <t>CO - 811</t>
  </si>
  <si>
    <t>CO - 812</t>
  </si>
  <si>
    <t>CO - 813</t>
  </si>
  <si>
    <t>CO - 814</t>
  </si>
  <si>
    <t>CO - 815</t>
  </si>
  <si>
    <t>CO - 816</t>
  </si>
  <si>
    <t>CO - 817</t>
  </si>
  <si>
    <t>CO - 818</t>
  </si>
  <si>
    <t>CO - 819</t>
  </si>
  <si>
    <t>CO - 820</t>
  </si>
  <si>
    <t>CO - 821</t>
  </si>
  <si>
    <t>CO - 822</t>
  </si>
  <si>
    <t>CO - 823</t>
  </si>
  <si>
    <t>CO - 824</t>
  </si>
  <si>
    <t>CO - 825</t>
  </si>
  <si>
    <t>CO - 826</t>
  </si>
  <si>
    <t>CO - 827</t>
  </si>
  <si>
    <t>CO - 828</t>
  </si>
  <si>
    <t>CO - 829</t>
  </si>
  <si>
    <t>CO - 830</t>
  </si>
  <si>
    <t>CO - 831</t>
  </si>
  <si>
    <t>CO - 832</t>
  </si>
  <si>
    <t>CO - 833</t>
  </si>
  <si>
    <t>CO - 834</t>
  </si>
  <si>
    <t>CO - 835</t>
  </si>
  <si>
    <t>CO - 836</t>
  </si>
  <si>
    <t>CO - 837</t>
  </si>
  <si>
    <t>CO - 838</t>
  </si>
  <si>
    <t>CO - 839</t>
  </si>
  <si>
    <t>CO - 840</t>
  </si>
  <si>
    <t>CO - 841</t>
  </si>
  <si>
    <t>CO - 842</t>
  </si>
  <si>
    <t>CO - 843</t>
  </si>
  <si>
    <t>CO - 844</t>
  </si>
  <si>
    <t>CO - 845</t>
  </si>
  <si>
    <t>CO - 846</t>
  </si>
  <si>
    <t>CO - 847</t>
  </si>
  <si>
    <t>CO - 848</t>
  </si>
  <si>
    <t>CO - 849</t>
  </si>
  <si>
    <t>CO - 850</t>
  </si>
  <si>
    <t>CO - 851</t>
  </si>
  <si>
    <t>CO - 852</t>
  </si>
  <si>
    <t>CO - 853</t>
  </si>
  <si>
    <t>CO - 854</t>
  </si>
  <si>
    <t>CO - 855</t>
  </si>
  <si>
    <t>CO - 856</t>
  </si>
  <si>
    <t>CO - 857</t>
  </si>
  <si>
    <t>CO - 858</t>
  </si>
  <si>
    <t>CO - 859</t>
  </si>
  <si>
    <t>CO - 860</t>
  </si>
  <si>
    <t>CO - 861</t>
  </si>
  <si>
    <t>CO - 862</t>
  </si>
  <si>
    <t>CO - 863</t>
  </si>
  <si>
    <t>CO - 864</t>
  </si>
  <si>
    <t>CO - 865</t>
  </si>
  <si>
    <t>CO - 866</t>
  </si>
  <si>
    <t>CO - 867</t>
  </si>
  <si>
    <t>CO - 868</t>
  </si>
  <si>
    <t>CO - 869</t>
  </si>
  <si>
    <t>CO - 870</t>
  </si>
  <si>
    <t>CO - 871</t>
  </si>
  <si>
    <t>CO - 872</t>
  </si>
  <si>
    <t>CO - 873</t>
  </si>
  <si>
    <t>CO - 874</t>
  </si>
  <si>
    <t>CO - 875</t>
  </si>
  <si>
    <t>CO - 876</t>
  </si>
  <si>
    <t>CO - 877</t>
  </si>
  <si>
    <t>CO - 878</t>
  </si>
  <si>
    <t>CO - 879</t>
  </si>
  <si>
    <t>CO - 880</t>
  </si>
  <si>
    <t>CO - 881</t>
  </si>
  <si>
    <t>CO - 882</t>
  </si>
  <si>
    <t>CO - 883</t>
  </si>
  <si>
    <t>CO - 884</t>
  </si>
  <si>
    <t>CO - 885</t>
  </si>
  <si>
    <t>CO - 886</t>
  </si>
  <si>
    <t>CO - 887</t>
  </si>
  <si>
    <t>CO - 888</t>
  </si>
  <si>
    <t>CO - 889</t>
  </si>
  <si>
    <t>CO - 890</t>
  </si>
  <si>
    <t>CO - 891</t>
  </si>
  <si>
    <t>CO - 892</t>
  </si>
  <si>
    <t>CO - 893</t>
  </si>
  <si>
    <t>CO - 894</t>
  </si>
  <si>
    <t>CO - 895</t>
  </si>
  <si>
    <t>CO - 896</t>
  </si>
  <si>
    <t>CO - 897</t>
  </si>
  <si>
    <t>CO - 898</t>
  </si>
  <si>
    <t>CO - 899</t>
  </si>
  <si>
    <t>CO - 900</t>
  </si>
  <si>
    <t>CO - 901</t>
  </si>
  <si>
    <t>CO - 902</t>
  </si>
  <si>
    <t>CO - 903</t>
  </si>
  <si>
    <t>CO - 904</t>
  </si>
  <si>
    <t>CO - 905</t>
  </si>
  <si>
    <t>CO - 906</t>
  </si>
  <si>
    <t>CO - 907</t>
  </si>
  <si>
    <t>CO - 908</t>
  </si>
  <si>
    <t>CO - 909</t>
  </si>
  <si>
    <t>CO - 910</t>
  </si>
  <si>
    <t>CO - 911</t>
  </si>
  <si>
    <t>CO - 912</t>
  </si>
  <si>
    <t>CO - 913</t>
  </si>
  <si>
    <t>CO - 914</t>
  </si>
  <si>
    <t>CO - 915</t>
  </si>
  <si>
    <t>CO - 916</t>
  </si>
  <si>
    <t>CO - 917</t>
  </si>
  <si>
    <t>CO - 918</t>
  </si>
  <si>
    <t>CO - 919</t>
  </si>
  <si>
    <t>CO - 920</t>
  </si>
  <si>
    <t>CO - 921</t>
  </si>
  <si>
    <t>CO - 922</t>
  </si>
  <si>
    <t>CO - 923</t>
  </si>
  <si>
    <t>CO - 924</t>
  </si>
  <si>
    <t>CO - 925</t>
  </si>
  <si>
    <t>CO - 926</t>
  </si>
  <si>
    <t>CO - 927</t>
  </si>
  <si>
    <t>CO - 928</t>
  </si>
  <si>
    <t>CO - 929</t>
  </si>
  <si>
    <t>CO - 930</t>
  </si>
  <si>
    <t>CO - 931</t>
  </si>
  <si>
    <t>CO - 932</t>
  </si>
  <si>
    <t>CO - 933</t>
  </si>
  <si>
    <t>CO - 934</t>
  </si>
  <si>
    <t>CO - 935</t>
  </si>
  <si>
    <t>CO - 936</t>
  </si>
  <si>
    <t>CO - 937</t>
  </si>
  <si>
    <t>CO - 938</t>
  </si>
  <si>
    <t>CO - 939</t>
  </si>
  <si>
    <t>CO - 940</t>
  </si>
  <si>
    <t>CO - 941</t>
  </si>
  <si>
    <t>CO - 942</t>
  </si>
  <si>
    <t>CO - 943</t>
  </si>
  <si>
    <t>CO - 944</t>
  </si>
  <si>
    <t>CO - 945</t>
  </si>
  <si>
    <t>CO - 946</t>
  </si>
  <si>
    <t>CO - 947</t>
  </si>
  <si>
    <t>CO - 948</t>
  </si>
  <si>
    <t>CO - 949</t>
  </si>
  <si>
    <t>CO - 950</t>
  </si>
  <si>
    <t>CO - 951</t>
  </si>
  <si>
    <t>CO - 952</t>
  </si>
  <si>
    <t>CO - 953</t>
  </si>
  <si>
    <t>CO - 954</t>
  </si>
  <si>
    <t>CO - 955</t>
  </si>
  <si>
    <t>CO - 956</t>
  </si>
  <si>
    <t>CO - 957</t>
  </si>
  <si>
    <t>CO - 958</t>
  </si>
  <si>
    <t>CO - 959</t>
  </si>
  <si>
    <t>CO - 960</t>
  </si>
  <si>
    <t>CO - 961</t>
  </si>
  <si>
    <t>CO - 962</t>
  </si>
  <si>
    <t>CO - 963</t>
  </si>
  <si>
    <t>CO - 964</t>
  </si>
  <si>
    <t>CO - 965</t>
  </si>
  <si>
    <t>CO - 966</t>
  </si>
  <si>
    <t>CO - 967</t>
  </si>
  <si>
    <t>CO - 968</t>
  </si>
  <si>
    <t>CO - 969</t>
  </si>
  <si>
    <t>CO - 970</t>
  </si>
  <si>
    <t>CO - 971</t>
  </si>
  <si>
    <t>CO - 972</t>
  </si>
  <si>
    <t>CO - 973</t>
  </si>
  <si>
    <t>CO - 974</t>
  </si>
  <si>
    <t>CO - 975</t>
  </si>
  <si>
    <t>CO - 976</t>
  </si>
  <si>
    <t>CO - 977</t>
  </si>
  <si>
    <t>CO - 978</t>
  </si>
  <si>
    <t>CO - 979</t>
  </si>
  <si>
    <t>CO - 980</t>
  </si>
  <si>
    <t>CO - 981</t>
  </si>
  <si>
    <t>CO - 982</t>
  </si>
  <si>
    <t>CO - 983</t>
  </si>
  <si>
    <t>CO - 984</t>
  </si>
  <si>
    <t>CO - 985</t>
  </si>
  <si>
    <t>CO - 986</t>
  </si>
  <si>
    <t>CO - 987</t>
  </si>
  <si>
    <t>CO - 988</t>
  </si>
  <si>
    <t>CO - 989</t>
  </si>
  <si>
    <t>CO - 990</t>
  </si>
  <si>
    <t>CO - 991</t>
  </si>
  <si>
    <t>CO - 992</t>
  </si>
  <si>
    <t>CO - 993</t>
  </si>
  <si>
    <t>CO - 994</t>
  </si>
  <si>
    <t>CO - 995</t>
  </si>
  <si>
    <t>CO - 996</t>
  </si>
  <si>
    <t>CO - 997</t>
  </si>
  <si>
    <t>CO - 998</t>
  </si>
  <si>
    <t>CO - 999</t>
  </si>
  <si>
    <t>CO - 1000</t>
  </si>
  <si>
    <t>CO - 1001</t>
  </si>
  <si>
    <t>CO - 1002</t>
  </si>
  <si>
    <t>CO - 1003</t>
  </si>
  <si>
    <t>CO - 1004</t>
  </si>
  <si>
    <t>CO - 1005</t>
  </si>
  <si>
    <t>CO - 1006</t>
  </si>
  <si>
    <t>CO - 1007</t>
  </si>
  <si>
    <t>CO - 1008</t>
  </si>
  <si>
    <t>CO - 1009</t>
  </si>
  <si>
    <t>CO - 1010</t>
  </si>
  <si>
    <t>CO - 1011</t>
  </si>
  <si>
    <t>CO - 1012</t>
  </si>
  <si>
    <t>CO - 1013</t>
  </si>
  <si>
    <t>CO - 1014</t>
  </si>
  <si>
    <t>CO - 1015</t>
  </si>
  <si>
    <t>CO - 1016</t>
  </si>
  <si>
    <t>CO - 1017</t>
  </si>
  <si>
    <t>CO - 1018</t>
  </si>
  <si>
    <t>CO - 1019</t>
  </si>
  <si>
    <t>CO - 1020</t>
  </si>
  <si>
    <t>CO - 1021</t>
  </si>
  <si>
    <t>CO - 1022</t>
  </si>
  <si>
    <t>CO - 1023</t>
  </si>
  <si>
    <t>CO - 1024</t>
  </si>
  <si>
    <t>CO - 1025</t>
  </si>
  <si>
    <t>CO - 1026</t>
  </si>
  <si>
    <t>CO - 1027</t>
  </si>
  <si>
    <t>CO - 1028</t>
  </si>
  <si>
    <t>CO - 1029</t>
  </si>
  <si>
    <t>CO - 1030</t>
  </si>
  <si>
    <t>CO - 1031</t>
  </si>
  <si>
    <t>CO - 1032</t>
  </si>
  <si>
    <t>CO - 1033</t>
  </si>
  <si>
    <t>CO - 1034</t>
  </si>
  <si>
    <t>CO - 1035</t>
  </si>
  <si>
    <t>CO - 1036</t>
  </si>
  <si>
    <t>CO - 1037</t>
  </si>
  <si>
    <t>CO - 1038</t>
  </si>
  <si>
    <t>CO - 1039</t>
  </si>
  <si>
    <t>CO - 1040</t>
  </si>
  <si>
    <t>CO - 1041</t>
  </si>
  <si>
    <t>CO - 1042</t>
  </si>
  <si>
    <t>CO - 1043</t>
  </si>
  <si>
    <t>CO - 1044</t>
  </si>
  <si>
    <t>CO - 1045</t>
  </si>
  <si>
    <t>CO - 1046</t>
  </si>
  <si>
    <t>CO - 1047</t>
  </si>
  <si>
    <t>CO - 1048</t>
  </si>
  <si>
    <t>CO - 1049</t>
  </si>
  <si>
    <t>CO - 1050</t>
  </si>
  <si>
    <t>CO - 1051</t>
  </si>
  <si>
    <t>CO - 1052</t>
  </si>
  <si>
    <t>CO - 1053</t>
  </si>
  <si>
    <t>CO - 1054</t>
  </si>
  <si>
    <t>CO - 1055</t>
  </si>
  <si>
    <t>CO - 1056</t>
  </si>
  <si>
    <t>CO - 1057</t>
  </si>
  <si>
    <t>CO - 1058</t>
  </si>
  <si>
    <t>CO - 1059</t>
  </si>
  <si>
    <t>CO - 1060</t>
  </si>
  <si>
    <t>CO - 1061</t>
  </si>
  <si>
    <t>CO - 1062</t>
  </si>
  <si>
    <t>CO - 1063</t>
  </si>
  <si>
    <t>CO - 1064</t>
  </si>
  <si>
    <t>CO - 1065</t>
  </si>
  <si>
    <t>CO - 1066</t>
  </si>
  <si>
    <t>CO - 1067</t>
  </si>
  <si>
    <t>CO - 1068</t>
  </si>
  <si>
    <t>CO - 1069</t>
  </si>
  <si>
    <t>CO - 1070</t>
  </si>
  <si>
    <t>CO - 1071</t>
  </si>
  <si>
    <t>CO - 1072</t>
  </si>
  <si>
    <t>CO - 1073</t>
  </si>
  <si>
    <t>CO - 1074</t>
  </si>
  <si>
    <t>CO - 1075</t>
  </si>
  <si>
    <t>CO - 1076</t>
  </si>
  <si>
    <t>CO - 1077</t>
  </si>
  <si>
    <t>CO - 1078</t>
  </si>
  <si>
    <t>CO - 1079</t>
  </si>
  <si>
    <t>CO - 1080</t>
  </si>
  <si>
    <t>CO - 1081</t>
  </si>
  <si>
    <t>CO - 1082</t>
  </si>
  <si>
    <t>CO - 1083</t>
  </si>
  <si>
    <t>CO - 1084</t>
  </si>
  <si>
    <t>CO - 1085</t>
  </si>
  <si>
    <t>CO - 1086</t>
  </si>
  <si>
    <t>CO - 1087</t>
  </si>
  <si>
    <t>CO - 1088</t>
  </si>
  <si>
    <t>CO - 1089</t>
  </si>
  <si>
    <t>CO - 1090</t>
  </si>
  <si>
    <t>CO - 1091</t>
  </si>
  <si>
    <t>CO - 1092</t>
  </si>
  <si>
    <t>CO - 1093</t>
  </si>
  <si>
    <t>CO - 1094</t>
  </si>
  <si>
    <t>CO - 1095</t>
  </si>
  <si>
    <t>CO - 1096</t>
  </si>
  <si>
    <t>CO - 1097</t>
  </si>
  <si>
    <t>CO - 1098</t>
  </si>
  <si>
    <t>CO - 1099</t>
  </si>
  <si>
    <t>CO - 1100</t>
  </si>
  <si>
    <t>CO - 1101</t>
  </si>
  <si>
    <t>CO - 1102</t>
  </si>
  <si>
    <t>CO - 1103</t>
  </si>
  <si>
    <t>CO - 1104</t>
  </si>
  <si>
    <t>CO - 1105</t>
  </si>
  <si>
    <t>CO - 1106</t>
  </si>
  <si>
    <t>CO - 1107</t>
  </si>
  <si>
    <t>CO - 1108</t>
  </si>
  <si>
    <t>CO - 1109</t>
  </si>
  <si>
    <t>CO - 1110</t>
  </si>
  <si>
    <t>CO - 1111</t>
  </si>
  <si>
    <t>CO - 1112</t>
  </si>
  <si>
    <t>CO - 1113</t>
  </si>
  <si>
    <t>CO - 1114</t>
  </si>
  <si>
    <t>CO - 1115</t>
  </si>
  <si>
    <t>CO - 1116</t>
  </si>
  <si>
    <t>CO - 1117</t>
  </si>
  <si>
    <t>CO - 1118</t>
  </si>
  <si>
    <t>CO - 1119</t>
  </si>
  <si>
    <t>CO - 1120</t>
  </si>
  <si>
    <t>CO - 1121</t>
  </si>
  <si>
    <t>CO - 1122</t>
  </si>
  <si>
    <t>CO - 1123</t>
  </si>
  <si>
    <t>CO - 1124</t>
  </si>
  <si>
    <t>CO - 1125</t>
  </si>
  <si>
    <t>CO - 1126</t>
  </si>
  <si>
    <t>CO - 1127</t>
  </si>
  <si>
    <t>CO - 1128</t>
  </si>
  <si>
    <t>CO - 1129</t>
  </si>
  <si>
    <t>CO - 1130</t>
  </si>
  <si>
    <t>CO - 1131</t>
  </si>
  <si>
    <t>CO - 1132</t>
  </si>
  <si>
    <t>CO - 1133</t>
  </si>
  <si>
    <t>CO - 1134</t>
  </si>
  <si>
    <t>CO - 1135</t>
  </si>
  <si>
    <t>CO - 1136</t>
  </si>
  <si>
    <t>CO - 1137</t>
  </si>
  <si>
    <t>CO - 1138</t>
  </si>
  <si>
    <t>CO - 1139</t>
  </si>
  <si>
    <t>CO - 1140</t>
  </si>
  <si>
    <t>CO - 1141</t>
  </si>
  <si>
    <t>CO - 1142</t>
  </si>
  <si>
    <t>CO - 1143</t>
  </si>
  <si>
    <t>CO - 1144</t>
  </si>
  <si>
    <t>CO - 1145</t>
  </si>
  <si>
    <t>CO - 1146</t>
  </si>
  <si>
    <t>CO - 1147</t>
  </si>
  <si>
    <t>CO - 1148</t>
  </si>
  <si>
    <t>CO - 1149</t>
  </si>
  <si>
    <t>CO - 1150</t>
  </si>
  <si>
    <t>CO - 1151</t>
  </si>
  <si>
    <t>CO - 1152</t>
  </si>
  <si>
    <t>CO - 1153</t>
  </si>
  <si>
    <t>CO - 1154</t>
  </si>
  <si>
    <t>CO - 1155</t>
  </si>
  <si>
    <t>CO - 1156</t>
  </si>
  <si>
    <t>CO - 1157</t>
  </si>
  <si>
    <t>CO - 1158</t>
  </si>
  <si>
    <t>CO - 1159</t>
  </si>
  <si>
    <t>CO - 1160</t>
  </si>
  <si>
    <t>CO - 1161</t>
  </si>
  <si>
    <t>CO - 1162</t>
  </si>
  <si>
    <t>CO - 1163</t>
  </si>
  <si>
    <t>CO - 1164</t>
  </si>
  <si>
    <t>CO - 1165</t>
  </si>
  <si>
    <t>CO - 1166</t>
  </si>
  <si>
    <t>CO - 1167</t>
  </si>
  <si>
    <t>CO - 1168</t>
  </si>
  <si>
    <t>CO - 1169</t>
  </si>
  <si>
    <t>CO - 1170</t>
  </si>
  <si>
    <t>CO - 1171</t>
  </si>
  <si>
    <t>CO - 1172</t>
  </si>
  <si>
    <t>CO - 1173</t>
  </si>
  <si>
    <t>CO - 1174</t>
  </si>
  <si>
    <t>CO - 1175</t>
  </si>
  <si>
    <t>CO - 1176</t>
  </si>
  <si>
    <t>CO - 1177</t>
  </si>
  <si>
    <t>CO - 1178</t>
  </si>
  <si>
    <t>CO - 1179</t>
  </si>
  <si>
    <t>CO - 1180</t>
  </si>
  <si>
    <t>CO - 1181</t>
  </si>
  <si>
    <t>[Login Functionality] DEFECTS</t>
  </si>
  <si>
    <t>Defect Number</t>
  </si>
  <si>
    <t>Originating User Story</t>
  </si>
  <si>
    <t>Defect Description</t>
  </si>
  <si>
    <t>Defect Priority</t>
  </si>
  <si>
    <t>Assigned To</t>
  </si>
  <si>
    <t>DEF-LF-001</t>
  </si>
  <si>
    <t>LF-012 - User Login – Session Timeout</t>
  </si>
  <si>
    <t>The system does not automatically log the user out after 10 minutes of inactivity. No session timeout message is displayed; the user remains logged in indefinitely regardless of how long they stay idle. (Observed on Chrome, Edge, Firefox, Opera)</t>
  </si>
  <si>
    <t>Major</t>
  </si>
  <si>
    <t>Krisha</t>
  </si>
  <si>
    <t>New</t>
  </si>
  <si>
    <t>DEF-LF-002</t>
  </si>
  <si>
    <t>LF-015 - User Log-in – Username Field Character Length Limit</t>
  </si>
  <si>
    <t>The Username field does not enforce any maximum character length. Excessively long input (100+ characters) is accepted without truncation, rejection, or a length-specific error message. (Observed on Chrome, Edge, Firefox, Opera)</t>
  </si>
  <si>
    <t>Normal</t>
  </si>
  <si>
    <t>DEF-LF-003</t>
  </si>
  <si>
    <t>LF-017 - User Log-in – Password Field Length Validation</t>
  </si>
  <si>
    <t>The Password field does not enforce the required minimum of 8 characters or maximum of 16 characters. Passwords outside this range are still submitted and only rejected with the generic invalid-credentials message, not a length-specific validation error. (Observed on Chrome, Edge, Firefox, Opera)</t>
  </si>
  <si>
    <t>DEF-LF-004</t>
  </si>
  <si>
    <t>LF-018 - User Log-in – Logo Refresh</t>
  </si>
  <si>
    <t>Clicking the SauceDemo logo on the login page does not refresh or reload the page. Previously entered Username and Password values remain unchanged instead of being cleared. (Observed on Chrome, Edge, Firefox, Opera)</t>
  </si>
  <si>
    <t>Minor</t>
  </si>
  <si>
    <t>[CART] DEFECTS</t>
  </si>
  <si>
    <t>DEF-CA-001</t>
  </si>
  <si>
    <t>Cart - Item image displayed (CA-006)</t>
  </si>
  <si>
    <t>Product image element on the Cart page fails to load / times out when locating it via Selenium. Reproduced consistently across Chrome, Firefox, Edge, and Opera for both standard_user and visual_user. Note: saucedemo does not render an &lt;img&gt; for items on the Cart page (images only appear on Inventory), so this may be an application design gap or a test-locator issue - needs product confirmation.</t>
  </si>
  <si>
    <t>Critical</t>
  </si>
  <si>
    <t>Stephanie</t>
  </si>
  <si>
    <t>DEF-CA-002</t>
  </si>
  <si>
    <t>Cart Validation - Duplicate add prevention</t>
  </si>
  <si>
    <t>After using the browser Back button to return to Inventory, the Add to Cart buttons fail to become locatable within the wait timeout, blocking the duplicate-add-prevention check. Reproduced consistently across Chrome, Firefox, Edge, and Opera.</t>
  </si>
  <si>
    <t>DEF-CA-003</t>
  </si>
  <si>
    <t>Cart Security - Direct cart URL without login</t>
  </si>
  <si>
    <t>Navigating directly to /cart.html while logged out does not redirect the user to the login page; the user remains on cart.html. Reproduced on Chrome, Edge, and Opera. Not reproduced on Firefox in the same run.</t>
  </si>
  <si>
    <t>DEF-CA-004</t>
  </si>
  <si>
    <t>Cart Security - Locked-out user direct cart access</t>
  </si>
  <si>
    <t>A locked_out_user navigating directly to /cart.html is not redirected to the login page. Reproduced on Edge. Intermittent on Chrome across runs - needs a repeat run to confirm.</t>
  </si>
  <si>
    <t>DEF-CA-005</t>
  </si>
  <si>
    <t>Cart Navigation - Logout / About / All Items links</t>
  </si>
  <si>
    <t>Logout, About, and All Items links clicked from the Cart page intermittently fail to navigate away from cart.html. Reproduced once on Chrome; passed on Firefox, Edge, and Opera in the same test cycle. Likely test flakiness or a timing/race condition rather than a consistent defect - flagged for monitoring.</t>
  </si>
  <si>
    <t>DEF-CA-006</t>
  </si>
  <si>
    <t>Cart Security - Back button after logout</t>
  </si>
  <si>
    <t>After logging out, pressing the browser Back button followed by a direct cart URL request does not redirect to the login page. Reproduced once on Chrome in a single run - needs repeat verification before treating as confirmed.</t>
  </si>
  <si>
    <t>[PRODUCT] DEFECTS</t>
  </si>
  <si>
    <t>DEF-PP-001</t>
  </si>
  <si>
    <t>Product Name Display</t>
  </si>
  <si>
    <t>The product name displayed for T-Shirt (Red) does not match the expected product name. Reproduced for all users on Chrome, Edge, Firefox and Opera.</t>
  </si>
  <si>
    <t>Patricia</t>
  </si>
  <si>
    <t>DEF-PP-002</t>
  </si>
  <si>
    <t xml:space="preserve">Product Description Content </t>
  </si>
  <si>
    <t>The product description displayed for Sauce Labs Backpack does not match the expected content. Reproduced for all users on Chrome, Edge, Firefox and Opera.</t>
  </si>
  <si>
    <t>DEF-PP-003</t>
  </si>
  <si>
    <t xml:space="preserve">Locked-Out User Login Prerequisite </t>
  </si>
  <si>
    <t>locked_out_user cannot reach the Products Page because the account is locked out at login, so the page-display assertion cannot be verified. This may be expected saucedemo account behavior rather than a genuine defect - needs product confirmation. Reproduced for locked_out_user on Chrome, Edge, Firefox and Opera.</t>
  </si>
  <si>
    <t>DEF-PP-004</t>
  </si>
  <si>
    <t>Product Name Redirect Mismatch (problem_user)</t>
  </si>
  <si>
    <t>Clicking a product name redirects the user to a different product than the one selected, instead of that product's own detail page. Reproduced for problem_user on Chrome, Edge, Firefox and Opera.</t>
  </si>
  <si>
    <t>DEF-PP-005</t>
  </si>
  <si>
    <t>Add to Cart Inconsistent Behavior (problem_user, error_user)</t>
  </si>
  <si>
    <t>Clicking "Add to cart" intermittently fails to add the selected product and/or update the button state, with no error message shown to the user. Reproduced across problem_user and error_user on Chrome, Edge, Firefox and Opera.</t>
  </si>
  <si>
    <t>DEF-PP-006</t>
  </si>
  <si>
    <t>Remove from Cart Unresponsive (problem_user, error_user)</t>
  </si>
  <si>
    <t>The "Remove" button is unresponsive and does not remove the product from the cart or revert the button back to "Add to cart," with no error message shown. Reproduced across problem_user and error_user on Chrome, Edge, Firefox and Opera.</t>
  </si>
  <si>
    <t>DEF-PP-007</t>
  </si>
  <si>
    <t>Incorrect Product Image Displayed (problem_user, visual_user)</t>
  </si>
  <si>
    <t>A placeholder image of a dog is displayed in place of the actual product image. Reproduced across problem_user and visual_user on Chrome, Edge, Firefox and Opera.</t>
  </si>
  <si>
    <t>DEF-PP-008</t>
  </si>
  <si>
    <t>Product Filter/Sort Unresponsive (problem_user</t>
  </si>
  <si>
    <t>Selecting a sort/filter option (Name Z-A, Price low to high, Price high to low) from the dropdown produces no change to the product list, and sort persistence cannot be verified as a result. Reproduced for problem_user on Chrome, Edge, Firefox and Opera.</t>
  </si>
  <si>
    <t>DEF-PP-009</t>
  </si>
  <si>
    <t>Performance Lag on Products Page (performance_glitch_user)</t>
  </si>
  <si>
    <t>Noticeable lag/delay is observed when loading the Products Page, viewing product name/description, navigating back to products, and applying filter/sort options. Reproduced for performance_glitch_user on Chrome, Edge, Firefox and Opera.</t>
  </si>
  <si>
    <t>DEF-PP-010</t>
  </si>
  <si>
    <t>Unexpected Error Messages Displayed (error_user)</t>
  </si>
  <si>
    <t>An unexpected error message is displayed when viewing the product name/description or applying filter/sort options, blocking normal use of the page. Reproduced for error_user on Chrome, Edge, Firefox and Opera.</t>
  </si>
  <si>
    <t>DEF-PP-011</t>
  </si>
  <si>
    <t>Product Name Alignment (visual_user)</t>
  </si>
  <si>
    <t>Two product names are right-aligned instead of left-aligned on the Products Page. Reproduced for visual_user on Chrome, Edge, Firefox and Opera.</t>
  </si>
  <si>
    <t>DEF-PP-012</t>
  </si>
  <si>
    <t>Product Description Alignment (visual_user)</t>
  </si>
  <si>
    <t>The product description page exhibits the same alignment defect observed in the product name display (see DEF-PP-011). Reproduced for visual_user on Chrome, Edge, Firefox and Opera.</t>
  </si>
  <si>
    <t>DEF-PP-013</t>
  </si>
  <si>
    <t>Product Price Instability (visual_user)</t>
  </si>
  <si>
    <t>The displayed product price changes unexpectedly on page load and each time a price sort is reapplied, instead of remaining consistent with the actual product price. Reproduced for visual_user on Chrome, Edge, Firefox and Opera.</t>
  </si>
  <si>
    <t>DEF-PP-014</t>
  </si>
  <si>
    <t>Add to Cart Button Overflow (visual_user)</t>
  </si>
  <si>
    <t>The "Add to cart" button overflows outside its container instead of being displayed within its intended bounds. Reproduced for visual_user on Chrome, Edge, Firefox and Opera.</t>
  </si>
  <si>
    <t>DEF-PP-015</t>
  </si>
  <si>
    <t>Cart Icon Misalignment  (visual_user)</t>
  </si>
  <si>
    <t>The Cart button/icon element on the Products Page is misaligned. Reproduced for visual_user on Chrome, Edge, Firefox and Opera.</t>
  </si>
  <si>
    <t>DEF-PP-016</t>
  </si>
  <si>
    <t>Burger Menu Icon Rendered at Angle  (visual_user)</t>
  </si>
  <si>
    <t>The burger menu icon/button is rendered at an angle instead of straight. Reproduced for visual_user on Chrome, Edge, Firefox and Opera.</t>
  </si>
  <si>
    <t>DEF-PP-017</t>
  </si>
  <si>
    <t>Responsive Layout Overlap (visual_user)</t>
  </si>
  <si>
    <t>Button elements overlap and overflow at different aspect ratios/viewport sizes instead of adapting cleanly to a mobile layout. Reproduced for visual_user on Chrome, Edge, Firefox and Opera.</t>
  </si>
  <si>
    <t>[CHECKOUT] DEFECTS</t>
  </si>
  <si>
    <t>CO-001</t>
  </si>
  <si>
    <t>First Name Input Validation – Numeric Characters</t>
  </si>
  <si>
    <t>The First Name field accepts numeric characters without displaying a validation error, allowing invalid name data to be submitted.
 Reproduced across standard_user, problem_user, performance_glitch_user, error_user, and visual_user on Chrome, Opera GX, Edge, and Firefox.</t>
  </si>
  <si>
    <t>Agnes</t>
  </si>
  <si>
    <t>CO-002</t>
  </si>
  <si>
    <t>First Name Input Validation – Special Characters</t>
  </si>
  <si>
    <t>The First Name field accepts special characters without displaying a validation error, allowing invalid name data to be submitted.
 Reproduced across standard_user, problem_user, performance_glitch_user, error_user, and visual_user on Chrome, Opera GX, Edge, and Firefox.</t>
  </si>
  <si>
    <t>CO-003</t>
  </si>
  <si>
    <t>Last Name Input Validation – Numeric Characters</t>
  </si>
  <si>
    <t>The Last Name field accepts numeric characters without displaying the expected validation error.
 Reproduced across standard_user, performance_glitch_user, error_user, and visual_user on Chrome, Opera GX, Edge, and Firefox.</t>
  </si>
  <si>
    <t>CO-004</t>
  </si>
  <si>
    <t>Last Name Input Validation – Special Characters</t>
  </si>
  <si>
    <t>The Last Name field accepts special characters without displaying the expected validation error.
 Reproduced across standard_user, performance_glitch_user, error_user, and visual_user on Chrome, Opera GX, Edge, and Firefox.</t>
  </si>
  <si>
    <t>CO-005</t>
  </si>
  <si>
    <t>Zip Code Input Validation – Special Characters</t>
  </si>
  <si>
    <t>The Zip/Postal Code field accepts special characters without displaying a validation error.
 Reproduced across standard_user, problem_user, performance_glitch_user, error_user, and visual_user on Chrome, Opera GX, Edge, and Firefox.</t>
  </si>
  <si>
    <t>CO-006</t>
  </si>
  <si>
    <t>Empty Cart Checkout</t>
  </si>
  <si>
    <t>The system allows checkout to proceed with an empty cart without displaying a validation or error message.
 Reproduced across standard_user, performance_glitch_user, error_user, and visual_user on Chrome, Opera GX, Edge, and Firefox.</t>
  </si>
  <si>
    <t>CO-007</t>
  </si>
  <si>
    <t>Whitespace-Only Checkout Information</t>
  </si>
  <si>
    <t>The checkout information form accepts whitespace-only values in required fields and allows the user to continue instead of treating the entries as empty and displaying the applicable validation error.
 Reproduced across standard_user, performance_glitch_user, error_user, and visual_user on Chrome, Opera GX, Edge, and Firefox.</t>
  </si>
  <si>
    <t>CO-008</t>
  </si>
  <si>
    <t>Swag Labs Header Navigation</t>
  </si>
  <si>
    <t>The "Swag Labs" header text is not clickable and does not redirect the user to the Products page from the Checkout Information, Checkout Overview, or product detail pages.
 Reproduced across standard_user, problem_user, performance_glitch_user, error_user, and visual_user on Chrome, Opera GX, Edge, and Firefox.</t>
  </si>
  <si>
    <t>CO-009</t>
  </si>
  <si>
    <t>Checkout Footer Legal Links</t>
  </si>
  <si>
    <t>The "Terms of Service" and "Privacy Policy" footer links are not clickable and do not navigate to their corresponding pages.
 Reproduced across standard_user, problem_user, performance_glitch_user, error_user, and visual_user on Chrome, Opera GX, Edge, and Firefox.</t>
  </si>
  <si>
    <t>CO-010</t>
  </si>
  <si>
    <t>Checkout Product Description Content</t>
  </si>
  <si>
    <t>The product description displays the code-like placeholder text "carry.allTheThings()" instead of clean, user-facing product copy on the Checkout Overview and product detail pages.
 Reproduced across standard_user, performance_glitch_user, and visual_user on Chrome, Opera GX, Edge, and Firefox.</t>
  </si>
  <si>
    <t>CO-011</t>
  </si>
  <si>
    <t>Product Detail Footer Alignment</t>
  </si>
  <si>
    <t>The footer content, including social icons, copyright text, and legal links, is pushed to the left instead of being properly centered, resulting in an unbalanced layout.
 Reproduced across standard_user, performance_glitch_user, error_user, and visual_user on Chrome, Opera GX, Edge, and Firefox.</t>
  </si>
  <si>
    <t>CO-012</t>
  </si>
  <si>
    <t>Last Name Checkout Information (problem_user)</t>
  </si>
  <si>
    <t>Entering text in the Last Name field overwrites the content of the First Name field and only accepts one character, preventing the Continue button from proceeding to the Checkout Overview page.
 Reproduced for problem_user on Chrome, Opera GX, Edge, and Firefox.</t>
  </si>
  <si>
    <t>CO-013</t>
  </si>
  <si>
    <t>Last Name Checkout Information (error_user)</t>
  </si>
  <si>
    <t>The Last Name field does not allow any text to be entered, blocking the user from completing the Checkout Information form correctly.
 Reproduced for error_user on Chrome, Opera GX, Edge, and Firefox.</t>
  </si>
  <si>
    <t>CO-014</t>
  </si>
  <si>
    <t>Required Field Validation Bypass (error_user)</t>
  </si>
  <si>
    <t>The Continue button proceeds even when required checkout information is missing, including scenarios with no input or a missing Last Name.
 Reproduced for error_user on Chrome, Opera GX, Edge, and Firefox.</t>
  </si>
  <si>
    <t>CO-015</t>
  </si>
  <si>
    <t>Checkout Overview Product Link (error_user)</t>
  </si>
  <si>
    <t>The product link on the Checkout Overview page does not navigate to the expected product detail page.
 Reproduced for error_user on Chrome, Opera GX, Edge, and Firefox.</t>
  </si>
  <si>
    <t>CO-016</t>
  </si>
  <si>
    <t>Product Description Missing (error_user)</t>
  </si>
  <si>
    <t>The product description is missing on the product detail page accessed from Checkout Overview.
 Reproduced for error_user on Chrome, Opera GX, Edge, and Firefox.</t>
  </si>
  <si>
    <t>CO-017</t>
  </si>
  <si>
    <t>Product Detail Cart Controls (error_user)</t>
  </si>
  <si>
    <t>The Add to Cart and Remove buttons on the product detail page are not clickable and do not perform their intended actions.
 Reproduced for error_user on Chrome, Opera GX, Edge, and Firefox.</t>
  </si>
  <si>
    <t>CO-018</t>
  </si>
  <si>
    <t>Checkout Finish Button (error_user)</t>
  </si>
  <si>
    <t>Clicking the Finish button causes the next page to fail to load, preventing order completion and blocking verification of the confirmation page and Back Home button.
 Reproduced for error_user on Chrome, Opera GX, Edge, and Firefox.</t>
  </si>
  <si>
    <t>CO-019</t>
  </si>
  <si>
    <t>Checkout Item Price Accuracy (visual_user)</t>
  </si>
  <si>
    <t>The item price displayed on the Checkout Overview and product detail pages does not match the price of the product originally added to the cart.
 Reproduced for visual_user on Chrome, Opera GX, Edge, and Firefox.</t>
  </si>
  <si>
    <t>CO-020</t>
  </si>
  <si>
    <t>Checkout Information Page Alignment (visual_user)</t>
  </si>
  <si>
    <t>UI elements on the Checkout Information page are misaligned, resulting in an inconsistent visual layout.
 Reproduced for visual_user on Chrome, Opera GX, Edge, and Firefox.</t>
  </si>
  <si>
    <t>Demand Story</t>
  </si>
  <si>
    <t xml:space="preserve">User Story No. </t>
  </si>
  <si>
    <t>User Story</t>
  </si>
  <si>
    <t>Assignee</t>
  </si>
  <si>
    <t>Test Case Creation</t>
  </si>
  <si>
    <t>Test File Creation</t>
  </si>
  <si>
    <t>Test Execution</t>
  </si>
  <si>
    <t>Not Started</t>
  </si>
  <si>
    <t>[PROJECT] [RELEASE] Test Report - [DATE]</t>
  </si>
  <si>
    <t>%</t>
  </si>
  <si>
    <t>Green</t>
  </si>
  <si>
    <t>Amber 
(-10%)</t>
  </si>
  <si>
    <t>Red
(&gt; -10%)</t>
  </si>
  <si>
    <t>Forecast</t>
  </si>
  <si>
    <t>Actual</t>
  </si>
  <si>
    <t>Must have</t>
  </si>
  <si>
    <t>Links</t>
  </si>
  <si>
    <t>Good to have</t>
  </si>
  <si>
    <t>Overall Testing Summary</t>
  </si>
  <si>
    <t>0-10</t>
  </si>
  <si>
    <t>Thu</t>
  </si>
  <si>
    <t>Mapping of 339</t>
  </si>
  <si>
    <t>Timeline</t>
  </si>
  <si>
    <t>&gt;25</t>
  </si>
  <si>
    <t>&lt;25</t>
  </si>
  <si>
    <t>Fri</t>
  </si>
  <si>
    <t xml:space="preserve">Tables for seeding </t>
  </si>
  <si>
    <t>Scope</t>
  </si>
  <si>
    <t>&gt;40</t>
  </si>
  <si>
    <t>30-39</t>
  </si>
  <si>
    <t>&lt;30</t>
  </si>
  <si>
    <t>Mon</t>
  </si>
  <si>
    <t>List of features that are deployed</t>
  </si>
  <si>
    <t>Defect</t>
  </si>
  <si>
    <t>&gt;50</t>
  </si>
  <si>
    <t>40-49</t>
  </si>
  <si>
    <t>&lt;40</t>
  </si>
  <si>
    <t>Tue</t>
  </si>
  <si>
    <t>Defect Density</t>
  </si>
  <si>
    <t>&gt;65</t>
  </si>
  <si>
    <t>55-64</t>
  </si>
  <si>
    <t>&lt;55</t>
  </si>
  <si>
    <t>Wed</t>
  </si>
  <si>
    <t>Cleanup of drives</t>
  </si>
  <si>
    <t>Highlights</t>
  </si>
  <si>
    <t>&gt;90</t>
  </si>
  <si>
    <t>85-89</t>
  </si>
  <si>
    <t>&lt;85</t>
  </si>
  <si>
    <t>Risk</t>
  </si>
  <si>
    <t>&lt;100</t>
  </si>
  <si>
    <t>Fri (Last)</t>
  </si>
  <si>
    <t>Action Items</t>
  </si>
  <si>
    <t>Blocker/s</t>
  </si>
  <si>
    <t>Test Case Link</t>
  </si>
  <si>
    <t>Incident Log's Link</t>
  </si>
  <si>
    <t>Use Case Link</t>
  </si>
  <si>
    <t>[RELEASE] TEST SUMMARY</t>
  </si>
  <si>
    <t xml:space="preserve">No. </t>
  </si>
  <si>
    <t>[RELEASE] DEFECTS DETAILS</t>
  </si>
  <si>
    <t>DEFECTS SUMMARY</t>
  </si>
  <si>
    <t>No.</t>
  </si>
  <si>
    <t xml:space="preserve"> Issue Number</t>
  </si>
  <si>
    <t>Incident Description</t>
  </si>
  <si>
    <t>Severity</t>
  </si>
  <si>
    <t>Count</t>
  </si>
  <si>
    <t>Reopened</t>
  </si>
  <si>
    <t>In Progress</t>
  </si>
  <si>
    <t>Code Review</t>
  </si>
  <si>
    <t>For QA</t>
  </si>
  <si>
    <t>In QA</t>
  </si>
  <si>
    <t>Done</t>
  </si>
  <si>
    <t>SPRINT TOTAL DEFECTS</t>
  </si>
  <si>
    <t>DEFECT RATE BY STORY COUNT</t>
  </si>
  <si>
    <t>Days</t>
  </si>
  <si>
    <t>Target Execution</t>
  </si>
  <si>
    <t>Actual Execution</t>
  </si>
  <si>
    <t>INVALID ISSUES</t>
  </si>
  <si>
    <t>OTHER COMMITTED USER STORIES</t>
  </si>
  <si>
    <t>User Story No.</t>
  </si>
  <si>
    <t>Description</t>
  </si>
  <si>
    <t>Fields to be manually updated</t>
  </si>
  <si>
    <t>Fields are auto - populated</t>
  </si>
  <si>
    <t>Fields are auto - populated however tester needs to establish the connection to functions when setting up the test cases</t>
  </si>
  <si>
    <t>SPRINT 13 TEST SUMMARY</t>
  </si>
  <si>
    <t>Blocked</t>
  </si>
  <si>
    <t>Stories to be Tested</t>
  </si>
  <si>
    <t>Total Tests</t>
  </si>
  <si>
    <t>Out of Scope</t>
  </si>
  <si>
    <t>Percentage Complete %</t>
  </si>
  <si>
    <t># of Defects Raised</t>
  </si>
  <si>
    <t>Test Case History</t>
  </si>
  <si>
    <t>Defects Raised</t>
  </si>
  <si>
    <t># of User Stories</t>
  </si>
  <si>
    <t>Sprint Velocity</t>
  </si>
  <si>
    <t>TOTAL</t>
  </si>
  <si>
    <t>Defect count by Story Count</t>
  </si>
  <si>
    <t># of Sprint US divide by # of Defects raised</t>
  </si>
  <si>
    <t xml:space="preserve">Defect Density </t>
  </si>
  <si>
    <t>Confirmed Defects / Sprint Velocity</t>
  </si>
  <si>
    <t>REQUIREMENTS TRACEABILITY MATRIX</t>
  </si>
  <si>
    <t>USER STORIES</t>
  </si>
  <si>
    <t>TEST CASES</t>
  </si>
  <si>
    <t>APIs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</si>
</sst>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mmmm d, yyyy"/>
    <numFmt numFmtId="166" formatCode="mmm&quot; &quot;d&quot;, &quot;yyyy"/>
    <numFmt numFmtId="167" formatCode="mmm\ d"/>
    <numFmt numFmtId="168" formatCode="mmm&quot;-&quot;d"/>
  </numFmts>
  <fonts count="57">
    <font>
      <sz val="10.0"/>
      <color rgb="FF000000"/>
      <name val="Arial"/>
      <scheme val="minor"/>
    </font>
    <font>
      <sz val="11.0"/>
      <color theme="1"/>
      <name val="Proxima Nova"/>
    </font>
    <font>
      <sz val="10.0"/>
      <color theme="1"/>
      <name val="Proxima Nova"/>
    </font>
    <font>
      <b/>
      <sz val="20.0"/>
      <color theme="1"/>
      <name val="Proxima Nova"/>
    </font>
    <font/>
    <font>
      <b/>
      <sz val="11.0"/>
      <color rgb="FF000000"/>
      <name val="Proxima Nova"/>
    </font>
    <font>
      <sz val="11.0"/>
      <color rgb="FF000000"/>
      <name val="Proxima Nova"/>
    </font>
    <font>
      <sz val="11.0"/>
      <color rgb="FFFFFFFF"/>
      <name val="Proxima Nova"/>
    </font>
    <font>
      <b/>
      <sz val="10.0"/>
      <color rgb="FFFFFFFF"/>
      <name val="Proxima Nova"/>
    </font>
    <font>
      <color rgb="FFFFFFFF"/>
      <name val="Proxima Nova"/>
    </font>
    <font>
      <b/>
      <color rgb="FFFFFFFF"/>
      <name val="Proxima Nova"/>
    </font>
    <font>
      <color theme="1"/>
      <name val="Arial"/>
    </font>
    <font>
      <b/>
      <sz val="27.0"/>
      <color theme="1"/>
      <name val="Arial"/>
    </font>
    <font>
      <color theme="1"/>
      <name val="Proxima Nova"/>
    </font>
    <font>
      <sz val="11.0"/>
      <color theme="1"/>
      <name val="Aptos Narrow"/>
    </font>
    <font>
      <sz val="13.0"/>
      <color rgb="FFFFFFFF"/>
      <name val="Proxima Nova"/>
    </font>
    <font>
      <color theme="1"/>
      <name val="Arial"/>
      <scheme val="minor"/>
    </font>
    <font>
      <b/>
      <sz val="11.0"/>
      <color rgb="FFFFFFFF"/>
      <name val="Proxima Nova"/>
    </font>
    <font>
      <b/>
      <color rgb="FFFFFFFF"/>
      <name val="&quot;Proxima Nova&quot;"/>
    </font>
    <font>
      <sz val="11.0"/>
      <color theme="1"/>
      <name val="Calibri"/>
    </font>
    <font>
      <sz val="11.0"/>
      <color theme="1"/>
      <name val="Arial"/>
    </font>
    <font>
      <b/>
      <sz val="16.0"/>
      <color rgb="FF000000"/>
      <name val="Proxima Nova"/>
    </font>
    <font>
      <sz val="10.0"/>
      <color rgb="FF000000"/>
      <name val="Proxima Nova"/>
    </font>
    <font>
      <color rgb="FF000000"/>
      <name val="Proxima Nova"/>
    </font>
    <font>
      <sz val="10.0"/>
      <color rgb="FFFFFFFF"/>
      <name val="Proxima Nova"/>
    </font>
    <font>
      <b/>
      <sz val="10.0"/>
      <color theme="1"/>
      <name val="Proxima Nova"/>
    </font>
    <font>
      <b/>
      <color theme="1"/>
      <name val="Proxima Nova"/>
    </font>
    <font>
      <b/>
      <sz val="12.0"/>
      <color rgb="FFFFFFFF"/>
      <name val="Proxima Nova"/>
    </font>
    <font>
      <b/>
      <sz val="8.0"/>
      <color rgb="FFFFFFFF"/>
      <name val="Proxima Nova"/>
    </font>
    <font>
      <b/>
      <sz val="10.0"/>
      <color rgb="FF000000"/>
      <name val="Proxima Nova"/>
    </font>
    <font>
      <color rgb="FFFFFFFF"/>
      <name val="Arial"/>
      <scheme val="minor"/>
    </font>
    <font>
      <color rgb="FFFFFFFF"/>
      <name val="Arial"/>
    </font>
    <font>
      <b/>
      <sz val="10.0"/>
      <color rgb="FFFFFFFF"/>
      <name val="Calibri"/>
    </font>
    <font>
      <b/>
      <sz val="10.0"/>
      <color rgb="FF000000"/>
      <name val="Calibri"/>
    </font>
    <font>
      <i/>
      <sz val="10.0"/>
      <color rgb="FF000000"/>
      <name val="Calibri"/>
    </font>
    <font>
      <sz val="10.0"/>
      <color theme="1"/>
      <name val="Calibri"/>
    </font>
    <font>
      <sz val="10.0"/>
      <color theme="1"/>
      <name val="Arial"/>
    </font>
    <font>
      <sz val="10.0"/>
      <color rgb="FF000000"/>
      <name val="Calibri"/>
    </font>
    <font>
      <b/>
      <sz val="10.0"/>
      <color theme="1"/>
      <name val="Calibri"/>
    </font>
    <font>
      <b/>
      <sz val="18.0"/>
      <color rgb="FF000000"/>
      <name val="Proxima Nova"/>
    </font>
    <font>
      <b/>
      <i/>
      <sz val="10.0"/>
      <color theme="1"/>
      <name val="Proxima Nova"/>
    </font>
    <font>
      <b/>
      <sz val="9.0"/>
      <color rgb="FF000000"/>
      <name val="Proxima Nova"/>
    </font>
    <font>
      <sz val="10.0"/>
      <color rgb="FF222222"/>
      <name val="Proxima Nova"/>
    </font>
    <font>
      <u/>
      <sz val="10.0"/>
      <color rgb="FF1155CC"/>
      <name val="Proxima Nova"/>
    </font>
    <font>
      <b/>
      <sz val="9.0"/>
      <color theme="1"/>
      <name val="Proxima Nova"/>
    </font>
    <font>
      <u/>
      <sz val="9.0"/>
      <color rgb="FF1155CC"/>
      <name val="Proxima Nova"/>
    </font>
    <font>
      <u/>
      <sz val="9.0"/>
      <color rgb="FF1155CC"/>
      <name val="Proxima Nova"/>
    </font>
    <font>
      <sz val="9.0"/>
      <color theme="1"/>
      <name val="Proxima Nova"/>
    </font>
    <font>
      <sz val="10.0"/>
      <color rgb="FF1155CC"/>
      <name val="Proxima Nova"/>
    </font>
    <font>
      <sz val="10.0"/>
      <color rgb="FF1C4587"/>
      <name val="Proxima Nova"/>
    </font>
    <font>
      <b/>
      <sz val="10.0"/>
      <color rgb="FF1155CC"/>
      <name val="Proxima Nova"/>
    </font>
    <font>
      <sz val="9.0"/>
      <color rgb="FF000000"/>
      <name val="Proxima Nova"/>
    </font>
    <font>
      <b/>
      <sz val="11.0"/>
      <color theme="1"/>
      <name val="Proxima Nova"/>
    </font>
    <font>
      <u/>
      <sz val="11.0"/>
      <color rgb="FF0000FF"/>
      <name val="Proxima Nova"/>
    </font>
    <font>
      <b/>
      <sz val="9.0"/>
      <color rgb="FFFFFFFF"/>
      <name val="Proxima Nova"/>
    </font>
    <font>
      <sz val="11.0"/>
      <color rgb="FF000000"/>
      <name val="Inconsolata"/>
    </font>
    <font>
      <b/>
      <sz val="10.0"/>
      <color rgb="FFFFFFFF"/>
      <name val="Arial"/>
    </font>
  </fonts>
  <fills count="27">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B4A7D6"/>
        <bgColor rgb="FFB4A7D6"/>
      </patternFill>
    </fill>
    <fill>
      <patternFill patternType="solid">
        <fgColor rgb="FFFF0000"/>
        <bgColor rgb="FFFF0000"/>
      </patternFill>
    </fill>
    <fill>
      <patternFill patternType="solid">
        <fgColor rgb="FF1155CC"/>
        <bgColor rgb="FF1155CC"/>
      </patternFill>
    </fill>
    <fill>
      <patternFill patternType="solid">
        <fgColor rgb="FF674EA7"/>
        <bgColor rgb="FF674EA7"/>
      </patternFill>
    </fill>
    <fill>
      <patternFill patternType="solid">
        <fgColor rgb="FF8E7CC3"/>
        <bgColor rgb="FF8E7CC3"/>
      </patternFill>
    </fill>
    <fill>
      <patternFill patternType="solid">
        <fgColor rgb="FF3C78D8"/>
        <bgColor rgb="FF3C78D8"/>
      </patternFill>
    </fill>
    <fill>
      <patternFill patternType="solid">
        <fgColor rgb="FF00B800"/>
        <bgColor rgb="FF00B800"/>
      </patternFill>
    </fill>
    <fill>
      <patternFill patternType="solid">
        <fgColor rgb="FFF4CCCC"/>
        <bgColor rgb="FFF4CCCC"/>
      </patternFill>
    </fill>
    <fill>
      <patternFill patternType="solid">
        <fgColor rgb="FF999999"/>
        <bgColor rgb="FF999999"/>
      </patternFill>
    </fill>
    <fill>
      <patternFill patternType="solid">
        <fgColor rgb="FF6D9EEB"/>
        <bgColor rgb="FF6D9EEB"/>
      </patternFill>
    </fill>
    <fill>
      <patternFill patternType="solid">
        <fgColor rgb="FF000000"/>
        <bgColor rgb="FF000000"/>
      </patternFill>
    </fill>
    <fill>
      <patternFill patternType="solid">
        <fgColor rgb="FF0000FF"/>
        <bgColor rgb="FF0000FF"/>
      </patternFill>
    </fill>
    <fill>
      <patternFill patternType="solid">
        <fgColor rgb="FFEFEFEF"/>
        <bgColor rgb="FFEFEFEF"/>
      </patternFill>
    </fill>
    <fill>
      <patternFill patternType="solid">
        <fgColor rgb="FFD9EAD3"/>
        <bgColor rgb="FFD9EAD3"/>
      </patternFill>
    </fill>
    <fill>
      <patternFill patternType="solid">
        <fgColor rgb="FF4A86E8"/>
        <bgColor rgb="FF4A86E8"/>
      </patternFill>
    </fill>
    <fill>
      <patternFill patternType="solid">
        <fgColor rgb="FFFF9900"/>
        <bgColor rgb="FFFF9900"/>
      </patternFill>
    </fill>
    <fill>
      <patternFill patternType="solid">
        <fgColor rgb="FFC9DAF8"/>
        <bgColor rgb="FFC9DAF8"/>
      </patternFill>
    </fill>
    <fill>
      <patternFill patternType="solid">
        <fgColor rgb="FFFCE5CD"/>
        <bgColor rgb="FFFCE5CD"/>
      </patternFill>
    </fill>
    <fill>
      <patternFill patternType="solid">
        <fgColor rgb="FF538ED5"/>
        <bgColor rgb="FF538ED5"/>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0B5394"/>
        <bgColor rgb="FF0B5394"/>
      </patternFill>
    </fill>
  </fills>
  <borders count="67">
    <border/>
    <border>
      <left/>
      <right/>
      <top/>
      <bottom/>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right style="thin">
        <color rgb="FF000000"/>
      </right>
      <top/>
    </border>
    <border>
      <left/>
      <right style="thin">
        <color rgb="FF000000"/>
      </right>
      <top style="thin">
        <color rgb="FF000000"/>
      </top>
    </border>
    <border>
      <left/>
      <right style="thin">
        <color rgb="FF000000"/>
      </right>
      <top/>
      <bottom style="thin">
        <color rgb="FF000000"/>
      </bottom>
    </border>
    <border>
      <right style="thin">
        <color rgb="FF000000"/>
      </right>
      <top style="thin">
        <color rgb="FFB4C6E7"/>
      </top>
      <bottom style="thin">
        <color rgb="FF000000"/>
      </bottom>
    </border>
    <border>
      <right style="thin">
        <color rgb="FF000000"/>
      </right>
      <bottom style="thin">
        <color rgb="FFB4C6E7"/>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FFFFFF"/>
      </left>
      <right style="thin">
        <color rgb="FFFFFFFF"/>
      </right>
      <top style="thin">
        <color rgb="FFFFFFFF"/>
      </top>
      <bottom style="thin">
        <color rgb="FFFFFFFF"/>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bottom style="thin">
        <color rgb="FF000000"/>
      </bottom>
    </border>
    <border>
      <right style="thin">
        <color rgb="FFFFFFFF"/>
      </right>
      <top style="thin">
        <color rgb="FFFFFFFF"/>
      </top>
      <bottom style="thin">
        <color rgb="FFFFFFFF"/>
      </bottom>
    </border>
    <border>
      <left style="thin">
        <color rgb="FF000000"/>
      </left>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bottom style="thin">
        <color rgb="FFFFFFFF"/>
      </bottom>
    </border>
    <border>
      <top style="thin">
        <color rgb="FFFFFFFF"/>
      </top>
      <bottom style="thin">
        <color rgb="FFFFFFFF"/>
      </bottom>
    </border>
    <border>
      <left style="thin">
        <color rgb="FFFFFFFF"/>
      </left>
      <right style="thin">
        <color rgb="FFFFFFFF"/>
      </right>
      <top/>
      <bottom style="thin">
        <color rgb="FFFFFFFF"/>
      </bottom>
    </border>
    <border>
      <left style="thin">
        <color rgb="FFFFFFFF"/>
      </left>
      <top/>
      <bottom style="thin">
        <color rgb="FFFFFFFF"/>
      </bottom>
    </border>
    <border>
      <top/>
      <bottom style="thin">
        <color rgb="FFFFFFFF"/>
      </bottom>
    </border>
    <border>
      <right style="thin">
        <color rgb="FFFFFFFF"/>
      </right>
      <top/>
      <bottom style="thin">
        <color rgb="FFFFFFFF"/>
      </bottom>
    </border>
    <border>
      <left style="thin">
        <color rgb="FFFFFFFF"/>
      </left>
      <right/>
      <top style="thin">
        <color rgb="FFFFFFFF"/>
      </top>
      <bottom style="thin">
        <color rgb="FFFFFFFF"/>
      </bottom>
    </border>
    <border>
      <left style="thin">
        <color rgb="FFFFFFFF"/>
      </left>
      <right style="thin">
        <color rgb="FFFFFFFF"/>
      </right>
      <top style="thin">
        <color rgb="FFFFFFFF"/>
      </top>
      <bottom/>
    </border>
    <border>
      <left style="thin">
        <color rgb="FFFFFFFF"/>
      </left>
    </border>
    <border>
      <right style="thin">
        <color rgb="FFFFFFFF"/>
      </right>
    </border>
    <border>
      <left/>
      <top/>
      <bottom style="thin">
        <color rgb="FFFFFFFF"/>
      </bottom>
    </border>
    <border>
      <right/>
      <top/>
      <bottom style="thin">
        <color rgb="FFFFFFFF"/>
      </bottom>
    </border>
    <border>
      <left style="thin">
        <color rgb="FFFFFFFF"/>
      </left>
      <right style="thin">
        <color rgb="FFFFFFFF"/>
      </right>
      <top/>
      <bottom style="thin">
        <color rgb="FF000000"/>
      </bottom>
    </border>
    <border>
      <left/>
      <right style="thin">
        <color rgb="FFFFFFFF"/>
      </right>
      <top/>
      <bottom style="thin">
        <color rgb="FF000000"/>
      </bottom>
    </border>
    <border>
      <left/>
      <right style="thin">
        <color rgb="FFFFFFFF"/>
      </right>
      <top/>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style="medium">
        <color rgb="FF000000"/>
      </bottom>
    </border>
    <border>
      <left style="thin">
        <color rgb="FFFFFFFF"/>
      </left>
      <right/>
      <top/>
      <bottom style="thin">
        <color rgb="FFFFFFFF"/>
      </bottom>
    </border>
    <border>
      <left/>
      <right style="thin">
        <color rgb="FFFFFFFF"/>
      </right>
      <top/>
      <bottom style="thin">
        <color rgb="FFFFFFFF"/>
      </bottom>
    </border>
  </borders>
  <cellStyleXfs count="1">
    <xf borderId="0" fillId="0" fontId="0" numFmtId="0" applyAlignment="1" applyFont="1"/>
  </cellStyleXfs>
  <cellXfs count="403">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2" fillId="3" fontId="3" numFmtId="0" xfId="0" applyAlignment="1" applyBorder="1" applyFill="1" applyFont="1">
      <alignment readingOrder="0"/>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 fillId="3" fontId="1" numFmtId="0" xfId="0" applyBorder="1" applyFont="1"/>
    <xf borderId="0" fillId="0" fontId="5" numFmtId="0" xfId="0" applyAlignment="1" applyFont="1">
      <alignment vertical="top"/>
    </xf>
    <xf borderId="10" fillId="3" fontId="1" numFmtId="164" xfId="0" applyAlignment="1" applyBorder="1" applyFont="1" applyNumberFormat="1">
      <alignment horizontal="left" readingOrder="0"/>
    </xf>
    <xf borderId="11" fillId="0" fontId="4" numFmtId="0" xfId="0" applyBorder="1" applyFont="1"/>
    <xf borderId="12" fillId="0" fontId="4" numFmtId="0" xfId="0" applyBorder="1" applyFont="1"/>
    <xf borderId="10" fillId="3" fontId="6" numFmtId="0" xfId="0" applyAlignment="1" applyBorder="1" applyFont="1">
      <alignment horizontal="left" readingOrder="0"/>
    </xf>
    <xf borderId="10" fillId="3" fontId="1" numFmtId="0" xfId="0" applyAlignment="1" applyBorder="1" applyFont="1">
      <alignment readingOrder="0" shrinkToFit="0" vertical="center" wrapText="0"/>
    </xf>
    <xf borderId="1" fillId="0" fontId="1" numFmtId="0" xfId="0" applyBorder="1" applyFont="1"/>
    <xf borderId="0" fillId="0" fontId="1" numFmtId="0" xfId="0" applyAlignment="1" applyFont="1">
      <alignment horizontal="left" readingOrder="0"/>
    </xf>
    <xf borderId="0" fillId="0" fontId="2" numFmtId="0" xfId="0" applyAlignment="1" applyFont="1">
      <alignment readingOrder="0"/>
    </xf>
    <xf borderId="1" fillId="3" fontId="5" numFmtId="0" xfId="0" applyBorder="1" applyFont="1"/>
    <xf borderId="10" fillId="2" fontId="7" numFmtId="0" xfId="0" applyAlignment="1" applyBorder="1" applyFont="1">
      <alignment horizontal="center"/>
    </xf>
    <xf borderId="10" fillId="3" fontId="6" numFmtId="0" xfId="0" applyAlignment="1" applyBorder="1" applyFont="1">
      <alignment horizontal="center" vertical="center"/>
    </xf>
    <xf borderId="0" fillId="0" fontId="1" numFmtId="0" xfId="0" applyAlignment="1" applyFont="1">
      <alignment readingOrder="0" shrinkToFit="0" vertical="center" wrapText="1"/>
    </xf>
    <xf borderId="10" fillId="3" fontId="6" numFmtId="0" xfId="0" applyAlignment="1" applyBorder="1" applyFont="1">
      <alignment horizontal="center" readingOrder="0"/>
    </xf>
    <xf borderId="0" fillId="0" fontId="1" numFmtId="0" xfId="0" applyAlignment="1" applyFont="1">
      <alignment horizontal="center" readingOrder="0"/>
    </xf>
    <xf borderId="0" fillId="0" fontId="1" numFmtId="165" xfId="0" applyAlignment="1" applyFont="1" applyNumberFormat="1">
      <alignment horizontal="left" readingOrder="0"/>
    </xf>
    <xf borderId="0" fillId="0" fontId="1" numFmtId="0" xfId="0" applyAlignment="1" applyFont="1">
      <alignment readingOrder="0"/>
    </xf>
    <xf borderId="13" fillId="2" fontId="8" numFmtId="0" xfId="0" applyAlignment="1" applyBorder="1" applyFont="1">
      <alignment horizontal="center" readingOrder="0" shrinkToFit="0" vertical="center" wrapText="1"/>
    </xf>
    <xf borderId="14" fillId="2" fontId="8" numFmtId="0" xfId="0" applyAlignment="1" applyBorder="1" applyFont="1">
      <alignment horizontal="center" shrinkToFit="0" vertical="center" wrapText="1"/>
    </xf>
    <xf borderId="14" fillId="2" fontId="9" numFmtId="0" xfId="0" applyAlignment="1" applyBorder="1" applyFont="1">
      <alignment horizontal="center" shrinkToFit="0" wrapText="1"/>
    </xf>
    <xf borderId="14" fillId="2" fontId="10" numFmtId="0" xfId="0" applyAlignment="1" applyBorder="1" applyFont="1">
      <alignment horizontal="center" shrinkToFit="0" wrapText="1"/>
    </xf>
    <xf borderId="0" fillId="0" fontId="2" numFmtId="0" xfId="0" applyAlignment="1" applyFont="1">
      <alignment shrinkToFit="0" vertical="center" wrapText="1"/>
    </xf>
    <xf borderId="14" fillId="0" fontId="2" numFmtId="0" xfId="0" applyAlignment="1" applyBorder="1" applyFont="1">
      <alignment horizontal="center" readingOrder="0" shrinkToFit="0" vertical="center" wrapText="1"/>
    </xf>
    <xf borderId="14" fillId="4" fontId="11" numFmtId="0" xfId="0" applyAlignment="1" applyBorder="1" applyFill="1" applyFont="1">
      <alignment vertical="bottom"/>
    </xf>
    <xf borderId="14" fillId="4" fontId="11" numFmtId="0" xfId="0" applyAlignment="1" applyBorder="1" applyFont="1">
      <alignment vertical="bottom"/>
    </xf>
    <xf borderId="14" fillId="4" fontId="12" numFmtId="0" xfId="0" applyAlignment="1" applyBorder="1" applyFont="1">
      <alignment horizontal="center" shrinkToFit="0" wrapText="1"/>
    </xf>
    <xf borderId="14" fillId="4" fontId="2" numFmtId="0" xfId="0" applyAlignment="1" applyBorder="1" applyFont="1">
      <alignment horizontal="center" readingOrder="0" shrinkToFit="0" vertical="center" wrapText="1"/>
    </xf>
    <xf borderId="14" fillId="4" fontId="8" numFmtId="0" xfId="0" applyAlignment="1" applyBorder="1" applyFont="1">
      <alignment horizontal="center" readingOrder="0" shrinkToFit="0" vertical="center" wrapText="1"/>
    </xf>
    <xf borderId="14" fillId="4" fontId="11" numFmtId="0" xfId="0" applyBorder="1" applyFont="1"/>
    <xf borderId="14" fillId="0" fontId="13" numFmtId="0" xfId="0" applyAlignment="1" applyBorder="1" applyFont="1">
      <alignment horizontal="center" shrinkToFit="0" wrapText="1"/>
    </xf>
    <xf borderId="14" fillId="0" fontId="13" numFmtId="0" xfId="0" applyAlignment="1" applyBorder="1" applyFont="1">
      <alignment horizontal="center" shrinkToFit="0" wrapText="1"/>
    </xf>
    <xf borderId="14" fillId="0" fontId="13" numFmtId="0" xfId="0" applyAlignment="1" applyBorder="1" applyFont="1">
      <alignment horizontal="center" shrinkToFit="0" vertical="center" wrapText="1"/>
    </xf>
    <xf borderId="14" fillId="5" fontId="8" numFmtId="0" xfId="0" applyAlignment="1" applyBorder="1" applyFill="1" applyFont="1">
      <alignment horizontal="center" readingOrder="0" shrinkToFit="0" vertical="center" wrapText="1"/>
    </xf>
    <xf borderId="14" fillId="0" fontId="11" numFmtId="0" xfId="0" applyBorder="1" applyFont="1"/>
    <xf borderId="14" fillId="0" fontId="14" numFmtId="0" xfId="0" applyAlignment="1" applyBorder="1" applyFont="1">
      <alignment vertical="bottom"/>
    </xf>
    <xf borderId="14" fillId="3" fontId="13" numFmtId="0" xfId="0" applyAlignment="1" applyBorder="1" applyFont="1">
      <alignment horizontal="center" shrinkToFit="0" wrapText="1"/>
    </xf>
    <xf borderId="14" fillId="0" fontId="13" numFmtId="0" xfId="0" applyAlignment="1" applyBorder="1" applyFont="1">
      <alignment horizontal="center" shrinkToFit="0" vertical="center" wrapText="1"/>
    </xf>
    <xf borderId="14" fillId="6" fontId="8" numFmtId="0" xfId="0" applyAlignment="1" applyBorder="1" applyFill="1" applyFont="1">
      <alignment horizontal="center" readingOrder="0" shrinkToFit="0" vertical="center" wrapText="1"/>
    </xf>
    <xf borderId="0" fillId="0" fontId="11" numFmtId="0" xfId="0" applyFont="1"/>
    <xf borderId="14" fillId="7" fontId="11" numFmtId="0" xfId="0" applyBorder="1" applyFill="1" applyFont="1"/>
    <xf borderId="14" fillId="7" fontId="15" numFmtId="0" xfId="0" applyAlignment="1" applyBorder="1" applyFont="1">
      <alignment horizontal="center" shrinkToFit="0" wrapText="1"/>
    </xf>
    <xf borderId="14" fillId="7" fontId="2" numFmtId="0" xfId="0" applyAlignment="1" applyBorder="1" applyFont="1">
      <alignment horizontal="center" shrinkToFit="0" vertical="center" wrapText="1"/>
    </xf>
    <xf borderId="14" fillId="7" fontId="11" numFmtId="0" xfId="0" applyBorder="1" applyFont="1"/>
    <xf borderId="14" fillId="0" fontId="2" numFmtId="0" xfId="0" applyAlignment="1" applyBorder="1" applyFont="1">
      <alignment horizontal="center" shrinkToFit="0" vertical="center" wrapText="1"/>
    </xf>
    <xf borderId="14" fillId="0" fontId="11" numFmtId="0" xfId="0" applyBorder="1" applyFont="1"/>
    <xf borderId="14" fillId="0" fontId="14" numFmtId="0" xfId="0" applyAlignment="1" applyBorder="1" applyFont="1">
      <alignment vertical="bottom"/>
    </xf>
    <xf borderId="14" fillId="0" fontId="13" numFmtId="0" xfId="0" applyAlignment="1" applyBorder="1" applyFont="1">
      <alignment horizontal="center" shrinkToFit="0" wrapText="1"/>
    </xf>
    <xf borderId="14" fillId="4" fontId="11" numFmtId="0" xfId="0" applyBorder="1" applyFont="1"/>
    <xf borderId="0" fillId="4" fontId="12" numFmtId="0" xfId="0" applyAlignment="1" applyFont="1">
      <alignment horizontal="center" shrinkToFit="0" wrapText="1"/>
    </xf>
    <xf borderId="14" fillId="4" fontId="13" numFmtId="0" xfId="0" applyAlignment="1" applyBorder="1" applyFont="1">
      <alignment horizontal="center" shrinkToFit="0" vertical="center" wrapText="1"/>
    </xf>
    <xf borderId="14" fillId="3" fontId="13" numFmtId="0" xfId="0" applyAlignment="1" applyBorder="1" applyFont="1">
      <alignment horizontal="center" shrinkToFit="0" wrapText="1"/>
    </xf>
    <xf borderId="14" fillId="0" fontId="13" numFmtId="0" xfId="0" applyAlignment="1" applyBorder="1" applyFont="1">
      <alignment horizontal="center" shrinkToFit="0" vertical="center" wrapText="1"/>
    </xf>
    <xf borderId="14" fillId="7" fontId="15" numFmtId="0" xfId="0" applyAlignment="1" applyBorder="1" applyFont="1">
      <alignment horizontal="center" shrinkToFit="0" wrapText="1"/>
    </xf>
    <xf borderId="14" fillId="7" fontId="2" numFmtId="0" xfId="0" applyAlignment="1" applyBorder="1" applyFont="1">
      <alignment horizontal="center" readingOrder="0" shrinkToFit="0" vertical="center" wrapText="1"/>
    </xf>
    <xf borderId="14" fillId="3" fontId="13" numFmtId="0" xfId="0" applyAlignment="1" applyBorder="1" applyFont="1">
      <alignment horizontal="center" shrinkToFit="0" wrapText="1"/>
    </xf>
    <xf borderId="0" fillId="4" fontId="12" numFmtId="0" xfId="0" applyAlignment="1" applyFont="1">
      <alignment horizontal="center" shrinkToFit="0" wrapText="1"/>
    </xf>
    <xf borderId="14" fillId="4" fontId="2" numFmtId="0" xfId="0" applyAlignment="1" applyBorder="1" applyFont="1">
      <alignment horizontal="center" shrinkToFit="0" vertical="center" wrapText="1"/>
    </xf>
    <xf borderId="14" fillId="8" fontId="11" numFmtId="0" xfId="0" applyBorder="1" applyFill="1" applyFont="1"/>
    <xf borderId="14" fillId="8" fontId="15" numFmtId="0" xfId="0" applyAlignment="1" applyBorder="1" applyFont="1">
      <alignment horizontal="center" shrinkToFit="0" wrapText="1"/>
    </xf>
    <xf borderId="14" fillId="8"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16" numFmtId="0" xfId="0" applyAlignment="1" applyFont="1">
      <alignment horizontal="center" vertical="center"/>
    </xf>
    <xf borderId="14" fillId="0" fontId="16" numFmtId="0" xfId="0" applyAlignment="1" applyBorder="1" applyFont="1">
      <alignment horizontal="center" vertical="center"/>
    </xf>
    <xf borderId="0" fillId="0" fontId="11" numFmtId="0" xfId="0" applyFont="1"/>
    <xf borderId="0" fillId="0" fontId="11" numFmtId="0" xfId="0" applyAlignment="1" applyFont="1">
      <alignment vertical="bottom"/>
    </xf>
    <xf borderId="14" fillId="2" fontId="10" numFmtId="0" xfId="0" applyAlignment="1" applyBorder="1" applyFont="1">
      <alignment horizontal="center" shrinkToFit="0" vertical="top" wrapText="1"/>
    </xf>
    <xf borderId="14" fillId="2" fontId="10" numFmtId="0" xfId="0" applyAlignment="1" applyBorder="1" applyFont="1">
      <alignment horizontal="center" shrinkToFit="0" vertical="top" wrapText="1"/>
    </xf>
    <xf borderId="15" fillId="2" fontId="10" numFmtId="0" xfId="0" applyAlignment="1" applyBorder="1" applyFont="1">
      <alignment horizontal="center" shrinkToFit="0" vertical="top" wrapText="1"/>
    </xf>
    <xf borderId="16" fillId="0" fontId="10" numFmtId="0" xfId="0" applyAlignment="1" applyBorder="1" applyFont="1">
      <alignment horizontal="center" shrinkToFit="0" vertical="top" wrapText="1"/>
    </xf>
    <xf borderId="0" fillId="0" fontId="10" numFmtId="0" xfId="0" applyAlignment="1" applyFont="1">
      <alignment horizontal="center" shrinkToFit="0" vertical="top" wrapText="1"/>
    </xf>
    <xf borderId="14" fillId="9" fontId="13" numFmtId="0" xfId="0" applyAlignment="1" applyBorder="1" applyFill="1" applyFont="1">
      <alignment shrinkToFit="0" vertical="top" wrapText="1"/>
    </xf>
    <xf borderId="14" fillId="9" fontId="13" numFmtId="0" xfId="0" applyAlignment="1" applyBorder="1" applyFont="1">
      <alignment shrinkToFit="0" vertical="top" wrapText="1"/>
    </xf>
    <xf borderId="14" fillId="9" fontId="17" numFmtId="0" xfId="0" applyAlignment="1" applyBorder="1" applyFont="1">
      <alignment horizontal="center" shrinkToFit="0" vertical="top" wrapText="1"/>
    </xf>
    <xf borderId="0" fillId="9" fontId="11" numFmtId="0" xfId="0" applyAlignment="1" applyFont="1">
      <alignment vertical="top"/>
    </xf>
    <xf borderId="10" fillId="9" fontId="11" numFmtId="0" xfId="0" applyAlignment="1" applyBorder="1" applyFont="1">
      <alignment vertical="top"/>
    </xf>
    <xf borderId="16" fillId="0" fontId="11" numFmtId="0" xfId="0" applyAlignment="1" applyBorder="1" applyFont="1">
      <alignment vertical="top"/>
    </xf>
    <xf borderId="0" fillId="0" fontId="11" numFmtId="0" xfId="0" applyAlignment="1" applyFont="1">
      <alignment vertical="top"/>
    </xf>
    <xf borderId="14" fillId="0" fontId="1" numFmtId="0" xfId="0" applyAlignment="1" applyBorder="1" applyFont="1">
      <alignment shrinkToFit="0" vertical="top" wrapText="1"/>
    </xf>
    <xf borderId="14" fillId="0" fontId="13" numFmtId="0" xfId="0" applyAlignment="1" applyBorder="1" applyFont="1">
      <alignment horizontal="center" shrinkToFit="0" vertical="top" wrapText="1"/>
    </xf>
    <xf borderId="14" fillId="0" fontId="13" numFmtId="0" xfId="0" applyAlignment="1" applyBorder="1" applyFont="1">
      <alignment horizontal="center" shrinkToFit="0" vertical="top" wrapText="1"/>
    </xf>
    <xf borderId="14" fillId="0" fontId="13" numFmtId="0" xfId="0" applyAlignment="1" applyBorder="1" applyFont="1">
      <alignment shrinkToFit="0" vertical="top" wrapText="1"/>
    </xf>
    <xf borderId="14" fillId="10" fontId="10" numFmtId="0" xfId="0" applyAlignment="1" applyBorder="1" applyFill="1" applyFont="1">
      <alignment horizontal="center" shrinkToFit="0" vertical="top" wrapText="1"/>
    </xf>
    <xf borderId="14" fillId="0" fontId="13" numFmtId="0" xfId="0" applyAlignment="1" applyBorder="1" applyFont="1">
      <alignment shrinkToFit="0" vertical="top" wrapText="1"/>
    </xf>
    <xf borderId="15" fillId="0" fontId="13" numFmtId="0" xfId="0" applyAlignment="1" applyBorder="1" applyFont="1">
      <alignment shrinkToFit="0" vertical="top" wrapText="1"/>
    </xf>
    <xf borderId="16" fillId="0" fontId="13" numFmtId="0" xfId="0" applyAlignment="1" applyBorder="1" applyFont="1">
      <alignment shrinkToFit="0" vertical="top" wrapText="1"/>
    </xf>
    <xf borderId="0" fillId="0" fontId="13" numFmtId="0" xfId="0" applyAlignment="1" applyFont="1">
      <alignment shrinkToFit="0" vertical="top" wrapText="1"/>
    </xf>
    <xf borderId="14" fillId="5" fontId="10" numFmtId="0" xfId="0" applyAlignment="1" applyBorder="1" applyFont="1">
      <alignment horizontal="center" shrinkToFit="0" vertical="top" wrapText="1"/>
    </xf>
    <xf borderId="14" fillId="3" fontId="13" numFmtId="0" xfId="0" applyAlignment="1" applyBorder="1" applyFont="1">
      <alignment shrinkToFit="0" vertical="top" wrapText="1"/>
    </xf>
    <xf borderId="14" fillId="0" fontId="1" numFmtId="0" xfId="0" applyAlignment="1" applyBorder="1" applyFont="1">
      <alignment horizontal="center" shrinkToFit="0" vertical="top" wrapText="1"/>
    </xf>
    <xf borderId="14" fillId="0" fontId="13" numFmtId="0" xfId="0" applyAlignment="1" applyBorder="1" applyFont="1">
      <alignment shrinkToFit="0" vertical="top" wrapText="1"/>
    </xf>
    <xf borderId="14" fillId="0" fontId="13" numFmtId="0" xfId="0" applyAlignment="1" applyBorder="1" applyFont="1">
      <alignment shrinkToFit="0" vertical="bottom" wrapText="1"/>
    </xf>
    <xf borderId="14" fillId="0" fontId="13" numFmtId="0" xfId="0" applyAlignment="1" applyBorder="1" applyFont="1">
      <alignment shrinkToFit="0" vertical="bottom" wrapText="1"/>
    </xf>
    <xf borderId="14" fillId="0" fontId="1" numFmtId="0" xfId="0" applyAlignment="1" applyBorder="1" applyFont="1">
      <alignment shrinkToFit="0" vertical="top" wrapText="1"/>
    </xf>
    <xf borderId="14" fillId="10" fontId="17" numFmtId="0" xfId="0" applyAlignment="1" applyBorder="1" applyFont="1">
      <alignment horizontal="center" shrinkToFit="0" vertical="top" wrapText="1"/>
    </xf>
    <xf borderId="14" fillId="5" fontId="17" numFmtId="0" xfId="0" applyAlignment="1" applyBorder="1" applyFont="1">
      <alignment horizontal="center" shrinkToFit="0" vertical="top" wrapText="1"/>
    </xf>
    <xf borderId="14" fillId="0" fontId="1" numFmtId="0" xfId="0" applyAlignment="1" applyBorder="1" applyFont="1">
      <alignment horizontal="center" shrinkToFit="0" vertical="top" wrapText="1"/>
    </xf>
    <xf borderId="14" fillId="0" fontId="1" numFmtId="0" xfId="0" applyAlignment="1" applyBorder="1" applyFont="1">
      <alignment shrinkToFit="0" vertical="bottom" wrapText="1"/>
    </xf>
    <xf borderId="14" fillId="0" fontId="1" numFmtId="0" xfId="0" applyAlignment="1" applyBorder="1" applyFont="1">
      <alignment shrinkToFit="0" vertical="bottom" wrapText="1"/>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0" fillId="0" fontId="1" numFmtId="0" xfId="0" applyAlignment="1" applyFont="1">
      <alignment vertical="bottom"/>
    </xf>
    <xf borderId="14" fillId="0" fontId="1" numFmtId="0" xfId="0" applyAlignment="1" applyBorder="1" applyFont="1">
      <alignment vertical="top"/>
    </xf>
    <xf borderId="15" fillId="0" fontId="1" numFmtId="0" xfId="0" applyAlignment="1" applyBorder="1" applyFont="1">
      <alignment vertical="top"/>
    </xf>
    <xf borderId="16" fillId="0" fontId="1" numFmtId="0" xfId="0" applyAlignment="1" applyBorder="1" applyFont="1">
      <alignment vertical="top"/>
    </xf>
    <xf borderId="0" fillId="0" fontId="1" numFmtId="0" xfId="0" applyAlignment="1" applyFont="1">
      <alignment vertical="top"/>
    </xf>
    <xf borderId="14" fillId="3" fontId="1" numFmtId="0" xfId="0" applyAlignment="1" applyBorder="1" applyFont="1">
      <alignment shrinkToFit="0" vertical="top" wrapText="1"/>
    </xf>
    <xf borderId="0" fillId="0" fontId="13" numFmtId="0" xfId="0" applyAlignment="1" applyFont="1">
      <alignment shrinkToFit="0" vertical="bottom" wrapText="1"/>
    </xf>
    <xf borderId="14" fillId="5" fontId="17" numFmtId="0" xfId="0" applyAlignment="1" applyBorder="1" applyFont="1">
      <alignment horizontal="center" shrinkToFit="0" vertical="top" wrapText="1"/>
    </xf>
    <xf borderId="14" fillId="10" fontId="10" numFmtId="0" xfId="0" applyAlignment="1" applyBorder="1" applyFont="1">
      <alignment horizontal="center" shrinkToFit="0" vertical="top" wrapText="1"/>
    </xf>
    <xf borderId="14" fillId="0" fontId="1" numFmtId="0" xfId="0" applyAlignment="1" applyBorder="1" applyFont="1">
      <alignment shrinkToFit="0" vertical="top" wrapText="1"/>
    </xf>
    <xf borderId="0" fillId="0" fontId="13" numFmtId="0" xfId="0" applyAlignment="1" applyFont="1">
      <alignment shrinkToFit="0" vertical="bottom" wrapText="1"/>
    </xf>
    <xf borderId="14" fillId="0" fontId="13" numFmtId="0" xfId="0" applyAlignment="1" applyBorder="1" applyFont="1">
      <alignment horizontal="center" shrinkToFit="0" vertical="top" wrapText="1"/>
    </xf>
    <xf borderId="14" fillId="10" fontId="10" numFmtId="0" xfId="0" applyAlignment="1" applyBorder="1" applyFont="1">
      <alignment horizontal="center" shrinkToFit="0" vertical="top" wrapText="1"/>
    </xf>
    <xf borderId="15" fillId="0" fontId="13" numFmtId="0" xfId="0" applyAlignment="1" applyBorder="1" applyFont="1">
      <alignment shrinkToFit="0" vertical="top" wrapText="1"/>
    </xf>
    <xf borderId="16" fillId="0" fontId="13" numFmtId="0" xfId="0" applyAlignment="1" applyBorder="1" applyFont="1">
      <alignment shrinkToFit="0" vertical="top" wrapText="1"/>
    </xf>
    <xf borderId="0" fillId="0" fontId="13" numFmtId="0" xfId="0" applyAlignment="1" applyFont="1">
      <alignment shrinkToFit="0" vertical="top" wrapText="1"/>
    </xf>
    <xf borderId="14" fillId="0" fontId="13" numFmtId="0" xfId="0" applyAlignment="1" applyBorder="1" applyFont="1">
      <alignment shrinkToFit="0" vertical="bottom" wrapText="1"/>
    </xf>
    <xf borderId="14" fillId="5" fontId="10" numFmtId="0" xfId="0" applyAlignment="1" applyBorder="1" applyFont="1">
      <alignment horizontal="center" shrinkToFit="0" vertical="top" wrapText="1"/>
    </xf>
    <xf borderId="14" fillId="10" fontId="17" numFmtId="0" xfId="0" applyAlignment="1" applyBorder="1" applyFont="1">
      <alignment horizontal="center" shrinkToFit="0" vertical="top" wrapText="1"/>
    </xf>
    <xf borderId="14" fillId="5" fontId="17" numFmtId="0" xfId="0" applyAlignment="1" applyBorder="1" applyFont="1">
      <alignment horizontal="center" shrinkToFit="0" vertical="top" wrapText="1"/>
    </xf>
    <xf borderId="14" fillId="3" fontId="13" numFmtId="0" xfId="0" applyAlignment="1" applyBorder="1" applyFont="1">
      <alignment shrinkToFit="0" vertical="top" wrapText="1"/>
    </xf>
    <xf borderId="14" fillId="0" fontId="1" numFmtId="0" xfId="0" applyAlignment="1" applyBorder="1" applyFont="1">
      <alignment horizontal="center" shrinkToFit="0" vertical="top" wrapText="1"/>
    </xf>
    <xf borderId="14" fillId="0" fontId="1" numFmtId="0" xfId="0" applyAlignment="1" applyBorder="1" applyFont="1">
      <alignment shrinkToFit="0" vertical="bottom" wrapText="1"/>
    </xf>
    <xf borderId="15" fillId="0" fontId="1" numFmtId="0" xfId="0" applyAlignment="1" applyBorder="1" applyFont="1">
      <alignment shrinkToFit="0" vertical="bottom" wrapText="1"/>
    </xf>
    <xf borderId="16" fillId="0" fontId="1" numFmtId="0" xfId="0" applyAlignment="1" applyBorder="1" applyFont="1">
      <alignment shrinkToFit="0" vertical="bottom" wrapText="1"/>
    </xf>
    <xf borderId="0" fillId="0" fontId="1" numFmtId="0" xfId="0" applyAlignment="1" applyFont="1">
      <alignment shrinkToFit="0" vertical="bottom" wrapText="1"/>
    </xf>
    <xf borderId="15" fillId="0" fontId="1" numFmtId="0" xfId="0" applyAlignment="1" applyBorder="1" applyFont="1">
      <alignment shrinkToFit="0" vertical="top" wrapText="1"/>
    </xf>
    <xf borderId="16" fillId="0" fontId="1" numFmtId="0" xfId="0" applyAlignment="1" applyBorder="1" applyFont="1">
      <alignment shrinkToFit="0" vertical="top" wrapText="1"/>
    </xf>
    <xf borderId="0" fillId="0" fontId="1" numFmtId="0" xfId="0" applyAlignment="1" applyFont="1">
      <alignment shrinkToFit="0" vertical="top" wrapText="1"/>
    </xf>
    <xf borderId="14" fillId="3" fontId="1" numFmtId="0" xfId="0" applyAlignment="1" applyBorder="1" applyFont="1">
      <alignment shrinkToFit="0" vertical="top" wrapText="1"/>
    </xf>
    <xf borderId="0" fillId="0" fontId="13" numFmtId="0" xfId="0" applyAlignment="1" applyFont="1">
      <alignment shrinkToFit="0" vertical="bottom" wrapText="1"/>
    </xf>
    <xf borderId="14" fillId="9" fontId="13" numFmtId="0" xfId="0" applyAlignment="1" applyBorder="1" applyFont="1">
      <alignment shrinkToFit="0" vertical="top" wrapText="1"/>
    </xf>
    <xf borderId="14" fillId="9" fontId="17" numFmtId="0" xfId="0" applyAlignment="1" applyBorder="1" applyFont="1">
      <alignment horizontal="center" shrinkToFit="0" vertical="top" wrapText="1"/>
    </xf>
    <xf borderId="0" fillId="9" fontId="11" numFmtId="0" xfId="0" applyAlignment="1" applyFont="1">
      <alignment shrinkToFit="0" vertical="top" wrapText="1"/>
    </xf>
    <xf borderId="10" fillId="9" fontId="11" numFmtId="0" xfId="0" applyAlignment="1" applyBorder="1" applyFont="1">
      <alignment shrinkToFit="0" vertical="top" wrapText="1"/>
    </xf>
    <xf borderId="16" fillId="0" fontId="11" numFmtId="0" xfId="0" applyAlignment="1" applyBorder="1" applyFont="1">
      <alignment shrinkToFit="0" vertical="top" wrapText="1"/>
    </xf>
    <xf borderId="0" fillId="0" fontId="11"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horizontal="center" shrinkToFit="0" vertical="top" wrapText="1"/>
    </xf>
    <xf borderId="1" fillId="2" fontId="8" numFmtId="0" xfId="0" applyAlignment="1" applyBorder="1" applyFont="1">
      <alignment horizontal="center" shrinkToFit="0" vertical="center" wrapText="1"/>
    </xf>
    <xf borderId="14" fillId="2" fontId="8" numFmtId="0" xfId="0" applyAlignment="1" applyBorder="1" applyFont="1">
      <alignment horizontal="center" readingOrder="0" shrinkToFit="0" vertical="center" wrapText="1"/>
    </xf>
    <xf borderId="14" fillId="2" fontId="8" numFmtId="0" xfId="0" applyAlignment="1" applyBorder="1" applyFont="1">
      <alignment horizontal="center" readingOrder="0" shrinkToFit="0" vertical="top" wrapText="1"/>
    </xf>
    <xf borderId="14" fillId="2" fontId="8" numFmtId="0" xfId="0" applyAlignment="1" applyBorder="1" applyFont="1">
      <alignment horizontal="center" shrinkToFit="0" vertical="top" wrapText="1"/>
    </xf>
    <xf borderId="17" fillId="2" fontId="8" numFmtId="0" xfId="0" applyAlignment="1" applyBorder="1" applyFont="1">
      <alignment horizontal="center" shrinkToFit="0" vertical="top" wrapText="1"/>
    </xf>
    <xf borderId="0" fillId="0" fontId="2" numFmtId="0" xfId="0" applyAlignment="1" applyFont="1">
      <alignment shrinkToFit="0" vertical="top" wrapText="1"/>
    </xf>
    <xf borderId="0" fillId="0" fontId="13" numFmtId="0" xfId="0" applyAlignment="1" applyFont="1">
      <alignment readingOrder="0"/>
    </xf>
    <xf borderId="0" fillId="0" fontId="2" numFmtId="0" xfId="0" applyAlignment="1" applyFont="1">
      <alignment horizontal="left" readingOrder="0" shrinkToFit="0" vertical="center" wrapText="1"/>
    </xf>
    <xf borderId="0" fillId="11" fontId="8" numFmtId="0" xfId="0" applyAlignment="1" applyFill="1" applyFont="1">
      <alignment horizontal="left" readingOrder="0" shrinkToFit="0" vertical="center" wrapText="1"/>
    </xf>
    <xf borderId="0" fillId="0" fontId="13" numFmtId="49" xfId="0" applyAlignment="1" applyFont="1" applyNumberFormat="1">
      <alignment horizontal="left" readingOrder="0"/>
    </xf>
    <xf borderId="0" fillId="10" fontId="18" numFmtId="0" xfId="0" applyAlignment="1" applyFont="1">
      <alignment horizontal="left" readingOrder="0" shrinkToFit="0" vertical="bottom" wrapText="0"/>
    </xf>
    <xf borderId="0" fillId="0" fontId="13" numFmtId="0" xfId="0" applyFont="1"/>
    <xf borderId="0" fillId="0" fontId="2" numFmtId="0" xfId="0" applyAlignment="1" applyFont="1">
      <alignment horizontal="left" shrinkToFit="0" vertical="center" wrapText="1"/>
    </xf>
    <xf borderId="0" fillId="0" fontId="13" numFmtId="0" xfId="0" applyAlignment="1" applyFont="1">
      <alignment horizontal="left" readingOrder="0"/>
    </xf>
    <xf borderId="0" fillId="0" fontId="13" numFmtId="0" xfId="0" applyAlignment="1" applyFont="1">
      <alignment horizontal="left" readingOrder="0" shrinkToFit="0" vertical="center" wrapText="0"/>
    </xf>
    <xf borderId="0" fillId="5" fontId="18" numFmtId="0" xfId="0" applyAlignment="1" applyFont="1">
      <alignment horizontal="left" readingOrder="0" shrinkToFit="0" vertical="bottom" wrapText="0"/>
    </xf>
    <xf borderId="0" fillId="10" fontId="18" numFmtId="0" xfId="0" applyAlignment="1" applyFont="1">
      <alignment readingOrder="0" shrinkToFit="0" vertical="bottom" wrapText="0"/>
    </xf>
    <xf borderId="0" fillId="12" fontId="18" numFmtId="0" xfId="0" applyAlignment="1" applyFill="1" applyFont="1">
      <alignment readingOrder="0" shrinkToFit="0" vertical="bottom" wrapText="0"/>
    </xf>
    <xf borderId="0" fillId="12" fontId="18" numFmtId="0" xfId="0" applyAlignment="1" applyFont="1">
      <alignment horizontal="left" readingOrder="0" shrinkToFit="0" vertical="bottom" wrapText="0"/>
    </xf>
    <xf borderId="18" fillId="2" fontId="8" numFmtId="0" xfId="0" applyAlignment="1" applyBorder="1" applyFont="1">
      <alignment horizontal="center" shrinkToFit="0" vertical="top" wrapText="1"/>
    </xf>
    <xf borderId="0" fillId="0" fontId="19" numFmtId="0" xfId="0" applyAlignment="1" applyFont="1">
      <alignment vertical="bottom"/>
    </xf>
    <xf borderId="1" fillId="10" fontId="8" numFmtId="0" xfId="0" applyAlignment="1" applyBorder="1" applyFont="1">
      <alignment vertical="bottom"/>
    </xf>
    <xf borderId="0" fillId="0" fontId="20" numFmtId="0" xfId="0" applyAlignment="1" applyFont="1">
      <alignment vertical="bottom"/>
    </xf>
    <xf borderId="1" fillId="5" fontId="8" numFmtId="0" xfId="0" applyAlignment="1" applyBorder="1" applyFont="1">
      <alignment vertical="bottom"/>
    </xf>
    <xf borderId="1" fillId="12" fontId="8" numFmtId="0" xfId="0" applyAlignment="1" applyBorder="1" applyFont="1">
      <alignment vertical="bottom"/>
    </xf>
    <xf borderId="0" fillId="0" fontId="16" numFmtId="0" xfId="0" applyAlignment="1" applyFont="1">
      <alignment readingOrder="0"/>
    </xf>
    <xf borderId="0" fillId="0" fontId="16" numFmtId="0" xfId="0" applyFont="1"/>
    <xf borderId="15" fillId="13" fontId="21" numFmtId="0" xfId="0" applyAlignment="1" applyBorder="1" applyFill="1" applyFont="1">
      <alignment horizontal="center" readingOrder="0" shrinkToFit="0" vertical="center" wrapText="1"/>
    </xf>
    <xf borderId="19" fillId="0" fontId="4" numFmtId="0" xfId="0" applyBorder="1" applyFont="1"/>
    <xf borderId="20" fillId="0" fontId="4" numFmtId="0" xfId="0" applyBorder="1" applyFont="1"/>
    <xf borderId="14" fillId="0" fontId="13" numFmtId="0" xfId="0" applyAlignment="1" applyBorder="1" applyFont="1">
      <alignment horizontal="center" readingOrder="0" shrinkToFit="0" vertical="center" wrapText="1"/>
    </xf>
    <xf borderId="14" fillId="0" fontId="13" numFmtId="0" xfId="0" applyAlignment="1" applyBorder="1" applyFont="1">
      <alignment horizontal="center" readingOrder="0" shrinkToFit="0" vertical="center" wrapText="1"/>
    </xf>
    <xf borderId="14" fillId="0" fontId="22" numFmtId="0" xfId="0" applyAlignment="1" applyBorder="1" applyFont="1">
      <alignment horizontal="center" readingOrder="0" shrinkToFit="0" vertical="center" wrapText="1"/>
    </xf>
    <xf borderId="14" fillId="0" fontId="8" numFmtId="0" xfId="0" applyAlignment="1" applyBorder="1" applyFont="1">
      <alignment horizontal="center" readingOrder="0" shrinkToFit="0" vertical="center" wrapText="1"/>
    </xf>
    <xf borderId="14" fillId="0" fontId="23" numFmtId="0" xfId="0" applyAlignment="1" applyBorder="1" applyFont="1">
      <alignment horizontal="center" readingOrder="0" shrinkToFit="0" vertical="center" wrapText="1"/>
    </xf>
    <xf borderId="14" fillId="0" fontId="24" numFmtId="0" xfId="0" applyAlignment="1" applyBorder="1" applyFont="1">
      <alignment horizontal="center" readingOrder="0" shrinkToFit="0" vertical="center" wrapText="1"/>
    </xf>
    <xf borderId="14" fillId="0" fontId="25" numFmtId="0" xfId="0" applyAlignment="1" applyBorder="1" applyFont="1">
      <alignment horizontal="center" readingOrder="0" shrinkToFit="0" vertical="center" wrapText="1"/>
    </xf>
    <xf borderId="14" fillId="0" fontId="26" numFmtId="0" xfId="0" applyAlignment="1" applyBorder="1" applyFont="1">
      <alignment horizontal="center" readingOrder="0" shrinkToFit="0" vertical="center" wrapText="1"/>
    </xf>
    <xf borderId="15" fillId="14" fontId="27" numFmtId="0" xfId="0" applyAlignment="1" applyBorder="1" applyFill="1" applyFont="1">
      <alignment horizontal="center" shrinkToFit="0" vertical="center" wrapText="1"/>
    </xf>
    <xf borderId="14" fillId="14" fontId="28" numFmtId="0" xfId="0" applyAlignment="1" applyBorder="1" applyFont="1">
      <alignment horizontal="center" shrinkToFit="0" vertical="center" wrapText="1"/>
    </xf>
    <xf borderId="14" fillId="13" fontId="29" numFmtId="0" xfId="0" applyAlignment="1" applyBorder="1" applyFont="1">
      <alignment horizontal="center" readingOrder="0" vertical="center"/>
    </xf>
    <xf borderId="14" fillId="2" fontId="30" numFmtId="0" xfId="0" applyAlignment="1" applyBorder="1" applyFont="1">
      <alignment horizontal="center" readingOrder="0" shrinkToFit="0" vertical="center" wrapText="1"/>
    </xf>
    <xf borderId="14" fillId="2" fontId="24" numFmtId="0" xfId="0" applyAlignment="1" applyBorder="1" applyFont="1">
      <alignment horizontal="center" readingOrder="0" shrinkToFit="0" vertical="center" wrapText="1"/>
    </xf>
    <xf borderId="14" fillId="2" fontId="24" numFmtId="0" xfId="0" applyAlignment="1" applyBorder="1" applyFont="1">
      <alignment horizontal="center" readingOrder="0" vertical="center"/>
    </xf>
    <xf borderId="21" fillId="2" fontId="24" numFmtId="0" xfId="0" applyAlignment="1" applyBorder="1" applyFont="1">
      <alignment horizontal="center" readingOrder="0" vertical="center"/>
    </xf>
    <xf borderId="14" fillId="2" fontId="9" numFmtId="0" xfId="0" applyAlignment="1" applyBorder="1" applyFont="1">
      <alignment horizontal="center" readingOrder="0" shrinkToFit="0" vertical="center" wrapText="1"/>
    </xf>
    <xf borderId="14" fillId="2" fontId="24" numFmtId="0" xfId="0" applyAlignment="1" applyBorder="1" applyFont="1">
      <alignment horizontal="center" vertical="center"/>
    </xf>
    <xf borderId="22" fillId="2" fontId="24" numFmtId="0" xfId="0" applyAlignment="1" applyBorder="1" applyFont="1">
      <alignment horizontal="center" readingOrder="0" shrinkToFit="0" vertical="center" wrapText="1"/>
    </xf>
    <xf borderId="21" fillId="2" fontId="24" numFmtId="0" xfId="0" applyAlignment="1" applyBorder="1" applyFont="1">
      <alignment horizontal="center" vertical="center"/>
    </xf>
    <xf borderId="17" fillId="2" fontId="30" numFmtId="0" xfId="0" applyAlignment="1" applyBorder="1" applyFont="1">
      <alignment horizontal="center" readingOrder="0" shrinkToFit="0" vertical="center" wrapText="1"/>
    </xf>
    <xf borderId="23" fillId="2" fontId="24" numFmtId="0" xfId="0" applyAlignment="1" applyBorder="1" applyFont="1">
      <alignment horizontal="center" readingOrder="0" shrinkToFit="0" vertical="center" wrapText="1"/>
    </xf>
    <xf borderId="17" fillId="2" fontId="24" numFmtId="0" xfId="0" applyAlignment="1" applyBorder="1" applyFont="1">
      <alignment horizontal="center" readingOrder="0" vertical="center"/>
    </xf>
    <xf borderId="24" fillId="2" fontId="24" numFmtId="0" xfId="0" applyAlignment="1" applyBorder="1" applyFont="1">
      <alignment horizontal="center" vertical="center"/>
    </xf>
    <xf borderId="15" fillId="14" fontId="27" numFmtId="0" xfId="0" applyAlignment="1" applyBorder="1" applyFont="1">
      <alignment horizontal="center" readingOrder="0" shrinkToFit="0" vertical="bottom" wrapText="1"/>
    </xf>
    <xf borderId="14" fillId="14" fontId="28" numFmtId="0" xfId="0" applyAlignment="1" applyBorder="1" applyFont="1">
      <alignment horizontal="center" shrinkToFit="0" vertical="bottom" wrapText="1"/>
    </xf>
    <xf borderId="14" fillId="13" fontId="26" numFmtId="0" xfId="0" applyAlignment="1" applyBorder="1" applyFont="1">
      <alignment horizontal="center" readingOrder="0" vertical="bottom"/>
    </xf>
    <xf borderId="14" fillId="2" fontId="9" numFmtId="0" xfId="0" applyAlignment="1" applyBorder="1" applyFont="1">
      <alignment horizontal="center" readingOrder="0" shrinkToFit="0" vertical="bottom" wrapText="1"/>
    </xf>
    <xf borderId="14" fillId="2" fontId="9" numFmtId="0" xfId="0" applyAlignment="1" applyBorder="1" applyFont="1">
      <alignment readingOrder="0" shrinkToFit="0" vertical="bottom" wrapText="1"/>
    </xf>
    <xf borderId="14" fillId="2" fontId="9" numFmtId="0" xfId="0" applyAlignment="1" applyBorder="1" applyFont="1">
      <alignment horizontal="center" vertical="bottom"/>
    </xf>
    <xf borderId="14" fillId="2" fontId="9" numFmtId="0" xfId="0" applyAlignment="1" applyBorder="1" applyFont="1">
      <alignment horizontal="center" readingOrder="0" vertical="bottom"/>
    </xf>
    <xf borderId="21" fillId="2" fontId="9" numFmtId="0" xfId="0" applyAlignment="1" applyBorder="1" applyFont="1">
      <alignment horizontal="center" readingOrder="0" vertical="bottom"/>
    </xf>
    <xf borderId="14" fillId="13" fontId="26" numFmtId="0" xfId="0" applyAlignment="1" applyBorder="1" applyFont="1">
      <alignment horizontal="center" vertical="bottom"/>
    </xf>
    <xf borderId="21" fillId="2" fontId="9" numFmtId="0" xfId="0" applyAlignment="1" applyBorder="1" applyFont="1">
      <alignment shrinkToFit="0" vertical="bottom" wrapText="1"/>
    </xf>
    <xf borderId="14" fillId="2" fontId="9" numFmtId="0" xfId="0" applyAlignment="1" applyBorder="1" applyFont="1">
      <alignment shrinkToFit="0" vertical="bottom" wrapText="1"/>
    </xf>
    <xf borderId="14" fillId="2" fontId="9" numFmtId="0" xfId="0" applyAlignment="1" applyBorder="1" applyFont="1">
      <alignment horizontal="center" shrinkToFit="0" vertical="bottom" wrapText="1"/>
    </xf>
    <xf borderId="21" fillId="2" fontId="9" numFmtId="0" xfId="0" applyAlignment="1" applyBorder="1" applyFont="1">
      <alignment horizontal="center" shrinkToFit="0" vertical="bottom" wrapText="1"/>
    </xf>
    <xf borderId="25" fillId="2" fontId="9" numFmtId="0" xfId="0" applyAlignment="1" applyBorder="1" applyFont="1">
      <alignment shrinkToFit="0" vertical="bottom" wrapText="1"/>
    </xf>
    <xf borderId="15" fillId="14" fontId="27" numFmtId="0" xfId="0" applyAlignment="1" applyBorder="1" applyFont="1">
      <alignment horizontal="center" shrinkToFit="0" vertical="bottom" wrapText="1"/>
    </xf>
    <xf borderId="26" fillId="2" fontId="31" numFmtId="0" xfId="0" applyAlignment="1" applyBorder="1" applyFont="1">
      <alignment vertical="top"/>
    </xf>
    <xf borderId="21" fillId="2" fontId="9" numFmtId="0" xfId="0" applyAlignment="1" applyBorder="1" applyFont="1">
      <alignment horizontal="center" vertical="bottom"/>
    </xf>
    <xf borderId="22" fillId="2" fontId="31" numFmtId="0" xfId="0" applyAlignment="1" applyBorder="1" applyFont="1">
      <alignment vertical="top"/>
    </xf>
    <xf borderId="14" fillId="2" fontId="31" numFmtId="0" xfId="0" applyAlignment="1" applyBorder="1" applyFont="1">
      <alignment vertical="top"/>
    </xf>
    <xf borderId="27" fillId="2" fontId="31" numFmtId="0" xfId="0" applyAlignment="1" applyBorder="1" applyFont="1">
      <alignment vertical="top"/>
    </xf>
    <xf borderId="1" fillId="15" fontId="32" numFmtId="0" xfId="0" applyAlignment="1" applyBorder="1" applyFill="1" applyFont="1">
      <alignment horizontal="center" shrinkToFit="0" wrapText="1"/>
    </xf>
    <xf borderId="14" fillId="15" fontId="32" numFmtId="0" xfId="0" applyAlignment="1" applyBorder="1" applyFont="1">
      <alignment horizontal="center" shrinkToFit="0" wrapText="1"/>
    </xf>
    <xf borderId="1" fillId="15" fontId="32" numFmtId="0" xfId="0" applyAlignment="1" applyBorder="1" applyFont="1">
      <alignment horizontal="center"/>
    </xf>
    <xf borderId="14" fillId="16" fontId="33" numFmtId="0" xfId="0" applyAlignment="1" applyBorder="1" applyFill="1" applyFont="1">
      <alignment shrinkToFit="0" vertical="top" wrapText="1"/>
    </xf>
    <xf borderId="14" fillId="16" fontId="34" numFmtId="0" xfId="0" applyAlignment="1" applyBorder="1" applyFont="1">
      <alignment horizontal="center" shrinkToFit="0" vertical="top" wrapText="1"/>
    </xf>
    <xf borderId="14" fillId="16" fontId="35" numFmtId="0" xfId="0" applyAlignment="1" applyBorder="1" applyFont="1">
      <alignment shrinkToFit="0" vertical="top" wrapText="1"/>
    </xf>
    <xf borderId="14" fillId="16" fontId="35" numFmtId="0" xfId="0" applyAlignment="1" applyBorder="1" applyFont="1">
      <alignment horizontal="center" vertical="center"/>
    </xf>
    <xf borderId="14" fillId="17" fontId="35" numFmtId="0" xfId="0" applyAlignment="1" applyBorder="1" applyFill="1" applyFont="1">
      <alignment horizontal="center" vertical="center"/>
    </xf>
    <xf borderId="14" fillId="0" fontId="36" numFmtId="0" xfId="0" applyBorder="1" applyFont="1"/>
    <xf borderId="14" fillId="16" fontId="37" numFmtId="0" xfId="0" applyAlignment="1" applyBorder="1" applyFont="1">
      <alignment shrinkToFit="0" vertical="top" wrapText="1"/>
    </xf>
    <xf borderId="14" fillId="0" fontId="36" numFmtId="0" xfId="0" applyAlignment="1" applyBorder="1" applyFont="1">
      <alignment vertical="center"/>
    </xf>
    <xf borderId="14" fillId="0" fontId="38" numFmtId="0" xfId="0" applyAlignment="1" applyBorder="1" applyFont="1">
      <alignment shrinkToFit="0" vertical="top" wrapText="1"/>
    </xf>
    <xf borderId="14" fillId="0" fontId="34" numFmtId="0" xfId="0" applyAlignment="1" applyBorder="1" applyFont="1">
      <alignment horizontal="center" shrinkToFit="0" vertical="top" wrapText="1"/>
    </xf>
    <xf borderId="14" fillId="3" fontId="35" numFmtId="0" xfId="0" applyAlignment="1" applyBorder="1" applyFont="1">
      <alignment shrinkToFit="0" vertical="top" wrapText="1"/>
    </xf>
    <xf borderId="14" fillId="0" fontId="35" numFmtId="0" xfId="0" applyAlignment="1" applyBorder="1" applyFont="1">
      <alignment horizontal="center" vertical="center"/>
    </xf>
    <xf borderId="14" fillId="3" fontId="35" numFmtId="0" xfId="0" applyAlignment="1" applyBorder="1" applyFont="1">
      <alignment horizontal="center" vertical="center"/>
    </xf>
    <xf borderId="14" fillId="0" fontId="35" numFmtId="0" xfId="0" applyAlignment="1" applyBorder="1" applyFont="1">
      <alignment shrinkToFit="0" vertical="top" wrapText="1"/>
    </xf>
    <xf borderId="14" fillId="0" fontId="33" numFmtId="0" xfId="0" applyAlignment="1" applyBorder="1" applyFont="1">
      <alignment shrinkToFit="0" vertical="top" wrapText="1"/>
    </xf>
    <xf borderId="14" fillId="0" fontId="37" numFmtId="0" xfId="0" applyAlignment="1" applyBorder="1" applyFont="1">
      <alignment shrinkToFit="0" vertical="top" wrapText="1"/>
    </xf>
    <xf borderId="28" fillId="18" fontId="39" numFmtId="0" xfId="0" applyAlignment="1" applyBorder="1" applyFill="1" applyFont="1">
      <alignment horizontal="center" vertical="center"/>
    </xf>
    <xf borderId="29" fillId="0" fontId="4" numFmtId="0" xfId="0" applyBorder="1" applyFont="1"/>
    <xf borderId="30" fillId="0" fontId="4" numFmtId="0" xfId="0" applyBorder="1" applyFont="1"/>
    <xf borderId="31" fillId="0" fontId="2" numFmtId="0" xfId="0" applyBorder="1" applyFont="1"/>
    <xf borderId="0" fillId="0" fontId="2" numFmtId="166" xfId="0" applyFont="1" applyNumberFormat="1"/>
    <xf borderId="1" fillId="3" fontId="40" numFmtId="0" xfId="0" applyBorder="1" applyFont="1"/>
    <xf borderId="14" fillId="0" fontId="2" numFmtId="0" xfId="0" applyAlignment="1" applyBorder="1" applyFont="1">
      <alignment horizontal="center" vertical="center"/>
    </xf>
    <xf borderId="14" fillId="10" fontId="2" numFmtId="0" xfId="0" applyAlignment="1" applyBorder="1" applyFont="1">
      <alignment horizontal="center" vertical="center"/>
    </xf>
    <xf borderId="14" fillId="19" fontId="2" numFmtId="0" xfId="0" applyAlignment="1" applyBorder="1" applyFill="1" applyFont="1">
      <alignment horizontal="center" vertical="center"/>
    </xf>
    <xf borderId="14" fillId="5" fontId="2" numFmtId="0" xfId="0" applyAlignment="1" applyBorder="1" applyFont="1">
      <alignment horizontal="center" vertical="center"/>
    </xf>
    <xf borderId="14" fillId="0" fontId="2" numFmtId="0" xfId="0" applyAlignment="1" applyBorder="1" applyFont="1">
      <alignment horizontal="center"/>
    </xf>
    <xf borderId="0" fillId="0" fontId="25" numFmtId="0" xfId="0" applyAlignment="1" applyFont="1">
      <alignment horizontal="center"/>
    </xf>
    <xf borderId="32" fillId="20" fontId="41" numFmtId="0" xfId="0" applyAlignment="1" applyBorder="1" applyFill="1" applyFont="1">
      <alignment horizontal="left" vertical="center"/>
    </xf>
    <xf borderId="33" fillId="0" fontId="4" numFmtId="0" xfId="0" applyBorder="1" applyFont="1"/>
    <xf borderId="34" fillId="0" fontId="4" numFmtId="0" xfId="0" applyBorder="1" applyFont="1"/>
    <xf borderId="25" fillId="5" fontId="2" numFmtId="0" xfId="0" applyAlignment="1" applyBorder="1" applyFont="1">
      <alignment vertical="center"/>
    </xf>
    <xf borderId="15" fillId="3" fontId="42" numFmtId="10" xfId="0" applyAlignment="1" applyBorder="1" applyFont="1" applyNumberFormat="1">
      <alignment horizontal="left" shrinkToFit="0" vertical="center" wrapText="1"/>
    </xf>
    <xf borderId="1" fillId="3" fontId="2" numFmtId="0" xfId="0" applyBorder="1" applyFont="1"/>
    <xf borderId="14" fillId="12" fontId="2" numFmtId="0" xfId="0" applyAlignment="1" applyBorder="1" applyFont="1">
      <alignment horizontal="center" vertical="center"/>
    </xf>
    <xf borderId="0" fillId="0" fontId="2" numFmtId="0" xfId="0" applyAlignment="1" applyFont="1">
      <alignment horizontal="center"/>
    </xf>
    <xf borderId="0" fillId="0" fontId="43" numFmtId="0" xfId="0" applyAlignment="1" applyFont="1">
      <alignment horizontal="center"/>
    </xf>
    <xf borderId="15" fillId="3" fontId="42" numFmtId="0" xfId="0" applyAlignment="1" applyBorder="1" applyFont="1">
      <alignment shrinkToFit="0" vertical="center" wrapText="1"/>
    </xf>
    <xf borderId="15" fillId="3" fontId="2" numFmtId="0" xfId="0" applyAlignment="1" applyBorder="1" applyFont="1">
      <alignment vertical="center"/>
    </xf>
    <xf borderId="15" fillId="0" fontId="2" numFmtId="0" xfId="0" applyAlignment="1" applyBorder="1" applyFont="1">
      <alignment vertical="center"/>
    </xf>
    <xf borderId="1" fillId="3" fontId="25" numFmtId="0" xfId="0" applyBorder="1" applyFont="1"/>
    <xf borderId="35" fillId="0" fontId="2" numFmtId="10" xfId="0" applyAlignment="1" applyBorder="1" applyFont="1" applyNumberFormat="1">
      <alignment horizontal="left" vertical="center"/>
    </xf>
    <xf borderId="35" fillId="0" fontId="4" numFmtId="0" xfId="0" applyBorder="1" applyFont="1"/>
    <xf borderId="22" fillId="0" fontId="4" numFmtId="0" xfId="0" applyBorder="1" applyFont="1"/>
    <xf borderId="35" fillId="0" fontId="2" numFmtId="0" xfId="0" applyAlignment="1" applyBorder="1" applyFont="1">
      <alignment shrinkToFit="0" vertical="center" wrapText="1"/>
    </xf>
    <xf borderId="35" fillId="0" fontId="2" numFmtId="0" xfId="0" applyAlignment="1" applyBorder="1" applyFont="1">
      <alignment horizontal="left" shrinkToFit="0" vertical="center" wrapText="1"/>
    </xf>
    <xf borderId="36" fillId="0" fontId="2" numFmtId="0" xfId="0" applyBorder="1" applyFont="1"/>
    <xf borderId="0" fillId="0" fontId="36" numFmtId="0" xfId="0" applyFont="1"/>
    <xf borderId="15" fillId="20" fontId="44" numFmtId="0" xfId="0" applyAlignment="1" applyBorder="1" applyFont="1">
      <alignment vertical="center"/>
    </xf>
    <xf borderId="15" fillId="0" fontId="45" numFmtId="0" xfId="0" applyAlignment="1" applyBorder="1" applyFont="1">
      <alignment vertical="center"/>
    </xf>
    <xf borderId="15" fillId="0" fontId="46" numFmtId="0" xfId="0" applyAlignment="1" applyBorder="1" applyFont="1">
      <alignment shrinkToFit="0" vertical="center" wrapText="1"/>
    </xf>
    <xf borderId="15" fillId="0" fontId="47" numFmtId="0" xfId="0" applyAlignment="1" applyBorder="1" applyFont="1">
      <alignment vertical="center"/>
    </xf>
    <xf borderId="15" fillId="18" fontId="29" numFmtId="0" xfId="0" applyAlignment="1" applyBorder="1" applyFont="1">
      <alignment horizontal="center" shrinkToFit="0" wrapText="1"/>
    </xf>
    <xf borderId="0" fillId="0" fontId="2" numFmtId="0" xfId="0" applyAlignment="1" applyFont="1">
      <alignment horizontal="right"/>
    </xf>
    <xf borderId="1" fillId="18" fontId="29" numFmtId="0" xfId="0" applyAlignment="1" applyBorder="1" applyFont="1">
      <alignment horizontal="center" shrinkToFit="0" vertical="center" wrapText="1"/>
    </xf>
    <xf borderId="32" fillId="18" fontId="29" numFmtId="0" xfId="0" applyAlignment="1" applyBorder="1" applyFont="1">
      <alignment horizontal="center" shrinkToFit="0" vertical="center" wrapText="1"/>
    </xf>
    <xf borderId="14" fillId="18" fontId="25" numFmtId="0" xfId="0" applyAlignment="1" applyBorder="1" applyFont="1">
      <alignment horizontal="center" shrinkToFit="0" vertical="center" wrapText="1"/>
    </xf>
    <xf borderId="14" fillId="18" fontId="29" numFmtId="10" xfId="0" applyAlignment="1" applyBorder="1" applyFont="1" applyNumberFormat="1">
      <alignment horizontal="center" shrinkToFit="0" vertical="center" wrapText="1"/>
    </xf>
    <xf borderId="0" fillId="0" fontId="2" numFmtId="1" xfId="0" applyFont="1" applyNumberFormat="1"/>
    <xf borderId="0" fillId="0" fontId="2" numFmtId="10" xfId="0" applyAlignment="1" applyFont="1" applyNumberFormat="1">
      <alignment horizontal="center"/>
    </xf>
    <xf borderId="0" fillId="0" fontId="2" numFmtId="14" xfId="0" applyAlignment="1" applyFont="1" applyNumberFormat="1">
      <alignment horizontal="center"/>
    </xf>
    <xf borderId="14" fillId="21" fontId="48" numFmtId="0" xfId="0" applyAlignment="1" applyBorder="1" applyFill="1" applyFont="1">
      <alignment horizontal="center" shrinkToFit="0" vertical="center" wrapText="1"/>
    </xf>
    <xf borderId="32" fillId="21" fontId="49" numFmtId="0" xfId="0" applyAlignment="1" applyBorder="1" applyFont="1">
      <alignment shrinkToFit="0" wrapText="1"/>
    </xf>
    <xf borderId="14" fillId="21" fontId="25" numFmtId="0" xfId="0" applyAlignment="1" applyBorder="1" applyFont="1">
      <alignment horizontal="center" shrinkToFit="0" vertical="center" wrapText="1"/>
    </xf>
    <xf borderId="14" fillId="21" fontId="29" numFmtId="10" xfId="0" applyAlignment="1" applyBorder="1" applyFont="1" applyNumberFormat="1">
      <alignment horizontal="center" shrinkToFit="0" vertical="center" wrapText="1"/>
    </xf>
    <xf borderId="0" fillId="0" fontId="2" numFmtId="9" xfId="0" applyAlignment="1" applyFont="1" applyNumberFormat="1">
      <alignment horizontal="center"/>
    </xf>
    <xf borderId="32" fillId="20" fontId="50" numFmtId="0" xfId="0" applyAlignment="1" applyBorder="1" applyFont="1">
      <alignment horizontal="right" shrinkToFit="0" wrapText="1"/>
    </xf>
    <xf borderId="37" fillId="20" fontId="25" numFmtId="0" xfId="0" applyAlignment="1" applyBorder="1" applyFont="1">
      <alignment horizontal="center" shrinkToFit="0" vertical="center" wrapText="1"/>
    </xf>
    <xf borderId="14" fillId="20" fontId="25" numFmtId="0" xfId="0" applyAlignment="1" applyBorder="1" applyFont="1">
      <alignment horizontal="center" shrinkToFit="0" vertical="center" wrapText="1"/>
    </xf>
    <xf borderId="14" fillId="20" fontId="29" numFmtId="10" xfId="0" applyAlignment="1" applyBorder="1" applyFont="1" applyNumberFormat="1">
      <alignment horizontal="center" shrinkToFit="0" vertical="center" wrapText="1"/>
    </xf>
    <xf borderId="14" fillId="20" fontId="25" numFmtId="10" xfId="0" applyAlignment="1" applyBorder="1" applyFont="1" applyNumberFormat="1">
      <alignment horizontal="center" shrinkToFit="0" vertical="center" wrapText="1"/>
    </xf>
    <xf borderId="38" fillId="0" fontId="2" numFmtId="0" xfId="0" applyBorder="1" applyFont="1"/>
    <xf borderId="39" fillId="0" fontId="2" numFmtId="0" xfId="0" applyBorder="1" applyFont="1"/>
    <xf borderId="40" fillId="0" fontId="2" numFmtId="0" xfId="0" applyBorder="1" applyFont="1"/>
    <xf borderId="41" fillId="0" fontId="4" numFmtId="0" xfId="0" applyBorder="1" applyFont="1"/>
    <xf borderId="42" fillId="0" fontId="4" numFmtId="0" xfId="0" applyBorder="1" applyFont="1"/>
    <xf borderId="43" fillId="0" fontId="2" numFmtId="0" xfId="0" applyBorder="1" applyFont="1"/>
    <xf borderId="44" fillId="0" fontId="2" numFmtId="0" xfId="0" applyBorder="1" applyFont="1"/>
    <xf borderId="15" fillId="18" fontId="29" numFmtId="0" xfId="0" applyAlignment="1" applyBorder="1" applyFont="1">
      <alignment horizontal="center"/>
    </xf>
    <xf borderId="41" fillId="0" fontId="2" numFmtId="0" xfId="0" applyBorder="1" applyFont="1"/>
    <xf borderId="1" fillId="3" fontId="29" numFmtId="0" xfId="0" applyAlignment="1" applyBorder="1" applyFont="1">
      <alignment horizontal="center"/>
    </xf>
    <xf borderId="1" fillId="3" fontId="2" numFmtId="0" xfId="0" applyAlignment="1" applyBorder="1" applyFont="1">
      <alignment horizontal="center"/>
    </xf>
    <xf borderId="14" fillId="22" fontId="5" numFmtId="0" xfId="0" applyAlignment="1" applyBorder="1" applyFill="1" applyFont="1">
      <alignment horizontal="center" vertical="center"/>
    </xf>
    <xf borderId="15" fillId="22" fontId="5" numFmtId="0" xfId="0" applyAlignment="1" applyBorder="1" applyFont="1">
      <alignment horizontal="center" vertical="center"/>
    </xf>
    <xf borderId="14" fillId="0" fontId="47" numFmtId="0" xfId="0" applyAlignment="1" applyBorder="1" applyFont="1">
      <alignment horizontal="center" shrinkToFit="0" vertical="center" wrapText="1"/>
    </xf>
    <xf borderId="15" fillId="0" fontId="47" numFmtId="0" xfId="0" applyAlignment="1" applyBorder="1" applyFont="1">
      <alignment horizontal="left" shrinkToFit="0" vertical="center" wrapText="1"/>
    </xf>
    <xf borderId="14" fillId="0" fontId="2" numFmtId="0" xfId="0" applyAlignment="1" applyBorder="1" applyFont="1">
      <alignment horizontal="left" vertical="center"/>
    </xf>
    <xf borderId="14" fillId="3" fontId="22" numFmtId="0" xfId="0" applyAlignment="1" applyBorder="1" applyFont="1">
      <alignment horizontal="center"/>
    </xf>
    <xf borderId="14" fillId="3" fontId="6" numFmtId="0" xfId="0" applyAlignment="1" applyBorder="1" applyFont="1">
      <alignment horizontal="center" vertical="center"/>
    </xf>
    <xf borderId="17" fillId="0" fontId="47" numFmtId="0" xfId="0" applyAlignment="1" applyBorder="1" applyFont="1">
      <alignment horizontal="center" shrinkToFit="0" vertical="center" wrapText="1"/>
    </xf>
    <xf borderId="45" fillId="0" fontId="47" numFmtId="0" xfId="0" applyAlignment="1" applyBorder="1" applyFont="1">
      <alignment horizontal="left" shrinkToFit="0" vertical="center" wrapText="1"/>
    </xf>
    <xf borderId="46" fillId="0" fontId="4" numFmtId="0" xfId="0" applyBorder="1" applyFont="1"/>
    <xf borderId="47" fillId="0" fontId="4" numFmtId="0" xfId="0" applyBorder="1" applyFont="1"/>
    <xf borderId="14" fillId="3" fontId="2" numFmtId="0" xfId="0" applyAlignment="1" applyBorder="1" applyFont="1">
      <alignment horizontal="center" vertical="center"/>
    </xf>
    <xf borderId="14" fillId="3" fontId="6" numFmtId="0" xfId="0" applyAlignment="1" applyBorder="1" applyFont="1">
      <alignment horizontal="center"/>
    </xf>
    <xf borderId="48" fillId="0" fontId="4" numFmtId="0" xfId="0" applyBorder="1" applyFont="1"/>
    <xf borderId="14" fillId="0" fontId="47" numFmtId="167" xfId="0" applyAlignment="1" applyBorder="1" applyFont="1" applyNumberFormat="1">
      <alignment horizontal="center" shrinkToFit="0" vertical="center" wrapText="1"/>
    </xf>
    <xf borderId="15" fillId="3" fontId="6" numFmtId="0" xfId="0" applyAlignment="1" applyBorder="1" applyFont="1">
      <alignment horizontal="center" vertical="center"/>
    </xf>
    <xf borderId="14" fillId="0" fontId="25" numFmtId="0" xfId="0" applyAlignment="1" applyBorder="1" applyFont="1">
      <alignment horizontal="center"/>
    </xf>
    <xf borderId="49" fillId="0" fontId="2" numFmtId="0" xfId="0" applyBorder="1" applyFont="1"/>
    <xf borderId="15" fillId="3" fontId="6" numFmtId="10" xfId="0" applyAlignment="1" applyBorder="1" applyFont="1" applyNumberFormat="1">
      <alignment horizontal="center" vertical="center"/>
    </xf>
    <xf borderId="14" fillId="0" fontId="2" numFmtId="167" xfId="0" applyAlignment="1" applyBorder="1" applyFont="1" applyNumberFormat="1">
      <alignment horizontal="center"/>
    </xf>
    <xf borderId="14" fillId="0" fontId="1" numFmtId="0" xfId="0" applyAlignment="1" applyBorder="1" applyFont="1">
      <alignment horizontal="center"/>
    </xf>
    <xf borderId="14" fillId="0" fontId="2" numFmtId="0" xfId="0" applyBorder="1" applyFont="1"/>
    <xf borderId="50" fillId="3" fontId="29" numFmtId="0" xfId="0" applyAlignment="1" applyBorder="1" applyFont="1">
      <alignment horizontal="center" vertical="center"/>
    </xf>
    <xf borderId="51" fillId="3" fontId="29" numFmtId="0" xfId="0" applyAlignment="1" applyBorder="1" applyFont="1">
      <alignment horizontal="center" vertical="center"/>
    </xf>
    <xf borderId="52" fillId="0" fontId="4" numFmtId="0" xfId="0" applyBorder="1" applyFont="1"/>
    <xf borderId="53" fillId="0" fontId="4" numFmtId="0" xfId="0" applyBorder="1" applyFont="1"/>
    <xf borderId="54" fillId="3" fontId="2" numFmtId="0" xfId="0" applyBorder="1" applyFont="1"/>
    <xf borderId="50" fillId="3" fontId="6" numFmtId="0" xfId="0" applyAlignment="1" applyBorder="1" applyFont="1">
      <alignment horizontal="center" vertical="center"/>
    </xf>
    <xf borderId="18" fillId="0" fontId="1" numFmtId="0" xfId="0" applyAlignment="1" applyBorder="1" applyFont="1">
      <alignment horizontal="center"/>
    </xf>
    <xf borderId="32" fillId="18" fontId="29" numFmtId="0" xfId="0" applyAlignment="1" applyBorder="1" applyFont="1">
      <alignment horizontal="center" vertical="center"/>
    </xf>
    <xf borderId="37" fillId="22" fontId="5" numFmtId="0" xfId="0" applyAlignment="1" applyBorder="1" applyFont="1">
      <alignment horizontal="center" vertical="center"/>
    </xf>
    <xf borderId="42" fillId="0" fontId="2" numFmtId="0" xfId="0" applyBorder="1" applyFont="1"/>
    <xf borderId="55" fillId="3" fontId="6" numFmtId="0" xfId="0" applyAlignment="1" applyBorder="1" applyFont="1">
      <alignment horizontal="center" vertical="center"/>
    </xf>
    <xf borderId="14" fillId="3" fontId="51" numFmtId="0" xfId="0" applyAlignment="1" applyBorder="1" applyFont="1">
      <alignment horizontal="center" vertical="center"/>
    </xf>
    <xf borderId="15" fillId="0" fontId="47" numFmtId="0" xfId="0" applyAlignment="1" applyBorder="1" applyFont="1">
      <alignment horizontal="center" shrinkToFit="0" vertical="center" wrapText="1"/>
    </xf>
    <xf borderId="31" fillId="3" fontId="6" numFmtId="0" xfId="0" applyAlignment="1" applyBorder="1" applyFont="1">
      <alignment horizontal="center" vertical="center"/>
    </xf>
    <xf borderId="39" fillId="0" fontId="47" numFmtId="0" xfId="0" applyAlignment="1" applyBorder="1" applyFont="1">
      <alignment horizontal="center" shrinkToFit="0" vertical="center" wrapText="1"/>
    </xf>
    <xf borderId="56" fillId="0" fontId="47" numFmtId="0" xfId="0" applyAlignment="1" applyBorder="1" applyFont="1">
      <alignment horizontal="center" shrinkToFit="0" vertical="center" wrapText="1"/>
    </xf>
    <xf borderId="57" fillId="0" fontId="4" numFmtId="0" xfId="0" applyBorder="1" applyFont="1"/>
    <xf borderId="43" fillId="0" fontId="47" numFmtId="167" xfId="0" applyAlignment="1" applyBorder="1" applyFont="1" applyNumberFormat="1">
      <alignment horizontal="center" shrinkToFit="0" vertical="center" wrapText="1"/>
    </xf>
    <xf borderId="15" fillId="18" fontId="25" numFmtId="0" xfId="0" applyAlignment="1" applyBorder="1" applyFont="1">
      <alignment horizontal="center" vertical="center"/>
    </xf>
    <xf borderId="14" fillId="18" fontId="5" numFmtId="0" xfId="0" applyAlignment="1" applyBorder="1" applyFont="1">
      <alignment horizontal="center" vertical="center"/>
    </xf>
    <xf borderId="14" fillId="18" fontId="25" numFmtId="0" xfId="0" applyAlignment="1" applyBorder="1" applyFont="1">
      <alignment horizontal="center" vertical="center"/>
    </xf>
    <xf borderId="15" fillId="18" fontId="25" numFmtId="0" xfId="0" applyAlignment="1" applyBorder="1" applyFont="1">
      <alignment horizontal="center" shrinkToFit="0" vertical="center" wrapText="1"/>
    </xf>
    <xf borderId="14" fillId="3" fontId="37" numFmtId="0" xfId="0" applyAlignment="1" applyBorder="1" applyFont="1">
      <alignment horizontal="center" shrinkToFit="0" vertical="top" wrapText="1"/>
    </xf>
    <xf borderId="15" fillId="0" fontId="35" numFmtId="0" xfId="0" applyAlignment="1" applyBorder="1" applyFont="1">
      <alignment shrinkToFit="0" vertical="top" wrapText="1"/>
    </xf>
    <xf borderId="14" fillId="0" fontId="51" numFmtId="0" xfId="0" applyAlignment="1" applyBorder="1" applyFont="1">
      <alignment horizontal="center" shrinkToFit="0" vertical="center" wrapText="1"/>
    </xf>
    <xf borderId="0" fillId="0" fontId="47" numFmtId="0" xfId="0" applyAlignment="1" applyFont="1">
      <alignment horizontal="center" shrinkToFit="0" vertical="center" wrapText="1"/>
    </xf>
    <xf borderId="0" fillId="0" fontId="2" numFmtId="0" xfId="0" applyAlignment="1" applyFont="1">
      <alignment horizontal="center" shrinkToFit="0" wrapText="1"/>
    </xf>
    <xf borderId="0" fillId="0" fontId="24" numFmtId="0" xfId="0" applyAlignment="1" applyFont="1">
      <alignment horizontal="center" vertical="center"/>
    </xf>
    <xf borderId="0" fillId="0" fontId="2" numFmtId="168" xfId="0" applyAlignment="1" applyFont="1" applyNumberFormat="1">
      <alignment horizontal="center" shrinkToFit="0" vertical="center" wrapText="1"/>
    </xf>
    <xf borderId="0" fillId="0" fontId="2" numFmtId="167" xfId="0" applyAlignment="1" applyFont="1" applyNumberFormat="1">
      <alignment horizontal="center" shrinkToFit="0" vertical="center" wrapText="1"/>
    </xf>
    <xf borderId="1" fillId="3" fontId="52" numFmtId="0" xfId="0" applyAlignment="1" applyBorder="1" applyFont="1">
      <alignment horizontal="center" vertical="center"/>
    </xf>
    <xf borderId="10" fillId="3" fontId="52" numFmtId="0" xfId="0" applyAlignment="1" applyBorder="1" applyFont="1">
      <alignment horizontal="center" vertical="center"/>
    </xf>
    <xf borderId="10" fillId="3" fontId="53"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0" fillId="0" fontId="2" numFmtId="167" xfId="0" applyFont="1" applyNumberFormat="1"/>
    <xf borderId="0" fillId="0" fontId="2" numFmtId="167" xfId="0" applyAlignment="1" applyFont="1" applyNumberFormat="1">
      <alignment horizontal="right"/>
    </xf>
    <xf borderId="10" fillId="13" fontId="29" numFmtId="0" xfId="0" applyAlignment="1" applyBorder="1" applyFont="1">
      <alignment shrinkToFit="0" vertical="center" wrapText="1"/>
    </xf>
    <xf borderId="10" fillId="2" fontId="8" numFmtId="0" xfId="0" applyAlignment="1" applyBorder="1" applyFont="1">
      <alignment shrinkToFit="0" vertical="center" wrapText="1"/>
    </xf>
    <xf borderId="10" fillId="20" fontId="22" numFmtId="0" xfId="0" applyAlignment="1" applyBorder="1" applyFont="1">
      <alignment shrinkToFit="0" vertical="center" wrapText="1"/>
    </xf>
    <xf borderId="0" fillId="0" fontId="1" numFmtId="0" xfId="0" applyAlignment="1" applyFont="1">
      <alignment shrinkToFit="0" vertical="center" wrapText="1"/>
    </xf>
    <xf borderId="58" fillId="14" fontId="27" numFmtId="0" xfId="0" applyAlignment="1" applyBorder="1" applyFont="1">
      <alignment horizontal="center" shrinkToFit="0" vertical="center" wrapText="1"/>
    </xf>
    <xf borderId="59" fillId="0" fontId="4" numFmtId="0" xfId="0" applyBorder="1" applyFont="1"/>
    <xf borderId="48" fillId="0" fontId="27" numFmtId="0" xfId="0" applyAlignment="1" applyBorder="1" applyFont="1">
      <alignment horizontal="center" shrinkToFit="0" vertical="center" wrapText="1"/>
    </xf>
    <xf borderId="60" fillId="14" fontId="54" numFmtId="0" xfId="0" applyAlignment="1" applyBorder="1" applyFont="1">
      <alignment horizontal="center" shrinkToFit="0" vertical="center" wrapText="1"/>
    </xf>
    <xf borderId="61" fillId="14" fontId="54" numFmtId="0" xfId="0" applyAlignment="1" applyBorder="1" applyFont="1">
      <alignment horizontal="center" shrinkToFit="0" vertical="center" wrapText="1"/>
    </xf>
    <xf borderId="62" fillId="14" fontId="54" numFmtId="0" xfId="0" applyAlignment="1" applyBorder="1" applyFont="1">
      <alignment horizontal="center" shrinkToFit="0" vertical="center" wrapText="1"/>
    </xf>
    <xf borderId="63" fillId="13" fontId="29" numFmtId="0" xfId="0" applyAlignment="1" applyBorder="1" applyFont="1">
      <alignment shrinkToFit="0" vertical="center" wrapText="1"/>
    </xf>
    <xf borderId="25" fillId="2" fontId="24" numFmtId="0" xfId="0" applyAlignment="1" applyBorder="1" applyFont="1">
      <alignment horizontal="center" vertical="center"/>
    </xf>
    <xf borderId="25" fillId="13" fontId="22" numFmtId="0" xfId="0" applyAlignment="1" applyBorder="1" applyFont="1">
      <alignment horizontal="center" vertical="center"/>
    </xf>
    <xf borderId="25" fillId="2" fontId="17" numFmtId="9" xfId="0" applyAlignment="1" applyBorder="1" applyFont="1" applyNumberFormat="1">
      <alignment horizontal="center" vertical="center"/>
    </xf>
    <xf borderId="37" fillId="3" fontId="55" numFmtId="0" xfId="0" applyAlignment="1" applyBorder="1" applyFont="1">
      <alignment horizontal="center" vertical="center"/>
    </xf>
    <xf borderId="64" fillId="23" fontId="22" numFmtId="0" xfId="0" applyAlignment="1" applyBorder="1" applyFill="1" applyFont="1">
      <alignment horizontal="center" shrinkToFit="0" vertical="center" wrapText="1"/>
    </xf>
    <xf borderId="0" fillId="0" fontId="1" numFmtId="0" xfId="0" applyAlignment="1" applyFont="1">
      <alignment horizontal="right"/>
    </xf>
    <xf borderId="64" fillId="24" fontId="22" numFmtId="0" xfId="0" applyAlignment="1" applyBorder="1" applyFill="1" applyFont="1">
      <alignment horizontal="center" shrinkToFit="0" vertical="center" wrapText="1"/>
    </xf>
    <xf borderId="64" fillId="25" fontId="22" numFmtId="0" xfId="0" applyAlignment="1" applyBorder="1" applyFill="1" applyFont="1">
      <alignment horizontal="center" shrinkToFit="0" vertical="center" wrapText="1"/>
    </xf>
    <xf borderId="50" fillId="14" fontId="54" numFmtId="0" xfId="0" applyAlignment="1" applyBorder="1" applyFont="1">
      <alignment horizontal="center" shrinkToFit="0" vertical="center" wrapText="1"/>
    </xf>
    <xf borderId="50" fillId="14" fontId="54" numFmtId="0" xfId="0" applyAlignment="1" applyBorder="1" applyFont="1">
      <alignment horizontal="center" vertical="center"/>
    </xf>
    <xf borderId="21" fillId="2" fontId="17" numFmtId="10" xfId="0" applyAlignment="1" applyBorder="1" applyFont="1" applyNumberFormat="1">
      <alignment horizontal="center" vertical="center"/>
    </xf>
    <xf borderId="65" fillId="14" fontId="54" numFmtId="0" xfId="0" applyAlignment="1" applyBorder="1" applyFont="1">
      <alignment horizontal="center" vertical="center"/>
    </xf>
    <xf borderId="0" fillId="0" fontId="22" numFmtId="0" xfId="0" applyAlignment="1" applyFont="1">
      <alignment horizontal="center" shrinkToFit="0" vertical="center" wrapText="1"/>
    </xf>
    <xf borderId="0" fillId="0" fontId="1" numFmtId="0" xfId="0" applyAlignment="1" applyFont="1">
      <alignment shrinkToFit="0" wrapText="1"/>
    </xf>
    <xf borderId="57" fillId="0" fontId="2" numFmtId="0" xfId="0" applyAlignment="1" applyBorder="1" applyFont="1">
      <alignment vertical="center"/>
    </xf>
    <xf borderId="66" fillId="14" fontId="54" numFmtId="10" xfId="0" applyAlignment="1" applyBorder="1" applyFont="1" applyNumberFormat="1">
      <alignment horizontal="center" vertical="center"/>
    </xf>
    <xf borderId="0" fillId="0" fontId="2" numFmtId="2" xfId="0" applyAlignment="1" applyFont="1" applyNumberFormat="1">
      <alignment vertical="center"/>
    </xf>
    <xf borderId="0" fillId="0" fontId="1" numFmtId="0" xfId="0" applyAlignment="1" applyFont="1">
      <alignment vertical="center"/>
    </xf>
    <xf borderId="0" fillId="0" fontId="22" numFmtId="0" xfId="0" applyAlignment="1" applyFont="1">
      <alignment horizontal="left"/>
    </xf>
    <xf borderId="0" fillId="0" fontId="29" numFmtId="0" xfId="0" applyAlignment="1" applyFont="1">
      <alignment horizontal="center"/>
    </xf>
    <xf borderId="0" fillId="0" fontId="29" numFmtId="0" xfId="0" applyAlignment="1" applyFont="1">
      <alignment shrinkToFit="0" vertical="center" wrapText="1"/>
    </xf>
    <xf borderId="10" fillId="26" fontId="56" numFmtId="0" xfId="0" applyAlignment="1" applyBorder="1" applyFill="1" applyFont="1">
      <alignment horizontal="center"/>
    </xf>
    <xf borderId="1" fillId="26" fontId="56" numFmtId="0" xfId="0" applyAlignment="1" applyBorder="1" applyFont="1">
      <alignment horizontal="center"/>
    </xf>
  </cellXfs>
  <cellStyles count="1">
    <cellStyle xfId="0" name="Normal" builtinId="0"/>
  </cellStyles>
  <dxfs count="6">
    <dxf>
      <font>
        <b/>
        <color rgb="FFFFFFFF"/>
      </font>
      <fill>
        <patternFill patternType="solid">
          <fgColor rgb="FF00B800"/>
          <bgColor rgb="FF00B800"/>
        </patternFill>
      </fill>
      <border/>
    </dxf>
    <dxf>
      <font>
        <b/>
        <color rgb="FFFFFFFF"/>
      </font>
      <fill>
        <patternFill patternType="solid">
          <fgColor rgb="FFFF0000"/>
          <bgColor rgb="FFFF0000"/>
        </patternFill>
      </fill>
      <border/>
    </dxf>
    <dxf>
      <font>
        <b/>
        <color rgb="FFFFFFFF"/>
      </font>
      <fill>
        <patternFill patternType="solid">
          <fgColor rgb="FF000000"/>
          <bgColor rgb="FF000000"/>
        </patternFill>
      </fill>
      <border/>
    </dxf>
    <dxf>
      <font>
        <b/>
        <color rgb="FF000000"/>
      </font>
      <fill>
        <patternFill patternType="solid">
          <fgColor rgb="FF999999"/>
          <bgColor rgb="FF999999"/>
        </patternFill>
      </fill>
      <border/>
    </dxf>
    <dxf>
      <font>
        <b/>
        <color rgb="FF000000"/>
      </font>
      <fill>
        <patternFill patternType="solid">
          <fgColor rgb="FFFFFF00"/>
          <bgColor rgb="FFFFFF00"/>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7" Type="http://customschemas.google.com/relationships/workbookmetadata" Target="metadata"/><Relationship Id="rId16" Type="http://schemas.openxmlformats.org/officeDocument/2006/relationships/externalLink" Target="externalLinks/externalLink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Sprint 13 Test Summary</a:t>
            </a:r>
          </a:p>
        </c:rich>
      </c:tx>
      <c:overlay val="0"/>
    </c:title>
    <c:view3D>
      <c:rotX val="50"/>
      <c:perspective val="0"/>
    </c:view3D>
    <c:plotArea>
      <c:layout/>
      <c:pie3DChart>
        <c:varyColors val="1"/>
        <c:ser>
          <c:idx val="0"/>
          <c:order val="0"/>
          <c:dPt>
            <c:idx val="0"/>
            <c:spPr>
              <a:solidFill>
                <a:srgbClr val="999999"/>
              </a:solidFill>
            </c:spPr>
          </c:dPt>
          <c:dPt>
            <c:idx val="1"/>
            <c:spPr>
              <a:solidFill>
                <a:srgbClr val="6AA84F"/>
              </a:solidFill>
            </c:spPr>
          </c:dPt>
          <c:dPt>
            <c:idx val="2"/>
            <c:spPr>
              <a:solidFill>
                <a:srgbClr val="FF0000"/>
              </a:solidFill>
            </c:spPr>
          </c:dPt>
          <c:dPt>
            <c:idx val="3"/>
            <c:spPr>
              <a:solidFill>
                <a:srgbClr val="000000"/>
              </a:solidFill>
            </c:spPr>
          </c:dPt>
          <c:dPt>
            <c:idx val="4"/>
            <c:spPr>
              <a:solidFill>
                <a:srgbClr val="FFFF00"/>
              </a:solidFill>
            </c:spPr>
          </c:dPt>
          <c:dLbls>
            <c:showLegendKey val="0"/>
            <c:showVal val="1"/>
            <c:showCatName val="0"/>
            <c:showSerName val="0"/>
            <c:showPercent val="0"/>
            <c:showBubbleSize val="0"/>
            <c:showLeaderLines val="1"/>
          </c:dLbls>
          <c:cat>
            <c:strRef>
              <c:f>'Test Summary'!$L$3:$L$7</c:f>
            </c:strRef>
          </c:cat>
          <c:val>
            <c:numRef>
              <c:f>'Test Summary'!$M$3:$M$7</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Sprint 13 Test Summary</a:t>
            </a:r>
          </a:p>
        </c:rich>
      </c:tx>
      <c:overlay val="0"/>
    </c:title>
    <c:view3D>
      <c:rotX val="50"/>
      <c:perspective val="0"/>
    </c:view3D>
    <c:plotArea>
      <c:layout/>
      <c:pie3DChart>
        <c:varyColors val="1"/>
        <c:ser>
          <c:idx val="0"/>
          <c:order val="0"/>
          <c:dPt>
            <c:idx val="0"/>
            <c:spPr>
              <a:solidFill>
                <a:srgbClr val="999999"/>
              </a:solidFill>
            </c:spPr>
          </c:dPt>
          <c:dPt>
            <c:idx val="1"/>
            <c:spPr>
              <a:solidFill>
                <a:srgbClr val="6AA84F"/>
              </a:solidFill>
            </c:spPr>
          </c:dPt>
          <c:dPt>
            <c:idx val="2"/>
            <c:spPr>
              <a:solidFill>
                <a:srgbClr val="FF0000"/>
              </a:solidFill>
            </c:spPr>
          </c:dPt>
          <c:dPt>
            <c:idx val="3"/>
            <c:spPr>
              <a:solidFill>
                <a:srgbClr val="000000"/>
              </a:solidFill>
            </c:spPr>
          </c:dPt>
          <c:dPt>
            <c:idx val="4"/>
            <c:spPr>
              <a:solidFill>
                <a:srgbClr val="FFFF00"/>
              </a:solidFill>
            </c:spPr>
          </c:dPt>
          <c:dLbls>
            <c:showLegendKey val="0"/>
            <c:showVal val="1"/>
            <c:showCatName val="0"/>
            <c:showSerName val="0"/>
            <c:showPercent val="0"/>
            <c:showBubbleSize val="0"/>
            <c:showLeaderLines val="1"/>
          </c:dLbls>
          <c:cat>
            <c:strRef>
              <c:f>'Test Summary'!$L$3:$L$7</c:f>
            </c:strRef>
          </c:cat>
          <c:val>
            <c:numRef>
              <c:f>'Test Summary'!$M$3:$M$7</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000000"/>
              </a:solidFill>
              <a:latin typeface="Roboto"/>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54</xdr:row>
      <xdr:rowOff>66675</xdr:rowOff>
    </xdr:from>
    <xdr:ext cx="4076700" cy="2867025"/>
    <xdr:graphicFrame>
      <xdr:nvGraphicFramePr>
        <xdr:cNvPr id="128793642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18</xdr:row>
      <xdr:rowOff>9525</xdr:rowOff>
    </xdr:from>
    <xdr:ext cx="5067300" cy="3133725"/>
    <xdr:graphicFrame>
      <xdr:nvGraphicFramePr>
        <xdr:cNvPr id="1604375791"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NI-355"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059C-1H"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I-353"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UNI-355"/>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UNI-059C-1H"/>
    </sheetNames>
    <sheetDataSet>
      <sheetData sheetId="0"/>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UNI-353"/>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2.5"/>
  </cols>
  <sheetData>
    <row r="1" ht="15.75" customHeight="1">
      <c r="A1" s="1" t="s">
        <v>0</v>
      </c>
      <c r="B1" s="1"/>
      <c r="C1" s="1"/>
      <c r="D1" s="1"/>
      <c r="E1" s="1"/>
      <c r="F1" s="1"/>
      <c r="G1" s="1"/>
      <c r="H1" s="1"/>
      <c r="I1" s="1"/>
      <c r="J1" s="1"/>
      <c r="K1" s="2"/>
      <c r="L1" s="3"/>
      <c r="M1" s="3"/>
      <c r="N1" s="3"/>
      <c r="O1" s="3"/>
      <c r="P1" s="3"/>
      <c r="Q1" s="3"/>
      <c r="R1" s="3"/>
      <c r="S1" s="3"/>
      <c r="T1" s="3"/>
      <c r="U1" s="3"/>
      <c r="V1" s="3"/>
      <c r="W1" s="3"/>
      <c r="X1" s="3"/>
      <c r="Y1" s="3"/>
      <c r="Z1" s="3"/>
    </row>
    <row r="2" ht="15.75" customHeight="1">
      <c r="A2" s="2"/>
      <c r="B2" s="2"/>
      <c r="C2" s="2"/>
      <c r="D2" s="2"/>
      <c r="E2" s="2"/>
      <c r="F2" s="2"/>
      <c r="G2" s="2"/>
      <c r="H2" s="2"/>
      <c r="I2" s="2"/>
      <c r="J2" s="2"/>
      <c r="K2" s="2"/>
      <c r="L2" s="3"/>
      <c r="M2" s="3"/>
      <c r="N2" s="3"/>
      <c r="O2" s="3"/>
      <c r="P2" s="3"/>
      <c r="Q2" s="3"/>
      <c r="R2" s="3"/>
      <c r="S2" s="3"/>
      <c r="T2" s="3"/>
      <c r="U2" s="3"/>
      <c r="V2" s="3"/>
      <c r="W2" s="3"/>
      <c r="X2" s="3"/>
      <c r="Y2" s="3"/>
      <c r="Z2" s="3"/>
    </row>
    <row r="3" ht="15.75" customHeight="1">
      <c r="A3" s="4" t="s">
        <v>1</v>
      </c>
      <c r="B3" s="5"/>
      <c r="C3" s="5"/>
      <c r="D3" s="5"/>
      <c r="E3" s="5"/>
      <c r="F3" s="5"/>
      <c r="G3" s="5"/>
      <c r="H3" s="5"/>
      <c r="I3" s="5"/>
      <c r="J3" s="6"/>
      <c r="K3" s="2"/>
      <c r="L3" s="3"/>
      <c r="M3" s="3"/>
      <c r="N3" s="3"/>
      <c r="O3" s="3"/>
      <c r="P3" s="3"/>
      <c r="Q3" s="3"/>
      <c r="R3" s="3"/>
      <c r="S3" s="3"/>
      <c r="T3" s="3"/>
      <c r="U3" s="3"/>
      <c r="V3" s="3"/>
      <c r="W3" s="3"/>
      <c r="X3" s="3"/>
      <c r="Y3" s="3"/>
      <c r="Z3" s="3"/>
    </row>
    <row r="4" ht="15.75" customHeight="1">
      <c r="A4" s="7"/>
      <c r="J4" s="8"/>
      <c r="K4" s="2"/>
      <c r="L4" s="3"/>
      <c r="M4" s="3"/>
      <c r="N4" s="3"/>
      <c r="O4" s="3"/>
      <c r="P4" s="3"/>
      <c r="Q4" s="3"/>
      <c r="R4" s="3"/>
      <c r="S4" s="3"/>
      <c r="T4" s="3"/>
      <c r="U4" s="3"/>
      <c r="V4" s="3"/>
      <c r="W4" s="3"/>
      <c r="X4" s="3"/>
      <c r="Y4" s="3"/>
      <c r="Z4" s="3"/>
    </row>
    <row r="5" ht="15.75" customHeight="1">
      <c r="A5" s="7"/>
      <c r="J5" s="8"/>
      <c r="K5" s="2"/>
      <c r="L5" s="3"/>
      <c r="M5" s="3"/>
      <c r="N5" s="3"/>
      <c r="O5" s="3"/>
      <c r="P5" s="3"/>
      <c r="Q5" s="3"/>
      <c r="R5" s="3"/>
      <c r="S5" s="3"/>
      <c r="T5" s="3"/>
      <c r="U5" s="3"/>
      <c r="V5" s="3"/>
      <c r="W5" s="3"/>
      <c r="X5" s="3"/>
      <c r="Y5" s="3"/>
      <c r="Z5" s="3"/>
    </row>
    <row r="6" ht="15.75" customHeight="1">
      <c r="A6" s="9"/>
      <c r="B6" s="10"/>
      <c r="C6" s="10"/>
      <c r="D6" s="10"/>
      <c r="E6" s="10"/>
      <c r="F6" s="10"/>
      <c r="G6" s="10"/>
      <c r="H6" s="10"/>
      <c r="I6" s="10"/>
      <c r="J6" s="11"/>
      <c r="K6" s="2"/>
      <c r="L6" s="3"/>
      <c r="M6" s="3"/>
      <c r="N6" s="3"/>
      <c r="O6" s="3"/>
      <c r="P6" s="3"/>
      <c r="Q6" s="3"/>
      <c r="R6" s="3"/>
      <c r="S6" s="3"/>
      <c r="T6" s="3"/>
      <c r="U6" s="3"/>
      <c r="V6" s="3"/>
      <c r="W6" s="3"/>
      <c r="X6" s="3"/>
      <c r="Y6" s="3"/>
      <c r="Z6" s="3"/>
    </row>
    <row r="7" ht="15.75" customHeight="1">
      <c r="A7" s="12"/>
      <c r="B7" s="12"/>
      <c r="C7" s="12"/>
      <c r="D7" s="12"/>
      <c r="E7" s="12"/>
      <c r="F7" s="12"/>
      <c r="G7" s="12"/>
      <c r="H7" s="12"/>
      <c r="I7" s="12"/>
      <c r="J7" s="12"/>
      <c r="K7" s="2"/>
      <c r="L7" s="3"/>
      <c r="M7" s="3"/>
      <c r="N7" s="3"/>
      <c r="O7" s="3"/>
      <c r="P7" s="3"/>
      <c r="Q7" s="3"/>
      <c r="R7" s="3"/>
      <c r="S7" s="3"/>
      <c r="T7" s="3"/>
      <c r="U7" s="3"/>
      <c r="V7" s="3"/>
      <c r="W7" s="3"/>
      <c r="X7" s="3"/>
      <c r="Y7" s="3"/>
      <c r="Z7" s="3"/>
    </row>
    <row r="8" ht="15.75" customHeight="1">
      <c r="A8" s="13" t="s">
        <v>2</v>
      </c>
      <c r="C8" s="14">
        <v>46205.0</v>
      </c>
      <c r="D8" s="15"/>
      <c r="E8" s="15"/>
      <c r="F8" s="15"/>
      <c r="G8" s="16"/>
      <c r="H8" s="12"/>
      <c r="I8" s="12"/>
      <c r="J8" s="12"/>
      <c r="K8" s="2"/>
      <c r="L8" s="3"/>
      <c r="M8" s="3"/>
      <c r="N8" s="3"/>
      <c r="O8" s="3"/>
      <c r="P8" s="3"/>
      <c r="Q8" s="3"/>
      <c r="R8" s="3"/>
      <c r="S8" s="3"/>
      <c r="T8" s="3"/>
      <c r="U8" s="3"/>
      <c r="V8" s="3"/>
      <c r="W8" s="3"/>
      <c r="X8" s="3"/>
      <c r="Y8" s="3"/>
      <c r="Z8" s="3"/>
    </row>
    <row r="9" ht="15.75" customHeight="1">
      <c r="A9" s="13" t="s">
        <v>3</v>
      </c>
      <c r="C9" s="17" t="s">
        <v>4</v>
      </c>
      <c r="D9" s="15"/>
      <c r="E9" s="15"/>
      <c r="F9" s="15"/>
      <c r="G9" s="16"/>
      <c r="H9" s="12"/>
      <c r="I9" s="12"/>
      <c r="J9" s="12"/>
      <c r="K9" s="2"/>
      <c r="L9" s="3"/>
      <c r="M9" s="3"/>
      <c r="N9" s="3"/>
      <c r="O9" s="3"/>
      <c r="P9" s="3"/>
      <c r="Q9" s="3"/>
      <c r="R9" s="3"/>
      <c r="S9" s="3"/>
      <c r="T9" s="3"/>
      <c r="U9" s="3"/>
      <c r="V9" s="3"/>
      <c r="W9" s="3"/>
      <c r="X9" s="3"/>
      <c r="Y9" s="3"/>
      <c r="Z9" s="3"/>
    </row>
    <row r="10" ht="15.75" customHeight="1">
      <c r="A10" s="13" t="s">
        <v>5</v>
      </c>
      <c r="C10" s="18" t="s">
        <v>6</v>
      </c>
      <c r="D10" s="15"/>
      <c r="E10" s="15"/>
      <c r="F10" s="15"/>
      <c r="G10" s="15"/>
      <c r="H10" s="15"/>
      <c r="I10" s="16"/>
      <c r="J10" s="19"/>
      <c r="K10" s="2"/>
      <c r="L10" s="3"/>
      <c r="M10" s="3"/>
      <c r="N10" s="3"/>
      <c r="O10" s="3"/>
      <c r="P10" s="3"/>
      <c r="Q10" s="3"/>
      <c r="R10" s="3"/>
      <c r="S10" s="3"/>
      <c r="T10" s="3"/>
      <c r="U10" s="3"/>
      <c r="V10" s="3"/>
      <c r="W10" s="3"/>
      <c r="X10" s="3"/>
      <c r="Y10" s="3"/>
      <c r="Z10" s="3"/>
    </row>
    <row r="11" ht="15.75" customHeight="1">
      <c r="A11" s="13" t="s">
        <v>7</v>
      </c>
      <c r="C11" s="20">
        <v>0.3</v>
      </c>
      <c r="H11" s="19"/>
      <c r="I11" s="19"/>
      <c r="J11" s="19"/>
      <c r="K11" s="2"/>
      <c r="L11" s="3"/>
      <c r="M11" s="3"/>
      <c r="N11" s="3"/>
      <c r="O11" s="3"/>
      <c r="P11" s="3"/>
      <c r="Q11" s="3"/>
      <c r="R11" s="3"/>
      <c r="S11" s="3"/>
      <c r="T11" s="3"/>
      <c r="U11" s="3"/>
      <c r="V11" s="3"/>
      <c r="W11" s="3"/>
      <c r="X11" s="3"/>
      <c r="Y11" s="3"/>
      <c r="Z11" s="3"/>
    </row>
    <row r="12" ht="15.75" customHeight="1">
      <c r="A12" s="13" t="s">
        <v>8</v>
      </c>
      <c r="C12" s="21" t="s">
        <v>9</v>
      </c>
      <c r="H12" s="19"/>
      <c r="I12" s="19"/>
      <c r="J12" s="19"/>
      <c r="K12" s="2"/>
      <c r="L12" s="3"/>
      <c r="M12" s="3"/>
      <c r="N12" s="3"/>
      <c r="O12" s="3"/>
      <c r="P12" s="3"/>
      <c r="Q12" s="3"/>
      <c r="R12" s="3"/>
      <c r="S12" s="3"/>
      <c r="T12" s="3"/>
      <c r="U12" s="3"/>
      <c r="V12" s="3"/>
      <c r="W12" s="3"/>
      <c r="X12" s="3"/>
      <c r="Y12" s="3"/>
      <c r="Z12" s="3"/>
    </row>
    <row r="13" ht="15.75" customHeight="1">
      <c r="A13" s="2"/>
      <c r="B13" s="2"/>
      <c r="C13" s="2"/>
      <c r="D13" s="2"/>
      <c r="E13" s="2"/>
      <c r="F13" s="2"/>
      <c r="G13" s="2"/>
      <c r="H13" s="2"/>
      <c r="I13" s="2"/>
      <c r="J13" s="2"/>
      <c r="K13" s="2"/>
      <c r="L13" s="3"/>
      <c r="M13" s="3"/>
      <c r="N13" s="3"/>
      <c r="O13" s="3"/>
      <c r="P13" s="3"/>
      <c r="Q13" s="3"/>
      <c r="R13" s="3"/>
      <c r="S13" s="3"/>
      <c r="T13" s="3"/>
      <c r="U13" s="3"/>
      <c r="V13" s="3"/>
      <c r="W13" s="3"/>
      <c r="X13" s="3"/>
      <c r="Y13" s="3"/>
      <c r="Z13" s="3"/>
    </row>
    <row r="14" ht="15.75" customHeight="1">
      <c r="A14" s="12"/>
      <c r="B14" s="12"/>
      <c r="C14" s="12"/>
      <c r="D14" s="12"/>
      <c r="E14" s="12"/>
      <c r="F14" s="12"/>
      <c r="G14" s="12"/>
      <c r="H14" s="19"/>
      <c r="I14" s="19"/>
      <c r="J14" s="19"/>
      <c r="K14" s="2"/>
      <c r="L14" s="3"/>
      <c r="M14" s="3"/>
      <c r="N14" s="3"/>
      <c r="O14" s="3"/>
      <c r="P14" s="3"/>
      <c r="Q14" s="3"/>
      <c r="R14" s="3"/>
      <c r="S14" s="3"/>
      <c r="T14" s="3"/>
      <c r="U14" s="3"/>
      <c r="V14" s="3"/>
      <c r="W14" s="3"/>
      <c r="X14" s="3"/>
      <c r="Y14" s="3"/>
      <c r="Z14" s="3"/>
    </row>
    <row r="15" ht="15.75" customHeight="1">
      <c r="A15" s="2"/>
      <c r="B15" s="2"/>
      <c r="C15" s="2"/>
      <c r="D15" s="2"/>
      <c r="E15" s="2"/>
      <c r="F15" s="2"/>
      <c r="G15" s="2"/>
      <c r="H15" s="2"/>
      <c r="I15" s="2"/>
      <c r="J15" s="2"/>
      <c r="K15" s="2"/>
      <c r="L15" s="3"/>
      <c r="M15" s="3"/>
      <c r="N15" s="3"/>
      <c r="O15" s="3"/>
      <c r="P15" s="3"/>
      <c r="Q15" s="3"/>
      <c r="R15" s="3"/>
      <c r="S15" s="3"/>
      <c r="T15" s="3"/>
      <c r="U15" s="3"/>
      <c r="V15" s="3"/>
      <c r="W15" s="3"/>
      <c r="X15" s="3"/>
      <c r="Y15" s="3"/>
      <c r="Z15" s="3"/>
    </row>
    <row r="16" ht="15.75" customHeight="1">
      <c r="A16" s="2"/>
      <c r="B16" s="2"/>
      <c r="C16" s="2"/>
      <c r="D16" s="2"/>
      <c r="E16" s="2"/>
      <c r="F16" s="2"/>
      <c r="G16" s="2"/>
      <c r="H16" s="2"/>
      <c r="I16" s="2"/>
      <c r="J16" s="2"/>
      <c r="K16" s="2"/>
      <c r="L16" s="3"/>
      <c r="M16" s="3"/>
      <c r="N16" s="3"/>
      <c r="O16" s="3"/>
      <c r="P16" s="3"/>
      <c r="Q16" s="3"/>
      <c r="R16" s="3"/>
      <c r="S16" s="3"/>
      <c r="T16" s="3"/>
      <c r="U16" s="3"/>
      <c r="V16" s="3"/>
      <c r="W16" s="3"/>
      <c r="X16" s="3"/>
      <c r="Y16" s="3"/>
      <c r="Z16" s="3"/>
    </row>
    <row r="17" ht="15.75" customHeight="1">
      <c r="A17" s="2"/>
      <c r="B17" s="2"/>
      <c r="C17" s="2"/>
      <c r="D17" s="2"/>
      <c r="E17" s="2"/>
      <c r="F17" s="2"/>
      <c r="G17" s="2"/>
      <c r="H17" s="2"/>
      <c r="I17" s="2"/>
      <c r="J17" s="2"/>
      <c r="K17" s="2"/>
      <c r="L17" s="3"/>
      <c r="M17" s="3"/>
      <c r="N17" s="3"/>
      <c r="O17" s="3"/>
      <c r="P17" s="3"/>
      <c r="Q17" s="3"/>
      <c r="R17" s="3"/>
      <c r="S17" s="3"/>
      <c r="T17" s="3"/>
      <c r="U17" s="3"/>
      <c r="V17" s="3"/>
      <c r="W17" s="3"/>
      <c r="X17" s="3"/>
      <c r="Y17" s="3"/>
      <c r="Z17" s="3"/>
    </row>
    <row r="18" ht="15.75" customHeight="1">
      <c r="A18" s="22" t="s">
        <v>10</v>
      </c>
      <c r="B18" s="12"/>
      <c r="C18" s="12"/>
      <c r="D18" s="12"/>
      <c r="E18" s="12"/>
      <c r="F18" s="12"/>
      <c r="G18" s="12"/>
      <c r="H18" s="12"/>
      <c r="I18" s="12"/>
      <c r="J18" s="12"/>
      <c r="K18" s="2"/>
      <c r="L18" s="3"/>
      <c r="M18" s="3"/>
      <c r="N18" s="3"/>
      <c r="O18" s="3"/>
      <c r="P18" s="3"/>
      <c r="Q18" s="3"/>
      <c r="R18" s="3"/>
      <c r="S18" s="3"/>
      <c r="T18" s="3"/>
      <c r="U18" s="3"/>
      <c r="V18" s="3"/>
      <c r="W18" s="3"/>
      <c r="X18" s="3"/>
      <c r="Y18" s="3"/>
      <c r="Z18" s="3"/>
    </row>
    <row r="19" ht="15.75" customHeight="1">
      <c r="A19" s="23" t="s">
        <v>11</v>
      </c>
      <c r="B19" s="16"/>
      <c r="C19" s="23" t="s">
        <v>12</v>
      </c>
      <c r="D19" s="16"/>
      <c r="E19" s="23" t="s">
        <v>13</v>
      </c>
      <c r="F19" s="15"/>
      <c r="G19" s="15"/>
      <c r="H19" s="16"/>
      <c r="I19" s="23" t="s">
        <v>14</v>
      </c>
      <c r="J19" s="16"/>
      <c r="K19" s="2"/>
      <c r="L19" s="3"/>
      <c r="M19" s="3"/>
      <c r="N19" s="3"/>
      <c r="O19" s="3"/>
      <c r="P19" s="3"/>
      <c r="Q19" s="3"/>
      <c r="R19" s="3"/>
      <c r="S19" s="3"/>
      <c r="T19" s="3"/>
      <c r="U19" s="3"/>
      <c r="V19" s="3"/>
      <c r="W19" s="3"/>
      <c r="X19" s="3"/>
      <c r="Y19" s="3"/>
      <c r="Z19" s="3"/>
    </row>
    <row r="20" ht="15.75" customHeight="1">
      <c r="A20" s="24">
        <v>0.1</v>
      </c>
      <c r="B20" s="16"/>
      <c r="C20" s="14">
        <v>46205.0</v>
      </c>
      <c r="D20" s="16"/>
      <c r="E20" s="25" t="s">
        <v>15</v>
      </c>
      <c r="I20" s="26" t="s">
        <v>4</v>
      </c>
      <c r="J20" s="16"/>
      <c r="K20" s="2"/>
      <c r="L20" s="3"/>
      <c r="M20" s="3"/>
      <c r="N20" s="3"/>
      <c r="O20" s="3"/>
      <c r="P20" s="3"/>
      <c r="Q20" s="3"/>
      <c r="R20" s="3"/>
      <c r="S20" s="3"/>
      <c r="T20" s="3"/>
      <c r="U20" s="3"/>
      <c r="V20" s="3"/>
      <c r="W20" s="3"/>
      <c r="X20" s="3"/>
      <c r="Y20" s="3"/>
      <c r="Z20" s="3"/>
    </row>
    <row r="21" ht="15.75" customHeight="1">
      <c r="A21" s="27">
        <v>0.2</v>
      </c>
      <c r="C21" s="28">
        <v>46211.0</v>
      </c>
      <c r="E21" s="20" t="s">
        <v>16</v>
      </c>
      <c r="I21" s="26" t="s">
        <v>4</v>
      </c>
      <c r="J21" s="16"/>
      <c r="K21" s="2"/>
      <c r="L21" s="3"/>
      <c r="M21" s="3"/>
      <c r="N21" s="3"/>
      <c r="O21" s="3"/>
      <c r="P21" s="3"/>
      <c r="Q21" s="3"/>
      <c r="R21" s="3"/>
      <c r="S21" s="3"/>
      <c r="T21" s="3"/>
      <c r="U21" s="3"/>
      <c r="V21" s="3"/>
      <c r="W21" s="3"/>
      <c r="X21" s="3"/>
      <c r="Y21" s="3"/>
      <c r="Z21" s="3"/>
    </row>
    <row r="22" ht="15.75" customHeight="1">
      <c r="A22" s="27">
        <v>0.3</v>
      </c>
      <c r="C22" s="28">
        <v>46215.0</v>
      </c>
      <c r="E22" s="29" t="s">
        <v>17</v>
      </c>
      <c r="I22" s="26" t="s">
        <v>4</v>
      </c>
      <c r="J22" s="16"/>
      <c r="K22" s="2"/>
      <c r="L22" s="3"/>
      <c r="M22" s="3"/>
      <c r="N22" s="3"/>
      <c r="O22" s="3"/>
      <c r="P22" s="3"/>
      <c r="Q22" s="3"/>
      <c r="R22" s="3"/>
      <c r="S22" s="3"/>
      <c r="T22" s="3"/>
      <c r="U22" s="3"/>
      <c r="V22" s="3"/>
      <c r="W22" s="3"/>
      <c r="X22" s="3"/>
      <c r="Y22" s="3"/>
      <c r="Z22" s="3"/>
    </row>
    <row r="23" ht="15.75" customHeight="1">
      <c r="A23" s="2"/>
      <c r="B23" s="2"/>
      <c r="C23" s="2"/>
      <c r="D23" s="2"/>
      <c r="E23" s="2"/>
      <c r="F23" s="2"/>
      <c r="G23" s="2"/>
      <c r="H23" s="2"/>
      <c r="I23" s="2"/>
      <c r="J23" s="2"/>
      <c r="K23" s="2"/>
      <c r="L23" s="3"/>
      <c r="M23" s="3"/>
      <c r="N23" s="3"/>
      <c r="O23" s="3"/>
      <c r="P23" s="3"/>
      <c r="Q23" s="3"/>
      <c r="R23" s="3"/>
      <c r="S23" s="3"/>
      <c r="T23" s="3"/>
      <c r="U23" s="3"/>
      <c r="V23" s="3"/>
      <c r="W23" s="3"/>
      <c r="X23" s="3"/>
      <c r="Y23" s="3"/>
      <c r="Z23" s="3"/>
    </row>
    <row r="24" ht="15.75" customHeight="1">
      <c r="A24" s="2"/>
      <c r="B24" s="2"/>
      <c r="C24" s="2"/>
      <c r="D24" s="2"/>
      <c r="E24" s="2"/>
      <c r="F24" s="2"/>
      <c r="G24" s="2"/>
      <c r="H24" s="2"/>
      <c r="I24" s="2"/>
      <c r="J24" s="2"/>
      <c r="K24" s="2"/>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3:J6"/>
    <mergeCell ref="A8:B8"/>
    <mergeCell ref="C8:G8"/>
    <mergeCell ref="A9:B9"/>
    <mergeCell ref="C9:G9"/>
    <mergeCell ref="A10:B10"/>
    <mergeCell ref="C10:I10"/>
    <mergeCell ref="A11:B11"/>
    <mergeCell ref="C11:G11"/>
    <mergeCell ref="A12:B12"/>
    <mergeCell ref="C12:G12"/>
    <mergeCell ref="C19:D19"/>
    <mergeCell ref="E19:H19"/>
    <mergeCell ref="I19:J19"/>
    <mergeCell ref="E21:H21"/>
    <mergeCell ref="I21:J21"/>
    <mergeCell ref="A22:B22"/>
    <mergeCell ref="C22:D22"/>
    <mergeCell ref="E22:H22"/>
    <mergeCell ref="I22:J22"/>
    <mergeCell ref="A19:B19"/>
    <mergeCell ref="A20:B20"/>
    <mergeCell ref="C20:D20"/>
    <mergeCell ref="E20:H20"/>
    <mergeCell ref="I20:J20"/>
    <mergeCell ref="A21:B21"/>
    <mergeCell ref="C21:D21"/>
  </mergeCell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13"/>
    <col customWidth="1" min="2" max="2" width="11.25"/>
    <col customWidth="1" min="3" max="4" width="24.0"/>
    <col customWidth="1" min="5" max="5" width="25.88"/>
    <col customWidth="1" min="6" max="6" width="41.5"/>
    <col customWidth="1" min="7" max="7" width="36.63"/>
    <col customWidth="1" min="8" max="8" width="24.88"/>
    <col customWidth="1" min="9" max="9" width="19.5"/>
    <col customWidth="1" min="10" max="10" width="38.88"/>
    <col customWidth="1" min="11" max="11" width="17.38"/>
    <col customWidth="1" min="12" max="27" width="12.5"/>
  </cols>
  <sheetData>
    <row r="1">
      <c r="A1" s="30"/>
      <c r="B1" s="31" t="s">
        <v>18</v>
      </c>
      <c r="C1" s="31" t="s">
        <v>19</v>
      </c>
      <c r="D1" s="31" t="s">
        <v>20</v>
      </c>
      <c r="E1" s="31" t="s">
        <v>21</v>
      </c>
      <c r="F1" s="31" t="s">
        <v>22</v>
      </c>
      <c r="G1" s="31" t="s">
        <v>23</v>
      </c>
      <c r="H1" s="31" t="s">
        <v>24</v>
      </c>
      <c r="I1" s="31" t="s">
        <v>25</v>
      </c>
      <c r="J1" s="32" t="s">
        <v>26</v>
      </c>
      <c r="K1" s="33" t="s">
        <v>27</v>
      </c>
      <c r="L1" s="34"/>
      <c r="M1" s="34"/>
      <c r="N1" s="34"/>
      <c r="O1" s="34"/>
      <c r="P1" s="34"/>
      <c r="Q1" s="34"/>
      <c r="R1" s="34"/>
      <c r="S1" s="34"/>
      <c r="T1" s="34"/>
      <c r="U1" s="34"/>
      <c r="V1" s="34"/>
      <c r="W1" s="34"/>
      <c r="X1" s="34"/>
      <c r="Y1" s="34"/>
      <c r="Z1" s="34"/>
      <c r="AA1" s="34"/>
    </row>
    <row r="2">
      <c r="A2" s="35"/>
      <c r="B2" s="36"/>
      <c r="C2" s="37"/>
      <c r="D2" s="37"/>
      <c r="E2" s="38" t="s">
        <v>28</v>
      </c>
      <c r="F2" s="37"/>
      <c r="G2" s="37"/>
      <c r="H2" s="39"/>
      <c r="I2" s="40"/>
      <c r="J2" s="41"/>
      <c r="K2" s="41"/>
      <c r="L2" s="34"/>
      <c r="M2" s="34"/>
      <c r="N2" s="34"/>
      <c r="O2" s="34"/>
      <c r="P2" s="34"/>
      <c r="Q2" s="34"/>
      <c r="R2" s="34"/>
      <c r="S2" s="34"/>
      <c r="T2" s="34"/>
      <c r="U2" s="34"/>
      <c r="V2" s="34"/>
      <c r="W2" s="34"/>
      <c r="X2" s="34"/>
      <c r="Y2" s="34"/>
      <c r="Z2" s="34"/>
      <c r="AA2" s="34"/>
    </row>
    <row r="3">
      <c r="A3" s="35"/>
      <c r="B3" s="42" t="s">
        <v>29</v>
      </c>
      <c r="C3" s="43" t="s">
        <v>30</v>
      </c>
      <c r="D3" s="43" t="s">
        <v>31</v>
      </c>
      <c r="E3" s="43" t="s">
        <v>32</v>
      </c>
      <c r="F3" s="44" t="s">
        <v>33</v>
      </c>
      <c r="G3" s="43" t="s">
        <v>34</v>
      </c>
      <c r="H3" s="35" t="s">
        <v>35</v>
      </c>
      <c r="I3" s="45" t="s">
        <v>36</v>
      </c>
      <c r="J3" s="46"/>
      <c r="K3" s="47" t="s">
        <v>37</v>
      </c>
      <c r="L3" s="34"/>
      <c r="M3" s="34"/>
      <c r="N3" s="34"/>
      <c r="O3" s="34"/>
      <c r="P3" s="34"/>
      <c r="Q3" s="34"/>
      <c r="R3" s="34"/>
      <c r="S3" s="34"/>
      <c r="T3" s="34"/>
      <c r="U3" s="34"/>
      <c r="V3" s="34"/>
      <c r="W3" s="34"/>
      <c r="X3" s="34"/>
      <c r="Y3" s="34"/>
      <c r="Z3" s="34"/>
      <c r="AA3" s="34"/>
    </row>
    <row r="4">
      <c r="A4" s="35"/>
      <c r="B4" s="42" t="s">
        <v>38</v>
      </c>
      <c r="C4" s="43" t="s">
        <v>39</v>
      </c>
      <c r="D4" s="43" t="s">
        <v>40</v>
      </c>
      <c r="E4" s="48" t="s">
        <v>41</v>
      </c>
      <c r="F4" s="48" t="s">
        <v>42</v>
      </c>
      <c r="G4" s="43" t="s">
        <v>43</v>
      </c>
      <c r="H4" s="35" t="s">
        <v>35</v>
      </c>
      <c r="I4" s="45" t="s">
        <v>36</v>
      </c>
      <c r="J4" s="46"/>
      <c r="K4" s="47" t="s">
        <v>37</v>
      </c>
      <c r="L4" s="34"/>
      <c r="M4" s="34"/>
      <c r="N4" s="34"/>
      <c r="O4" s="34"/>
      <c r="P4" s="34"/>
      <c r="Q4" s="34"/>
      <c r="R4" s="34"/>
      <c r="S4" s="34"/>
      <c r="T4" s="34"/>
      <c r="U4" s="34"/>
      <c r="V4" s="34"/>
      <c r="W4" s="34"/>
      <c r="X4" s="34"/>
      <c r="Y4" s="34"/>
      <c r="Z4" s="34"/>
      <c r="AA4" s="34"/>
    </row>
    <row r="5">
      <c r="A5" s="35"/>
      <c r="B5" s="43" t="s">
        <v>44</v>
      </c>
      <c r="C5" s="43" t="s">
        <v>45</v>
      </c>
      <c r="D5" s="43" t="s">
        <v>46</v>
      </c>
      <c r="E5" s="48" t="s">
        <v>41</v>
      </c>
      <c r="F5" s="48" t="s">
        <v>47</v>
      </c>
      <c r="G5" s="43" t="s">
        <v>48</v>
      </c>
      <c r="H5" s="35" t="s">
        <v>35</v>
      </c>
      <c r="I5" s="45" t="s">
        <v>36</v>
      </c>
      <c r="J5" s="46"/>
      <c r="K5" s="47" t="s">
        <v>37</v>
      </c>
      <c r="L5" s="34"/>
      <c r="M5" s="34"/>
      <c r="N5" s="34"/>
      <c r="O5" s="34"/>
      <c r="P5" s="34"/>
      <c r="Q5" s="34"/>
      <c r="R5" s="34"/>
      <c r="S5" s="34"/>
      <c r="T5" s="34"/>
      <c r="U5" s="34"/>
      <c r="V5" s="34"/>
      <c r="W5" s="34"/>
      <c r="X5" s="34"/>
      <c r="Y5" s="34"/>
      <c r="Z5" s="34"/>
      <c r="AA5" s="34"/>
    </row>
    <row r="6">
      <c r="A6" s="35"/>
      <c r="B6" s="43" t="s">
        <v>49</v>
      </c>
      <c r="C6" s="43" t="s">
        <v>50</v>
      </c>
      <c r="D6" s="43" t="s">
        <v>51</v>
      </c>
      <c r="E6" s="43" t="s">
        <v>52</v>
      </c>
      <c r="F6" s="43" t="s">
        <v>53</v>
      </c>
      <c r="G6" s="43" t="s">
        <v>54</v>
      </c>
      <c r="H6" s="35" t="s">
        <v>35</v>
      </c>
      <c r="I6" s="45" t="s">
        <v>36</v>
      </c>
      <c r="J6" s="46"/>
      <c r="K6" s="47" t="s">
        <v>37</v>
      </c>
      <c r="L6" s="34"/>
      <c r="M6" s="34"/>
      <c r="N6" s="34"/>
      <c r="O6" s="34"/>
      <c r="P6" s="34"/>
      <c r="Q6" s="34"/>
      <c r="R6" s="34"/>
      <c r="S6" s="34"/>
      <c r="T6" s="34"/>
      <c r="U6" s="34"/>
      <c r="V6" s="34"/>
      <c r="W6" s="34"/>
      <c r="X6" s="34"/>
      <c r="Y6" s="34"/>
      <c r="Z6" s="34"/>
      <c r="AA6" s="34"/>
    </row>
    <row r="7">
      <c r="A7" s="35"/>
      <c r="B7" s="43" t="s">
        <v>55</v>
      </c>
      <c r="C7" s="43" t="s">
        <v>56</v>
      </c>
      <c r="D7" s="43" t="s">
        <v>51</v>
      </c>
      <c r="E7" s="43" t="s">
        <v>57</v>
      </c>
      <c r="F7" s="43" t="s">
        <v>53</v>
      </c>
      <c r="G7" s="43" t="s">
        <v>54</v>
      </c>
      <c r="H7" s="35" t="s">
        <v>35</v>
      </c>
      <c r="I7" s="45" t="s">
        <v>36</v>
      </c>
      <c r="J7" s="46"/>
      <c r="K7" s="47" t="s">
        <v>37</v>
      </c>
      <c r="L7" s="34"/>
      <c r="M7" s="34"/>
      <c r="N7" s="34"/>
      <c r="O7" s="34"/>
      <c r="P7" s="34"/>
      <c r="Q7" s="34"/>
      <c r="R7" s="34"/>
      <c r="S7" s="34"/>
      <c r="T7" s="34"/>
      <c r="U7" s="34"/>
      <c r="V7" s="34"/>
      <c r="W7" s="34"/>
      <c r="X7" s="34"/>
      <c r="Y7" s="34"/>
      <c r="Z7" s="34"/>
      <c r="AA7" s="34"/>
    </row>
    <row r="8">
      <c r="A8" s="35"/>
      <c r="B8" s="43" t="s">
        <v>58</v>
      </c>
      <c r="C8" s="43" t="s">
        <v>59</v>
      </c>
      <c r="D8" s="43" t="s">
        <v>51</v>
      </c>
      <c r="E8" s="43" t="s">
        <v>60</v>
      </c>
      <c r="F8" s="43" t="s">
        <v>53</v>
      </c>
      <c r="G8" s="43" t="s">
        <v>54</v>
      </c>
      <c r="H8" s="35" t="s">
        <v>35</v>
      </c>
      <c r="I8" s="45" t="s">
        <v>36</v>
      </c>
      <c r="J8" s="46"/>
      <c r="K8" s="47" t="s">
        <v>37</v>
      </c>
      <c r="L8" s="34"/>
      <c r="M8" s="34"/>
      <c r="N8" s="34"/>
      <c r="O8" s="34"/>
      <c r="P8" s="34"/>
      <c r="Q8" s="34"/>
      <c r="R8" s="34"/>
      <c r="S8" s="34"/>
      <c r="T8" s="34"/>
      <c r="U8" s="34"/>
      <c r="V8" s="34"/>
      <c r="W8" s="34"/>
      <c r="X8" s="34"/>
      <c r="Y8" s="34"/>
      <c r="Z8" s="34"/>
      <c r="AA8" s="34"/>
    </row>
    <row r="9">
      <c r="A9" s="35"/>
      <c r="B9" s="43" t="s">
        <v>61</v>
      </c>
      <c r="C9" s="43" t="s">
        <v>62</v>
      </c>
      <c r="D9" s="43" t="s">
        <v>51</v>
      </c>
      <c r="E9" s="43" t="s">
        <v>63</v>
      </c>
      <c r="F9" s="43" t="s">
        <v>53</v>
      </c>
      <c r="G9" s="43" t="s">
        <v>54</v>
      </c>
      <c r="H9" s="35" t="s">
        <v>35</v>
      </c>
      <c r="I9" s="45" t="s">
        <v>36</v>
      </c>
      <c r="J9" s="46"/>
      <c r="K9" s="47" t="s">
        <v>37</v>
      </c>
      <c r="L9" s="34"/>
      <c r="M9" s="34"/>
      <c r="N9" s="34"/>
      <c r="O9" s="34"/>
      <c r="P9" s="34"/>
      <c r="Q9" s="34"/>
      <c r="R9" s="34"/>
      <c r="S9" s="34"/>
      <c r="T9" s="34"/>
      <c r="U9" s="34"/>
      <c r="V9" s="34"/>
      <c r="W9" s="34"/>
      <c r="X9" s="34"/>
      <c r="Y9" s="34"/>
      <c r="Z9" s="34"/>
      <c r="AA9" s="34"/>
    </row>
    <row r="10">
      <c r="A10" s="35"/>
      <c r="B10" s="43" t="s">
        <v>64</v>
      </c>
      <c r="C10" s="43" t="s">
        <v>65</v>
      </c>
      <c r="D10" s="43" t="s">
        <v>51</v>
      </c>
      <c r="E10" s="43" t="s">
        <v>66</v>
      </c>
      <c r="F10" s="43" t="s">
        <v>53</v>
      </c>
      <c r="G10" s="43" t="s">
        <v>54</v>
      </c>
      <c r="H10" s="35" t="s">
        <v>35</v>
      </c>
      <c r="I10" s="45" t="s">
        <v>36</v>
      </c>
      <c r="J10" s="46"/>
      <c r="K10" s="47" t="s">
        <v>37</v>
      </c>
      <c r="L10" s="34"/>
      <c r="M10" s="34"/>
      <c r="N10" s="34"/>
      <c r="O10" s="34"/>
      <c r="P10" s="34"/>
      <c r="Q10" s="34"/>
      <c r="R10" s="34"/>
      <c r="S10" s="34"/>
      <c r="T10" s="34"/>
      <c r="U10" s="34"/>
      <c r="V10" s="34"/>
      <c r="W10" s="34"/>
      <c r="X10" s="34"/>
      <c r="Y10" s="34"/>
      <c r="Z10" s="34"/>
      <c r="AA10" s="34"/>
    </row>
    <row r="11">
      <c r="A11" s="35"/>
      <c r="B11" s="42" t="s">
        <v>67</v>
      </c>
      <c r="C11" s="43" t="s">
        <v>68</v>
      </c>
      <c r="D11" s="43" t="s">
        <v>51</v>
      </c>
      <c r="E11" s="43" t="s">
        <v>69</v>
      </c>
      <c r="F11" s="43" t="s">
        <v>53</v>
      </c>
      <c r="G11" s="43" t="s">
        <v>70</v>
      </c>
      <c r="H11" s="35" t="s">
        <v>35</v>
      </c>
      <c r="I11" s="45" t="s">
        <v>36</v>
      </c>
      <c r="J11" s="46"/>
      <c r="K11" s="47" t="s">
        <v>37</v>
      </c>
      <c r="L11" s="34"/>
      <c r="M11" s="34"/>
      <c r="N11" s="34"/>
      <c r="O11" s="34"/>
      <c r="P11" s="34"/>
      <c r="Q11" s="34"/>
      <c r="R11" s="34"/>
      <c r="S11" s="34"/>
      <c r="T11" s="34"/>
      <c r="U11" s="34"/>
      <c r="V11" s="34"/>
      <c r="W11" s="34"/>
      <c r="X11" s="34"/>
      <c r="Y11" s="34"/>
      <c r="Z11" s="34"/>
      <c r="AA11" s="34"/>
    </row>
    <row r="12">
      <c r="A12" s="35"/>
      <c r="B12" s="42" t="s">
        <v>71</v>
      </c>
      <c r="C12" s="43" t="s">
        <v>72</v>
      </c>
      <c r="D12" s="43" t="s">
        <v>73</v>
      </c>
      <c r="E12" s="48" t="s">
        <v>74</v>
      </c>
      <c r="F12" s="48" t="s">
        <v>53</v>
      </c>
      <c r="G12" s="43" t="s">
        <v>75</v>
      </c>
      <c r="H12" s="35" t="s">
        <v>35</v>
      </c>
      <c r="I12" s="45" t="s">
        <v>36</v>
      </c>
      <c r="J12" s="46"/>
      <c r="K12" s="47" t="s">
        <v>37</v>
      </c>
      <c r="L12" s="34"/>
      <c r="M12" s="34"/>
      <c r="N12" s="34"/>
      <c r="O12" s="34"/>
      <c r="P12" s="34"/>
      <c r="Q12" s="34"/>
      <c r="R12" s="34"/>
      <c r="S12" s="34"/>
      <c r="T12" s="34"/>
      <c r="U12" s="34"/>
      <c r="V12" s="34"/>
      <c r="W12" s="34"/>
      <c r="X12" s="34"/>
      <c r="Y12" s="34"/>
      <c r="Z12" s="34"/>
      <c r="AA12" s="34"/>
    </row>
    <row r="13">
      <c r="A13" s="35"/>
      <c r="B13" s="42" t="s">
        <v>76</v>
      </c>
      <c r="C13" s="43" t="s">
        <v>77</v>
      </c>
      <c r="D13" s="43" t="s">
        <v>78</v>
      </c>
      <c r="E13" s="48" t="s">
        <v>79</v>
      </c>
      <c r="F13" s="48" t="s">
        <v>53</v>
      </c>
      <c r="G13" s="43" t="s">
        <v>75</v>
      </c>
      <c r="H13" s="35" t="s">
        <v>35</v>
      </c>
      <c r="I13" s="45" t="s">
        <v>36</v>
      </c>
      <c r="J13" s="46"/>
      <c r="K13" s="47" t="s">
        <v>37</v>
      </c>
      <c r="L13" s="34"/>
      <c r="M13" s="34"/>
      <c r="N13" s="34"/>
      <c r="O13" s="34"/>
      <c r="P13" s="34"/>
      <c r="Q13" s="34"/>
      <c r="R13" s="34"/>
      <c r="S13" s="34"/>
      <c r="T13" s="34"/>
      <c r="U13" s="34"/>
      <c r="V13" s="34"/>
      <c r="W13" s="34"/>
      <c r="X13" s="34"/>
      <c r="Y13" s="34"/>
      <c r="Z13" s="34"/>
      <c r="AA13" s="34"/>
    </row>
    <row r="14">
      <c r="A14" s="35"/>
      <c r="B14" s="42" t="s">
        <v>80</v>
      </c>
      <c r="C14" s="43" t="s">
        <v>81</v>
      </c>
      <c r="D14" s="43" t="s">
        <v>82</v>
      </c>
      <c r="E14" s="48" t="s">
        <v>83</v>
      </c>
      <c r="F14" s="48" t="s">
        <v>53</v>
      </c>
      <c r="G14" s="43" t="s">
        <v>84</v>
      </c>
      <c r="H14" s="35" t="s">
        <v>35</v>
      </c>
      <c r="I14" s="45" t="s">
        <v>36</v>
      </c>
      <c r="J14" s="46"/>
      <c r="K14" s="47" t="s">
        <v>37</v>
      </c>
      <c r="L14" s="34"/>
      <c r="M14" s="34"/>
      <c r="N14" s="34"/>
      <c r="O14" s="34"/>
      <c r="P14" s="34"/>
      <c r="Q14" s="34"/>
      <c r="R14" s="34"/>
      <c r="S14" s="34"/>
      <c r="T14" s="34"/>
      <c r="U14" s="34"/>
      <c r="V14" s="34"/>
      <c r="W14" s="34"/>
      <c r="X14" s="34"/>
      <c r="Y14" s="34"/>
      <c r="Z14" s="34"/>
      <c r="AA14" s="34"/>
    </row>
    <row r="15">
      <c r="A15" s="35"/>
      <c r="B15" s="42" t="s">
        <v>85</v>
      </c>
      <c r="C15" s="43" t="s">
        <v>86</v>
      </c>
      <c r="D15" s="43" t="s">
        <v>87</v>
      </c>
      <c r="E15" s="48" t="s">
        <v>88</v>
      </c>
      <c r="F15" s="48" t="s">
        <v>53</v>
      </c>
      <c r="G15" s="43" t="s">
        <v>89</v>
      </c>
      <c r="H15" s="35" t="s">
        <v>35</v>
      </c>
      <c r="I15" s="45" t="s">
        <v>36</v>
      </c>
      <c r="J15" s="46"/>
      <c r="K15" s="47" t="s">
        <v>37</v>
      </c>
      <c r="L15" s="34"/>
      <c r="M15" s="34"/>
      <c r="N15" s="34"/>
      <c r="O15" s="34"/>
      <c r="P15" s="34"/>
      <c r="Q15" s="34"/>
      <c r="R15" s="34"/>
      <c r="S15" s="34"/>
      <c r="T15" s="34"/>
      <c r="U15" s="34"/>
      <c r="V15" s="34"/>
      <c r="W15" s="34"/>
      <c r="X15" s="34"/>
      <c r="Y15" s="34"/>
      <c r="Z15" s="34"/>
      <c r="AA15" s="34"/>
    </row>
    <row r="16">
      <c r="A16" s="35"/>
      <c r="B16" s="43" t="s">
        <v>90</v>
      </c>
      <c r="C16" s="43" t="s">
        <v>91</v>
      </c>
      <c r="D16" s="43" t="s">
        <v>92</v>
      </c>
      <c r="E16" s="43" t="s">
        <v>93</v>
      </c>
      <c r="F16" s="43" t="s">
        <v>53</v>
      </c>
      <c r="G16" s="43" t="s">
        <v>84</v>
      </c>
      <c r="H16" s="35" t="s">
        <v>35</v>
      </c>
      <c r="I16" s="45" t="s">
        <v>36</v>
      </c>
      <c r="J16" s="46"/>
      <c r="K16" s="47" t="s">
        <v>37</v>
      </c>
      <c r="L16" s="34"/>
      <c r="M16" s="34"/>
      <c r="N16" s="34"/>
      <c r="O16" s="34"/>
      <c r="P16" s="34"/>
      <c r="Q16" s="34"/>
      <c r="R16" s="34"/>
      <c r="S16" s="34"/>
      <c r="T16" s="34"/>
      <c r="U16" s="34"/>
      <c r="V16" s="34"/>
      <c r="W16" s="34"/>
      <c r="X16" s="34"/>
      <c r="Y16" s="34"/>
      <c r="Z16" s="34"/>
      <c r="AA16" s="34"/>
    </row>
    <row r="17">
      <c r="A17" s="35"/>
      <c r="B17" s="43" t="s">
        <v>94</v>
      </c>
      <c r="C17" s="43" t="s">
        <v>95</v>
      </c>
      <c r="D17" s="43" t="s">
        <v>96</v>
      </c>
      <c r="E17" s="43" t="s">
        <v>97</v>
      </c>
      <c r="F17" s="43" t="s">
        <v>98</v>
      </c>
      <c r="G17" s="43" t="s">
        <v>99</v>
      </c>
      <c r="H17" s="35" t="s">
        <v>35</v>
      </c>
      <c r="I17" s="45" t="s">
        <v>36</v>
      </c>
      <c r="J17" s="46"/>
      <c r="K17" s="47" t="s">
        <v>37</v>
      </c>
      <c r="L17" s="34"/>
      <c r="M17" s="34"/>
      <c r="N17" s="34"/>
      <c r="O17" s="34"/>
      <c r="P17" s="34"/>
      <c r="Q17" s="34"/>
      <c r="R17" s="34"/>
      <c r="S17" s="34"/>
      <c r="T17" s="34"/>
      <c r="U17" s="34"/>
      <c r="V17" s="34"/>
      <c r="W17" s="34"/>
      <c r="X17" s="34"/>
      <c r="Y17" s="34"/>
      <c r="Z17" s="34"/>
      <c r="AA17" s="34"/>
    </row>
    <row r="18">
      <c r="A18" s="35"/>
      <c r="B18" s="43" t="s">
        <v>100</v>
      </c>
      <c r="C18" s="43" t="s">
        <v>101</v>
      </c>
      <c r="D18" s="43" t="s">
        <v>102</v>
      </c>
      <c r="E18" s="43" t="s">
        <v>103</v>
      </c>
      <c r="F18" s="43" t="s">
        <v>53</v>
      </c>
      <c r="G18" s="43" t="s">
        <v>104</v>
      </c>
      <c r="H18" s="35" t="s">
        <v>35</v>
      </c>
      <c r="I18" s="45" t="s">
        <v>36</v>
      </c>
      <c r="J18" s="46"/>
      <c r="K18" s="47" t="s">
        <v>37</v>
      </c>
      <c r="L18" s="34"/>
      <c r="M18" s="34"/>
      <c r="N18" s="34"/>
      <c r="O18" s="34"/>
      <c r="P18" s="34"/>
      <c r="Q18" s="34"/>
      <c r="R18" s="34"/>
      <c r="S18" s="34"/>
      <c r="T18" s="34"/>
      <c r="U18" s="34"/>
      <c r="V18" s="34"/>
      <c r="W18" s="34"/>
      <c r="X18" s="34"/>
      <c r="Y18" s="34"/>
      <c r="Z18" s="34"/>
      <c r="AA18" s="34"/>
    </row>
    <row r="19">
      <c r="A19" s="35"/>
      <c r="B19" s="43" t="s">
        <v>105</v>
      </c>
      <c r="C19" s="43" t="s">
        <v>106</v>
      </c>
      <c r="D19" s="43" t="s">
        <v>107</v>
      </c>
      <c r="E19" s="43" t="s">
        <v>108</v>
      </c>
      <c r="F19" s="43" t="s">
        <v>109</v>
      </c>
      <c r="G19" s="43" t="s">
        <v>110</v>
      </c>
      <c r="H19" s="35" t="s">
        <v>35</v>
      </c>
      <c r="I19" s="45" t="s">
        <v>111</v>
      </c>
      <c r="J19" s="42" t="s">
        <v>112</v>
      </c>
      <c r="K19" s="47" t="s">
        <v>113</v>
      </c>
      <c r="L19" s="34"/>
      <c r="M19" s="34"/>
      <c r="N19" s="34"/>
      <c r="O19" s="34"/>
      <c r="P19" s="34"/>
      <c r="Q19" s="34"/>
      <c r="R19" s="34"/>
      <c r="S19" s="34"/>
      <c r="T19" s="34"/>
      <c r="U19" s="34"/>
      <c r="V19" s="34"/>
      <c r="W19" s="34"/>
      <c r="X19" s="34"/>
      <c r="Y19" s="34"/>
      <c r="Z19" s="34"/>
      <c r="AA19" s="34"/>
    </row>
    <row r="20">
      <c r="A20" s="35"/>
      <c r="B20" s="43" t="s">
        <v>114</v>
      </c>
      <c r="C20" s="43" t="s">
        <v>115</v>
      </c>
      <c r="D20" s="43" t="s">
        <v>116</v>
      </c>
      <c r="E20" s="43" t="s">
        <v>117</v>
      </c>
      <c r="F20" s="43" t="s">
        <v>53</v>
      </c>
      <c r="G20" s="43" t="s">
        <v>118</v>
      </c>
      <c r="H20" s="35" t="s">
        <v>35</v>
      </c>
      <c r="I20" s="45" t="s">
        <v>36</v>
      </c>
      <c r="J20" s="46"/>
      <c r="K20" s="47" t="s">
        <v>37</v>
      </c>
      <c r="L20" s="34"/>
      <c r="M20" s="34"/>
      <c r="N20" s="34"/>
      <c r="O20" s="34"/>
      <c r="P20" s="34"/>
      <c r="Q20" s="34"/>
      <c r="R20" s="34"/>
      <c r="S20" s="34"/>
      <c r="T20" s="34"/>
      <c r="U20" s="34"/>
      <c r="V20" s="34"/>
      <c r="W20" s="34"/>
      <c r="X20" s="34"/>
      <c r="Y20" s="34"/>
      <c r="Z20" s="34"/>
      <c r="AA20" s="34"/>
    </row>
    <row r="21">
      <c r="A21" s="35"/>
      <c r="B21" s="43" t="s">
        <v>119</v>
      </c>
      <c r="C21" s="43" t="s">
        <v>120</v>
      </c>
      <c r="D21" s="43" t="s">
        <v>121</v>
      </c>
      <c r="E21" s="43" t="s">
        <v>41</v>
      </c>
      <c r="F21" s="43" t="s">
        <v>122</v>
      </c>
      <c r="G21" s="43" t="s">
        <v>123</v>
      </c>
      <c r="H21" s="35" t="s">
        <v>35</v>
      </c>
      <c r="I21" s="45" t="s">
        <v>36</v>
      </c>
      <c r="J21" s="46"/>
      <c r="K21" s="47" t="s">
        <v>37</v>
      </c>
      <c r="L21" s="34"/>
      <c r="M21" s="34"/>
      <c r="N21" s="34"/>
      <c r="O21" s="34"/>
      <c r="P21" s="34"/>
      <c r="Q21" s="34"/>
      <c r="R21" s="34"/>
      <c r="S21" s="34"/>
      <c r="T21" s="34"/>
      <c r="U21" s="34"/>
      <c r="V21" s="34"/>
      <c r="W21" s="34"/>
      <c r="X21" s="34"/>
      <c r="Y21" s="34"/>
      <c r="Z21" s="34"/>
      <c r="AA21" s="34"/>
    </row>
    <row r="22">
      <c r="A22" s="35"/>
      <c r="B22" s="43" t="s">
        <v>124</v>
      </c>
      <c r="C22" s="43" t="s">
        <v>125</v>
      </c>
      <c r="D22" s="43" t="s">
        <v>126</v>
      </c>
      <c r="E22" s="43" t="s">
        <v>41</v>
      </c>
      <c r="F22" s="43" t="s">
        <v>127</v>
      </c>
      <c r="G22" s="43" t="s">
        <v>128</v>
      </c>
      <c r="H22" s="35" t="s">
        <v>35</v>
      </c>
      <c r="I22" s="45" t="s">
        <v>111</v>
      </c>
      <c r="J22" s="42" t="s">
        <v>129</v>
      </c>
      <c r="K22" s="47" t="s">
        <v>113</v>
      </c>
      <c r="L22" s="34"/>
      <c r="M22" s="34"/>
      <c r="N22" s="34"/>
      <c r="O22" s="34"/>
      <c r="P22" s="34"/>
      <c r="Q22" s="34"/>
      <c r="R22" s="34"/>
      <c r="S22" s="34"/>
      <c r="T22" s="34"/>
      <c r="U22" s="34"/>
      <c r="V22" s="34"/>
      <c r="W22" s="34"/>
      <c r="X22" s="34"/>
      <c r="Y22" s="34"/>
      <c r="Z22" s="34"/>
      <c r="AA22" s="34"/>
    </row>
    <row r="23">
      <c r="A23" s="35"/>
      <c r="B23" s="43" t="s">
        <v>124</v>
      </c>
      <c r="C23" s="43" t="s">
        <v>130</v>
      </c>
      <c r="D23" s="43" t="s">
        <v>131</v>
      </c>
      <c r="E23" s="43" t="s">
        <v>132</v>
      </c>
      <c r="F23" s="43" t="s">
        <v>53</v>
      </c>
      <c r="G23" s="43" t="s">
        <v>133</v>
      </c>
      <c r="H23" s="35" t="s">
        <v>35</v>
      </c>
      <c r="I23" s="45" t="s">
        <v>36</v>
      </c>
      <c r="J23" s="46"/>
      <c r="K23" s="47" t="s">
        <v>37</v>
      </c>
      <c r="L23" s="34"/>
      <c r="M23" s="34"/>
      <c r="N23" s="34"/>
      <c r="O23" s="34"/>
      <c r="P23" s="34"/>
      <c r="Q23" s="34"/>
      <c r="R23" s="34"/>
      <c r="S23" s="34"/>
      <c r="T23" s="34"/>
      <c r="U23" s="34"/>
      <c r="V23" s="34"/>
      <c r="W23" s="34"/>
      <c r="X23" s="34"/>
      <c r="Y23" s="34"/>
      <c r="Z23" s="34"/>
      <c r="AA23" s="34"/>
    </row>
    <row r="24">
      <c r="A24" s="35"/>
      <c r="B24" s="43" t="s">
        <v>134</v>
      </c>
      <c r="C24" s="43" t="s">
        <v>135</v>
      </c>
      <c r="D24" s="43" t="s">
        <v>136</v>
      </c>
      <c r="E24" s="43" t="s">
        <v>137</v>
      </c>
      <c r="F24" s="43" t="s">
        <v>53</v>
      </c>
      <c r="G24" s="43" t="s">
        <v>118</v>
      </c>
      <c r="H24" s="35" t="s">
        <v>35</v>
      </c>
      <c r="I24" s="45" t="s">
        <v>36</v>
      </c>
      <c r="J24" s="46"/>
      <c r="K24" s="47" t="s">
        <v>37</v>
      </c>
      <c r="L24" s="34"/>
      <c r="M24" s="34"/>
      <c r="N24" s="34"/>
      <c r="O24" s="34"/>
      <c r="P24" s="34"/>
      <c r="Q24" s="34"/>
      <c r="R24" s="34"/>
      <c r="S24" s="34"/>
      <c r="T24" s="34"/>
      <c r="U24" s="34"/>
      <c r="V24" s="34"/>
      <c r="W24" s="34"/>
      <c r="X24" s="34"/>
      <c r="Y24" s="34"/>
      <c r="Z24" s="34"/>
      <c r="AA24" s="34"/>
    </row>
    <row r="25">
      <c r="A25" s="49"/>
      <c r="B25" s="42" t="s">
        <v>138</v>
      </c>
      <c r="C25" s="42" t="s">
        <v>139</v>
      </c>
      <c r="D25" s="42" t="s">
        <v>140</v>
      </c>
      <c r="E25" s="42" t="s">
        <v>141</v>
      </c>
      <c r="F25" s="42" t="s">
        <v>53</v>
      </c>
      <c r="G25" s="42" t="s">
        <v>142</v>
      </c>
      <c r="H25" s="35" t="s">
        <v>35</v>
      </c>
      <c r="I25" s="50" t="s">
        <v>111</v>
      </c>
      <c r="J25" s="42" t="s">
        <v>143</v>
      </c>
      <c r="K25" s="47" t="s">
        <v>113</v>
      </c>
      <c r="L25" s="51"/>
      <c r="M25" s="51"/>
      <c r="N25" s="51"/>
      <c r="O25" s="51"/>
      <c r="P25" s="51"/>
      <c r="Q25" s="51"/>
      <c r="R25" s="51"/>
      <c r="S25" s="51"/>
      <c r="T25" s="51"/>
      <c r="U25" s="51"/>
      <c r="V25" s="51"/>
      <c r="W25" s="51"/>
      <c r="X25" s="51"/>
      <c r="Y25" s="51"/>
      <c r="Z25" s="51"/>
      <c r="AA25" s="51"/>
    </row>
    <row r="26">
      <c r="A26" s="49"/>
      <c r="B26" s="43" t="s">
        <v>144</v>
      </c>
      <c r="C26" s="43" t="s">
        <v>145</v>
      </c>
      <c r="D26" s="43" t="s">
        <v>146</v>
      </c>
      <c r="E26" s="43" t="s">
        <v>147</v>
      </c>
      <c r="F26" s="43" t="s">
        <v>148</v>
      </c>
      <c r="G26" s="43" t="s">
        <v>149</v>
      </c>
      <c r="H26" s="35" t="s">
        <v>35</v>
      </c>
      <c r="I26" s="45" t="s">
        <v>111</v>
      </c>
      <c r="J26" s="42" t="s">
        <v>150</v>
      </c>
      <c r="K26" s="47" t="s">
        <v>113</v>
      </c>
      <c r="L26" s="51"/>
      <c r="M26" s="51"/>
      <c r="N26" s="51"/>
      <c r="O26" s="51"/>
      <c r="P26" s="51"/>
      <c r="Q26" s="51"/>
      <c r="R26" s="51"/>
      <c r="S26" s="51"/>
      <c r="T26" s="51"/>
      <c r="U26" s="51"/>
      <c r="V26" s="51"/>
      <c r="W26" s="51"/>
      <c r="X26" s="51"/>
      <c r="Y26" s="51"/>
      <c r="Z26" s="51"/>
      <c r="AA26" s="51"/>
    </row>
    <row r="27">
      <c r="A27" s="49"/>
      <c r="B27" s="52"/>
      <c r="C27" s="52"/>
      <c r="D27" s="52"/>
      <c r="E27" s="53" t="s">
        <v>151</v>
      </c>
      <c r="F27" s="52"/>
      <c r="G27" s="52"/>
      <c r="H27" s="54"/>
      <c r="I27" s="45"/>
      <c r="J27" s="55"/>
      <c r="K27" s="55"/>
      <c r="L27" s="51"/>
      <c r="M27" s="51"/>
      <c r="N27" s="51"/>
      <c r="O27" s="51"/>
      <c r="P27" s="51"/>
      <c r="Q27" s="51"/>
      <c r="R27" s="51"/>
      <c r="S27" s="51"/>
      <c r="T27" s="51"/>
      <c r="U27" s="51"/>
      <c r="V27" s="51"/>
      <c r="W27" s="51"/>
      <c r="X27" s="51"/>
      <c r="Y27" s="51"/>
      <c r="Z27" s="51"/>
      <c r="AA27" s="51"/>
    </row>
    <row r="28">
      <c r="A28" s="49"/>
      <c r="B28" s="43" t="s">
        <v>152</v>
      </c>
      <c r="C28" s="43" t="s">
        <v>153</v>
      </c>
      <c r="D28" s="43" t="s">
        <v>154</v>
      </c>
      <c r="E28" s="43" t="s">
        <v>155</v>
      </c>
      <c r="F28" s="48" t="s">
        <v>156</v>
      </c>
      <c r="G28" s="43" t="s">
        <v>157</v>
      </c>
      <c r="H28" s="56" t="s">
        <v>35</v>
      </c>
      <c r="I28" s="45" t="s">
        <v>36</v>
      </c>
      <c r="J28" s="46"/>
      <c r="K28" s="47" t="s">
        <v>37</v>
      </c>
      <c r="L28" s="51"/>
      <c r="M28" s="51"/>
      <c r="N28" s="51"/>
      <c r="O28" s="51"/>
      <c r="P28" s="51"/>
      <c r="Q28" s="51"/>
      <c r="R28" s="51"/>
      <c r="S28" s="51"/>
      <c r="T28" s="51"/>
      <c r="U28" s="51"/>
      <c r="V28" s="51"/>
      <c r="W28" s="51"/>
      <c r="X28" s="51"/>
      <c r="Y28" s="51"/>
      <c r="Z28" s="51"/>
      <c r="AA28" s="51"/>
    </row>
    <row r="29">
      <c r="A29" s="49"/>
      <c r="B29" s="43" t="s">
        <v>158</v>
      </c>
      <c r="C29" s="43" t="s">
        <v>159</v>
      </c>
      <c r="D29" s="43" t="s">
        <v>160</v>
      </c>
      <c r="E29" s="43" t="s">
        <v>155</v>
      </c>
      <c r="F29" s="43" t="s">
        <v>161</v>
      </c>
      <c r="G29" s="43" t="s">
        <v>162</v>
      </c>
      <c r="H29" s="56" t="s">
        <v>35</v>
      </c>
      <c r="I29" s="45" t="s">
        <v>36</v>
      </c>
      <c r="J29" s="46"/>
      <c r="K29" s="47" t="s">
        <v>37</v>
      </c>
      <c r="L29" s="51"/>
      <c r="M29" s="51"/>
      <c r="N29" s="51"/>
      <c r="O29" s="51"/>
      <c r="P29" s="51"/>
      <c r="Q29" s="51"/>
      <c r="R29" s="51"/>
      <c r="S29" s="51"/>
      <c r="T29" s="51"/>
      <c r="U29" s="51"/>
      <c r="V29" s="51"/>
      <c r="W29" s="51"/>
      <c r="X29" s="51"/>
      <c r="Y29" s="51"/>
      <c r="Z29" s="51"/>
      <c r="AA29" s="51"/>
    </row>
    <row r="30">
      <c r="A30" s="49"/>
      <c r="B30" s="43" t="s">
        <v>163</v>
      </c>
      <c r="C30" s="43" t="s">
        <v>164</v>
      </c>
      <c r="D30" s="43" t="s">
        <v>165</v>
      </c>
      <c r="E30" s="43" t="s">
        <v>166</v>
      </c>
      <c r="F30" s="43" t="s">
        <v>167</v>
      </c>
      <c r="G30" s="43" t="s">
        <v>168</v>
      </c>
      <c r="H30" s="35" t="s">
        <v>35</v>
      </c>
      <c r="I30" s="45" t="s">
        <v>36</v>
      </c>
      <c r="J30" s="46"/>
      <c r="K30" s="47" t="s">
        <v>37</v>
      </c>
      <c r="L30" s="51"/>
      <c r="M30" s="51"/>
      <c r="N30" s="51"/>
      <c r="O30" s="51"/>
      <c r="P30" s="51"/>
      <c r="Q30" s="51"/>
      <c r="R30" s="51"/>
      <c r="S30" s="51"/>
      <c r="T30" s="51"/>
      <c r="U30" s="51"/>
      <c r="V30" s="51"/>
      <c r="W30" s="51"/>
      <c r="X30" s="51"/>
      <c r="Y30" s="51"/>
      <c r="Z30" s="51"/>
      <c r="AA30" s="51"/>
    </row>
    <row r="31">
      <c r="A31" s="49"/>
      <c r="B31" s="43" t="s">
        <v>169</v>
      </c>
      <c r="C31" s="43" t="s">
        <v>170</v>
      </c>
      <c r="D31" s="43" t="s">
        <v>171</v>
      </c>
      <c r="E31" s="43" t="s">
        <v>166</v>
      </c>
      <c r="F31" s="43" t="s">
        <v>172</v>
      </c>
      <c r="G31" s="48" t="s">
        <v>173</v>
      </c>
      <c r="H31" s="35" t="s">
        <v>35</v>
      </c>
      <c r="I31" s="45" t="s">
        <v>36</v>
      </c>
      <c r="J31" s="57"/>
      <c r="K31" s="58" t="s">
        <v>37</v>
      </c>
      <c r="L31" s="51"/>
      <c r="M31" s="51"/>
      <c r="N31" s="51"/>
      <c r="O31" s="51"/>
      <c r="P31" s="51"/>
      <c r="Q31" s="51"/>
      <c r="R31" s="51"/>
      <c r="S31" s="51"/>
      <c r="T31" s="51"/>
      <c r="U31" s="51"/>
      <c r="V31" s="51"/>
      <c r="W31" s="51"/>
      <c r="X31" s="51"/>
      <c r="Y31" s="51"/>
      <c r="Z31" s="51"/>
      <c r="AA31" s="51"/>
    </row>
    <row r="32">
      <c r="A32" s="49"/>
      <c r="B32" s="43" t="s">
        <v>174</v>
      </c>
      <c r="C32" s="43" t="s">
        <v>175</v>
      </c>
      <c r="D32" s="43" t="s">
        <v>176</v>
      </c>
      <c r="E32" s="43" t="s">
        <v>155</v>
      </c>
      <c r="F32" s="43" t="s">
        <v>161</v>
      </c>
      <c r="G32" s="48" t="s">
        <v>177</v>
      </c>
      <c r="H32" s="35" t="s">
        <v>35</v>
      </c>
      <c r="I32" s="45" t="s">
        <v>36</v>
      </c>
      <c r="J32" s="57"/>
      <c r="K32" s="58" t="s">
        <v>37</v>
      </c>
      <c r="L32" s="51"/>
      <c r="M32" s="51"/>
      <c r="N32" s="51"/>
      <c r="O32" s="51"/>
      <c r="P32" s="51"/>
      <c r="Q32" s="51"/>
      <c r="R32" s="51"/>
      <c r="S32" s="51"/>
      <c r="T32" s="51"/>
      <c r="U32" s="51"/>
      <c r="V32" s="51"/>
      <c r="W32" s="51"/>
      <c r="X32" s="51"/>
      <c r="Y32" s="51"/>
      <c r="Z32" s="51"/>
      <c r="AA32" s="51"/>
    </row>
    <row r="33">
      <c r="A33" s="49"/>
      <c r="B33" s="43" t="s">
        <v>178</v>
      </c>
      <c r="C33" s="43" t="s">
        <v>179</v>
      </c>
      <c r="D33" s="43" t="s">
        <v>180</v>
      </c>
      <c r="E33" s="43" t="s">
        <v>166</v>
      </c>
      <c r="F33" s="43" t="s">
        <v>181</v>
      </c>
      <c r="G33" s="43" t="s">
        <v>182</v>
      </c>
      <c r="H33" s="35" t="s">
        <v>35</v>
      </c>
      <c r="I33" s="45" t="s">
        <v>36</v>
      </c>
      <c r="J33" s="57"/>
      <c r="K33" s="58" t="s">
        <v>37</v>
      </c>
      <c r="L33" s="51"/>
      <c r="M33" s="51"/>
      <c r="N33" s="51"/>
      <c r="O33" s="51"/>
      <c r="P33" s="51"/>
      <c r="Q33" s="51"/>
      <c r="R33" s="51"/>
      <c r="S33" s="51"/>
      <c r="T33" s="51"/>
      <c r="U33" s="51"/>
      <c r="V33" s="51"/>
      <c r="W33" s="51"/>
      <c r="X33" s="51"/>
      <c r="Y33" s="51"/>
      <c r="Z33" s="51"/>
      <c r="AA33" s="51"/>
    </row>
    <row r="34">
      <c r="A34" s="49"/>
      <c r="B34" s="59" t="s">
        <v>183</v>
      </c>
      <c r="C34" s="59" t="s">
        <v>184</v>
      </c>
      <c r="D34" s="59" t="s">
        <v>185</v>
      </c>
      <c r="E34" s="59" t="s">
        <v>166</v>
      </c>
      <c r="F34" s="59" t="s">
        <v>186</v>
      </c>
      <c r="G34" s="59" t="s">
        <v>187</v>
      </c>
      <c r="H34" s="49"/>
      <c r="I34" s="45" t="s">
        <v>36</v>
      </c>
      <c r="J34" s="57"/>
      <c r="K34" s="58" t="s">
        <v>37</v>
      </c>
      <c r="L34" s="51"/>
      <c r="M34" s="51"/>
      <c r="N34" s="51"/>
      <c r="O34" s="51"/>
      <c r="P34" s="51"/>
      <c r="Q34" s="51"/>
      <c r="R34" s="51"/>
      <c r="S34" s="51"/>
      <c r="T34" s="51"/>
      <c r="U34" s="51"/>
      <c r="V34" s="51"/>
      <c r="W34" s="51"/>
      <c r="X34" s="51"/>
      <c r="Y34" s="51"/>
      <c r="Z34" s="51"/>
      <c r="AA34" s="51"/>
    </row>
    <row r="35">
      <c r="A35" s="49"/>
      <c r="B35" s="57"/>
      <c r="C35" s="57"/>
      <c r="D35" s="57"/>
      <c r="E35" s="57"/>
      <c r="F35" s="57"/>
      <c r="G35" s="57"/>
      <c r="H35" s="49"/>
      <c r="I35" s="49"/>
      <c r="J35" s="57"/>
      <c r="K35" s="57"/>
      <c r="L35" s="51"/>
      <c r="M35" s="51"/>
      <c r="N35" s="51"/>
      <c r="O35" s="51"/>
      <c r="P35" s="51"/>
      <c r="Q35" s="51"/>
      <c r="R35" s="51"/>
      <c r="S35" s="51"/>
      <c r="T35" s="51"/>
      <c r="U35" s="51"/>
      <c r="V35" s="51"/>
      <c r="W35" s="51"/>
      <c r="X35" s="51"/>
      <c r="Y35" s="51"/>
      <c r="Z35" s="51"/>
      <c r="AA35" s="51"/>
    </row>
    <row r="36">
      <c r="A36" s="49"/>
      <c r="B36" s="60"/>
      <c r="C36" s="60"/>
      <c r="D36" s="60"/>
      <c r="E36" s="61" t="s">
        <v>188</v>
      </c>
      <c r="F36" s="60"/>
      <c r="G36" s="60"/>
      <c r="H36" s="62"/>
      <c r="I36" s="62"/>
      <c r="J36" s="60"/>
      <c r="K36" s="60"/>
      <c r="L36" s="51"/>
      <c r="M36" s="51"/>
      <c r="N36" s="51"/>
      <c r="O36" s="51"/>
      <c r="P36" s="51"/>
      <c r="Q36" s="51"/>
      <c r="R36" s="51"/>
      <c r="S36" s="51"/>
      <c r="T36" s="51"/>
      <c r="U36" s="51"/>
      <c r="V36" s="51"/>
      <c r="W36" s="51"/>
      <c r="X36" s="51"/>
      <c r="Y36" s="51"/>
      <c r="Z36" s="51"/>
      <c r="AA36" s="51"/>
    </row>
    <row r="37">
      <c r="A37" s="49"/>
      <c r="B37" s="59" t="s">
        <v>29</v>
      </c>
      <c r="C37" s="59" t="s">
        <v>30</v>
      </c>
      <c r="D37" s="59" t="s">
        <v>31</v>
      </c>
      <c r="E37" s="59" t="s">
        <v>32</v>
      </c>
      <c r="F37" s="59" t="s">
        <v>33</v>
      </c>
      <c r="G37" s="59" t="s">
        <v>34</v>
      </c>
      <c r="H37" s="35" t="s">
        <v>189</v>
      </c>
      <c r="I37" s="45" t="s">
        <v>36</v>
      </c>
      <c r="J37" s="57"/>
      <c r="K37" s="47" t="s">
        <v>37</v>
      </c>
      <c r="L37" s="51"/>
      <c r="M37" s="51"/>
      <c r="N37" s="51"/>
      <c r="O37" s="51"/>
      <c r="P37" s="51"/>
      <c r="Q37" s="51"/>
      <c r="R37" s="51"/>
      <c r="S37" s="51"/>
      <c r="T37" s="51"/>
      <c r="U37" s="51"/>
      <c r="V37" s="51"/>
      <c r="W37" s="51"/>
      <c r="X37" s="51"/>
      <c r="Y37" s="51"/>
      <c r="Z37" s="51"/>
      <c r="AA37" s="51"/>
    </row>
    <row r="38">
      <c r="A38" s="49"/>
      <c r="B38" s="59" t="s">
        <v>38</v>
      </c>
      <c r="C38" s="59" t="s">
        <v>39</v>
      </c>
      <c r="D38" s="59" t="s">
        <v>40</v>
      </c>
      <c r="E38" s="63" t="s">
        <v>41</v>
      </c>
      <c r="F38" s="63" t="s">
        <v>42</v>
      </c>
      <c r="G38" s="59" t="s">
        <v>43</v>
      </c>
      <c r="H38" s="35" t="s">
        <v>189</v>
      </c>
      <c r="I38" s="45" t="s">
        <v>36</v>
      </c>
      <c r="J38" s="57"/>
      <c r="K38" s="47" t="s">
        <v>37</v>
      </c>
      <c r="L38" s="51"/>
      <c r="M38" s="51"/>
      <c r="N38" s="51"/>
      <c r="O38" s="51"/>
      <c r="P38" s="51"/>
      <c r="Q38" s="51"/>
      <c r="R38" s="51"/>
      <c r="S38" s="51"/>
      <c r="T38" s="51"/>
      <c r="U38" s="51"/>
      <c r="V38" s="51"/>
      <c r="W38" s="51"/>
      <c r="X38" s="51"/>
      <c r="Y38" s="51"/>
      <c r="Z38" s="51"/>
      <c r="AA38" s="51"/>
    </row>
    <row r="39">
      <c r="A39" s="49"/>
      <c r="B39" s="59" t="s">
        <v>44</v>
      </c>
      <c r="C39" s="59" t="s">
        <v>45</v>
      </c>
      <c r="D39" s="59" t="s">
        <v>46</v>
      </c>
      <c r="E39" s="63" t="s">
        <v>41</v>
      </c>
      <c r="F39" s="63" t="s">
        <v>47</v>
      </c>
      <c r="G39" s="59" t="s">
        <v>48</v>
      </c>
      <c r="H39" s="35" t="s">
        <v>189</v>
      </c>
      <c r="I39" s="45" t="s">
        <v>36</v>
      </c>
      <c r="J39" s="57"/>
      <c r="K39" s="47" t="s">
        <v>37</v>
      </c>
      <c r="L39" s="51"/>
      <c r="M39" s="51"/>
      <c r="N39" s="51"/>
      <c r="O39" s="51"/>
      <c r="P39" s="51"/>
      <c r="Q39" s="51"/>
      <c r="R39" s="51"/>
      <c r="S39" s="51"/>
      <c r="T39" s="51"/>
      <c r="U39" s="51"/>
      <c r="V39" s="51"/>
      <c r="W39" s="51"/>
      <c r="X39" s="51"/>
      <c r="Y39" s="51"/>
      <c r="Z39" s="51"/>
      <c r="AA39" s="51"/>
    </row>
    <row r="40">
      <c r="A40" s="49"/>
      <c r="B40" s="59" t="s">
        <v>49</v>
      </c>
      <c r="C40" s="59" t="s">
        <v>50</v>
      </c>
      <c r="D40" s="59" t="s">
        <v>51</v>
      </c>
      <c r="E40" s="59" t="s">
        <v>52</v>
      </c>
      <c r="F40" s="59" t="s">
        <v>53</v>
      </c>
      <c r="G40" s="59" t="s">
        <v>54</v>
      </c>
      <c r="H40" s="35" t="s">
        <v>189</v>
      </c>
      <c r="I40" s="45" t="s">
        <v>36</v>
      </c>
      <c r="J40" s="57"/>
      <c r="K40" s="47" t="s">
        <v>37</v>
      </c>
      <c r="L40" s="51"/>
      <c r="M40" s="51"/>
      <c r="N40" s="51"/>
      <c r="O40" s="51"/>
      <c r="P40" s="51"/>
      <c r="Q40" s="51"/>
      <c r="R40" s="51"/>
      <c r="S40" s="51"/>
      <c r="T40" s="51"/>
      <c r="U40" s="51"/>
      <c r="V40" s="51"/>
      <c r="W40" s="51"/>
      <c r="X40" s="51"/>
      <c r="Y40" s="51"/>
      <c r="Z40" s="51"/>
      <c r="AA40" s="51"/>
    </row>
    <row r="41">
      <c r="A41" s="49"/>
      <c r="B41" s="59" t="s">
        <v>55</v>
      </c>
      <c r="C41" s="59" t="s">
        <v>56</v>
      </c>
      <c r="D41" s="59" t="s">
        <v>51</v>
      </c>
      <c r="E41" s="59" t="s">
        <v>57</v>
      </c>
      <c r="F41" s="59" t="s">
        <v>53</v>
      </c>
      <c r="G41" s="59" t="s">
        <v>54</v>
      </c>
      <c r="H41" s="35" t="s">
        <v>189</v>
      </c>
      <c r="I41" s="45" t="s">
        <v>36</v>
      </c>
      <c r="J41" s="57"/>
      <c r="K41" s="47" t="s">
        <v>37</v>
      </c>
      <c r="L41" s="51"/>
      <c r="M41" s="51"/>
      <c r="N41" s="51"/>
      <c r="O41" s="51"/>
      <c r="P41" s="51"/>
      <c r="Q41" s="51"/>
      <c r="R41" s="51"/>
      <c r="S41" s="51"/>
      <c r="T41" s="51"/>
      <c r="U41" s="51"/>
      <c r="V41" s="51"/>
      <c r="W41" s="51"/>
      <c r="X41" s="51"/>
      <c r="Y41" s="51"/>
      <c r="Z41" s="51"/>
      <c r="AA41" s="51"/>
    </row>
    <row r="42">
      <c r="A42" s="49"/>
      <c r="B42" s="59" t="s">
        <v>58</v>
      </c>
      <c r="C42" s="59" t="s">
        <v>59</v>
      </c>
      <c r="D42" s="59" t="s">
        <v>51</v>
      </c>
      <c r="E42" s="59" t="s">
        <v>60</v>
      </c>
      <c r="F42" s="59" t="s">
        <v>53</v>
      </c>
      <c r="G42" s="59" t="s">
        <v>54</v>
      </c>
      <c r="H42" s="35" t="s">
        <v>189</v>
      </c>
      <c r="I42" s="45" t="s">
        <v>36</v>
      </c>
      <c r="J42" s="57"/>
      <c r="K42" s="47" t="s">
        <v>37</v>
      </c>
      <c r="L42" s="51"/>
      <c r="M42" s="51"/>
      <c r="N42" s="51"/>
      <c r="O42" s="51"/>
      <c r="P42" s="51"/>
      <c r="Q42" s="51"/>
      <c r="R42" s="51"/>
      <c r="S42" s="51"/>
      <c r="T42" s="51"/>
      <c r="U42" s="51"/>
      <c r="V42" s="51"/>
      <c r="W42" s="51"/>
      <c r="X42" s="51"/>
      <c r="Y42" s="51"/>
      <c r="Z42" s="51"/>
      <c r="AA42" s="51"/>
    </row>
    <row r="43">
      <c r="A43" s="49"/>
      <c r="B43" s="59" t="s">
        <v>61</v>
      </c>
      <c r="C43" s="59" t="s">
        <v>62</v>
      </c>
      <c r="D43" s="59" t="s">
        <v>51</v>
      </c>
      <c r="E43" s="59" t="s">
        <v>63</v>
      </c>
      <c r="F43" s="59" t="s">
        <v>53</v>
      </c>
      <c r="G43" s="59" t="s">
        <v>54</v>
      </c>
      <c r="H43" s="35" t="s">
        <v>189</v>
      </c>
      <c r="I43" s="45" t="s">
        <v>36</v>
      </c>
      <c r="J43" s="57"/>
      <c r="K43" s="47" t="s">
        <v>37</v>
      </c>
      <c r="L43" s="51"/>
      <c r="M43" s="51"/>
      <c r="N43" s="51"/>
      <c r="O43" s="51"/>
      <c r="P43" s="51"/>
      <c r="Q43" s="51"/>
      <c r="R43" s="51"/>
      <c r="S43" s="51"/>
      <c r="T43" s="51"/>
      <c r="U43" s="51"/>
      <c r="V43" s="51"/>
      <c r="W43" s="51"/>
      <c r="X43" s="51"/>
      <c r="Y43" s="51"/>
      <c r="Z43" s="51"/>
      <c r="AA43" s="51"/>
    </row>
    <row r="44">
      <c r="A44" s="49"/>
      <c r="B44" s="59" t="s">
        <v>64</v>
      </c>
      <c r="C44" s="59" t="s">
        <v>65</v>
      </c>
      <c r="D44" s="59" t="s">
        <v>51</v>
      </c>
      <c r="E44" s="59" t="s">
        <v>66</v>
      </c>
      <c r="F44" s="59" t="s">
        <v>53</v>
      </c>
      <c r="G44" s="59" t="s">
        <v>54</v>
      </c>
      <c r="H44" s="35" t="s">
        <v>189</v>
      </c>
      <c r="I44" s="45" t="s">
        <v>36</v>
      </c>
      <c r="J44" s="57"/>
      <c r="K44" s="47" t="s">
        <v>37</v>
      </c>
      <c r="L44" s="51"/>
      <c r="M44" s="51"/>
      <c r="N44" s="51"/>
      <c r="O44" s="51"/>
      <c r="P44" s="51"/>
      <c r="Q44" s="51"/>
      <c r="R44" s="51"/>
      <c r="S44" s="51"/>
      <c r="T44" s="51"/>
      <c r="U44" s="51"/>
      <c r="V44" s="51"/>
      <c r="W44" s="51"/>
      <c r="X44" s="51"/>
      <c r="Y44" s="51"/>
      <c r="Z44" s="51"/>
      <c r="AA44" s="51"/>
    </row>
    <row r="45">
      <c r="A45" s="49"/>
      <c r="B45" s="59" t="s">
        <v>67</v>
      </c>
      <c r="C45" s="59" t="s">
        <v>68</v>
      </c>
      <c r="D45" s="59" t="s">
        <v>51</v>
      </c>
      <c r="E45" s="59" t="s">
        <v>69</v>
      </c>
      <c r="F45" s="59" t="s">
        <v>53</v>
      </c>
      <c r="G45" s="59" t="s">
        <v>70</v>
      </c>
      <c r="H45" s="35" t="s">
        <v>189</v>
      </c>
      <c r="I45" s="45" t="s">
        <v>36</v>
      </c>
      <c r="J45" s="57"/>
      <c r="K45" s="47" t="s">
        <v>37</v>
      </c>
      <c r="L45" s="51"/>
      <c r="M45" s="51"/>
      <c r="N45" s="51"/>
      <c r="O45" s="51"/>
      <c r="P45" s="51"/>
      <c r="Q45" s="51"/>
      <c r="R45" s="51"/>
      <c r="S45" s="51"/>
      <c r="T45" s="51"/>
      <c r="U45" s="51"/>
      <c r="V45" s="51"/>
      <c r="W45" s="51"/>
      <c r="X45" s="51"/>
      <c r="Y45" s="51"/>
      <c r="Z45" s="51"/>
      <c r="AA45" s="51"/>
    </row>
    <row r="46">
      <c r="A46" s="49"/>
      <c r="B46" s="59" t="s">
        <v>71</v>
      </c>
      <c r="C46" s="59" t="s">
        <v>72</v>
      </c>
      <c r="D46" s="59" t="s">
        <v>73</v>
      </c>
      <c r="E46" s="63" t="s">
        <v>74</v>
      </c>
      <c r="F46" s="63" t="s">
        <v>53</v>
      </c>
      <c r="G46" s="59" t="s">
        <v>75</v>
      </c>
      <c r="H46" s="35" t="s">
        <v>189</v>
      </c>
      <c r="I46" s="45" t="s">
        <v>36</v>
      </c>
      <c r="J46" s="57"/>
      <c r="K46" s="47" t="s">
        <v>37</v>
      </c>
      <c r="L46" s="51"/>
      <c r="M46" s="51"/>
      <c r="N46" s="51"/>
      <c r="O46" s="51"/>
      <c r="P46" s="51"/>
      <c r="Q46" s="51"/>
      <c r="R46" s="51"/>
      <c r="S46" s="51"/>
      <c r="T46" s="51"/>
      <c r="U46" s="51"/>
      <c r="V46" s="51"/>
      <c r="W46" s="51"/>
      <c r="X46" s="51"/>
      <c r="Y46" s="51"/>
      <c r="Z46" s="51"/>
      <c r="AA46" s="51"/>
    </row>
    <row r="47">
      <c r="A47" s="49"/>
      <c r="B47" s="59" t="s">
        <v>76</v>
      </c>
      <c r="C47" s="59" t="s">
        <v>77</v>
      </c>
      <c r="D47" s="59" t="s">
        <v>78</v>
      </c>
      <c r="E47" s="63" t="s">
        <v>79</v>
      </c>
      <c r="F47" s="63" t="s">
        <v>53</v>
      </c>
      <c r="G47" s="59" t="s">
        <v>75</v>
      </c>
      <c r="H47" s="35" t="s">
        <v>189</v>
      </c>
      <c r="I47" s="45" t="s">
        <v>36</v>
      </c>
      <c r="J47" s="57"/>
      <c r="K47" s="47" t="s">
        <v>37</v>
      </c>
      <c r="L47" s="51"/>
      <c r="M47" s="51"/>
      <c r="N47" s="51"/>
      <c r="O47" s="51"/>
      <c r="P47" s="51"/>
      <c r="Q47" s="51"/>
      <c r="R47" s="51"/>
      <c r="S47" s="51"/>
      <c r="T47" s="51"/>
      <c r="U47" s="51"/>
      <c r="V47" s="51"/>
      <c r="W47" s="51"/>
      <c r="X47" s="51"/>
      <c r="Y47" s="51"/>
      <c r="Z47" s="51"/>
      <c r="AA47" s="51"/>
    </row>
    <row r="48">
      <c r="A48" s="49"/>
      <c r="B48" s="59" t="s">
        <v>80</v>
      </c>
      <c r="C48" s="59" t="s">
        <v>81</v>
      </c>
      <c r="D48" s="59" t="s">
        <v>82</v>
      </c>
      <c r="E48" s="63" t="s">
        <v>83</v>
      </c>
      <c r="F48" s="63" t="s">
        <v>53</v>
      </c>
      <c r="G48" s="59" t="s">
        <v>84</v>
      </c>
      <c r="H48" s="35" t="s">
        <v>189</v>
      </c>
      <c r="I48" s="45" t="s">
        <v>36</v>
      </c>
      <c r="J48" s="57"/>
      <c r="K48" s="47" t="s">
        <v>37</v>
      </c>
      <c r="L48" s="51"/>
      <c r="M48" s="51"/>
      <c r="N48" s="51"/>
      <c r="O48" s="51"/>
      <c r="P48" s="51"/>
      <c r="Q48" s="51"/>
      <c r="R48" s="51"/>
      <c r="S48" s="51"/>
      <c r="T48" s="51"/>
      <c r="U48" s="51"/>
      <c r="V48" s="51"/>
      <c r="W48" s="51"/>
      <c r="X48" s="51"/>
      <c r="Y48" s="51"/>
      <c r="Z48" s="51"/>
      <c r="AA48" s="51"/>
    </row>
    <row r="49">
      <c r="A49" s="49"/>
      <c r="B49" s="59" t="s">
        <v>85</v>
      </c>
      <c r="C49" s="59" t="s">
        <v>86</v>
      </c>
      <c r="D49" s="59" t="s">
        <v>87</v>
      </c>
      <c r="E49" s="63" t="s">
        <v>88</v>
      </c>
      <c r="F49" s="63" t="s">
        <v>53</v>
      </c>
      <c r="G49" s="59" t="s">
        <v>89</v>
      </c>
      <c r="H49" s="35" t="s">
        <v>189</v>
      </c>
      <c r="I49" s="45" t="s">
        <v>36</v>
      </c>
      <c r="J49" s="57"/>
      <c r="K49" s="47" t="s">
        <v>37</v>
      </c>
      <c r="L49" s="51"/>
      <c r="M49" s="51"/>
      <c r="N49" s="51"/>
      <c r="O49" s="51"/>
      <c r="P49" s="51"/>
      <c r="Q49" s="51"/>
      <c r="R49" s="51"/>
      <c r="S49" s="51"/>
      <c r="T49" s="51"/>
      <c r="U49" s="51"/>
      <c r="V49" s="51"/>
      <c r="W49" s="51"/>
      <c r="X49" s="51"/>
      <c r="Y49" s="51"/>
      <c r="Z49" s="51"/>
      <c r="AA49" s="51"/>
    </row>
    <row r="50">
      <c r="A50" s="49"/>
      <c r="B50" s="59" t="s">
        <v>90</v>
      </c>
      <c r="C50" s="59" t="s">
        <v>91</v>
      </c>
      <c r="D50" s="59" t="s">
        <v>92</v>
      </c>
      <c r="E50" s="59" t="s">
        <v>93</v>
      </c>
      <c r="F50" s="59" t="s">
        <v>53</v>
      </c>
      <c r="G50" s="59" t="s">
        <v>84</v>
      </c>
      <c r="H50" s="35" t="s">
        <v>189</v>
      </c>
      <c r="I50" s="45" t="s">
        <v>36</v>
      </c>
      <c r="J50" s="57"/>
      <c r="K50" s="47" t="s">
        <v>37</v>
      </c>
      <c r="L50" s="51"/>
      <c r="M50" s="51"/>
      <c r="N50" s="51"/>
      <c r="O50" s="51"/>
      <c r="P50" s="51"/>
      <c r="Q50" s="51"/>
      <c r="R50" s="51"/>
      <c r="S50" s="51"/>
      <c r="T50" s="51"/>
      <c r="U50" s="51"/>
      <c r="V50" s="51"/>
      <c r="W50" s="51"/>
      <c r="X50" s="51"/>
      <c r="Y50" s="51"/>
      <c r="Z50" s="51"/>
      <c r="AA50" s="51"/>
    </row>
    <row r="51">
      <c r="A51" s="49"/>
      <c r="B51" s="59" t="s">
        <v>94</v>
      </c>
      <c r="C51" s="59" t="s">
        <v>95</v>
      </c>
      <c r="D51" s="59" t="s">
        <v>96</v>
      </c>
      <c r="E51" s="59" t="s">
        <v>97</v>
      </c>
      <c r="F51" s="59" t="s">
        <v>98</v>
      </c>
      <c r="G51" s="59" t="s">
        <v>99</v>
      </c>
      <c r="H51" s="35" t="s">
        <v>189</v>
      </c>
      <c r="I51" s="45" t="s">
        <v>36</v>
      </c>
      <c r="J51" s="57"/>
      <c r="K51" s="47" t="s">
        <v>37</v>
      </c>
      <c r="L51" s="51"/>
      <c r="M51" s="51"/>
      <c r="N51" s="51"/>
      <c r="O51" s="51"/>
      <c r="P51" s="51"/>
      <c r="Q51" s="51"/>
      <c r="R51" s="51"/>
      <c r="S51" s="51"/>
      <c r="T51" s="51"/>
      <c r="U51" s="51"/>
      <c r="V51" s="51"/>
      <c r="W51" s="51"/>
      <c r="X51" s="51"/>
      <c r="Y51" s="51"/>
      <c r="Z51" s="51"/>
      <c r="AA51" s="51"/>
    </row>
    <row r="52">
      <c r="A52" s="49"/>
      <c r="B52" s="59" t="s">
        <v>100</v>
      </c>
      <c r="C52" s="59" t="s">
        <v>101</v>
      </c>
      <c r="D52" s="59" t="s">
        <v>102</v>
      </c>
      <c r="E52" s="59" t="s">
        <v>103</v>
      </c>
      <c r="F52" s="59" t="s">
        <v>53</v>
      </c>
      <c r="G52" s="59" t="s">
        <v>104</v>
      </c>
      <c r="H52" s="35" t="s">
        <v>189</v>
      </c>
      <c r="I52" s="45" t="s">
        <v>36</v>
      </c>
      <c r="J52" s="57"/>
      <c r="K52" s="47" t="s">
        <v>37</v>
      </c>
      <c r="L52" s="51"/>
      <c r="M52" s="51"/>
      <c r="N52" s="51"/>
      <c r="O52" s="51"/>
      <c r="P52" s="51"/>
      <c r="Q52" s="51"/>
      <c r="R52" s="51"/>
      <c r="S52" s="51"/>
      <c r="T52" s="51"/>
      <c r="U52" s="51"/>
      <c r="V52" s="51"/>
      <c r="W52" s="51"/>
      <c r="X52" s="51"/>
      <c r="Y52" s="51"/>
      <c r="Z52" s="51"/>
      <c r="AA52" s="51"/>
    </row>
    <row r="53">
      <c r="A53" s="49"/>
      <c r="B53" s="59" t="s">
        <v>105</v>
      </c>
      <c r="C53" s="59" t="s">
        <v>106</v>
      </c>
      <c r="D53" s="59" t="s">
        <v>107</v>
      </c>
      <c r="E53" s="59" t="s">
        <v>108</v>
      </c>
      <c r="F53" s="59" t="s">
        <v>109</v>
      </c>
      <c r="G53" s="59" t="s">
        <v>110</v>
      </c>
      <c r="H53" s="35" t="s">
        <v>189</v>
      </c>
      <c r="I53" s="45" t="s">
        <v>111</v>
      </c>
      <c r="J53" s="59" t="s">
        <v>112</v>
      </c>
      <c r="K53" s="47" t="s">
        <v>113</v>
      </c>
      <c r="L53" s="51"/>
      <c r="M53" s="51"/>
      <c r="N53" s="51"/>
      <c r="O53" s="51"/>
      <c r="P53" s="51"/>
      <c r="Q53" s="51"/>
      <c r="R53" s="51"/>
      <c r="S53" s="51"/>
      <c r="T53" s="51"/>
      <c r="U53" s="51"/>
      <c r="V53" s="51"/>
      <c r="W53" s="51"/>
      <c r="X53" s="51"/>
      <c r="Y53" s="51"/>
      <c r="Z53" s="51"/>
      <c r="AA53" s="51"/>
    </row>
    <row r="54">
      <c r="A54" s="64"/>
      <c r="B54" s="42" t="s">
        <v>114</v>
      </c>
      <c r="C54" s="42" t="s">
        <v>115</v>
      </c>
      <c r="D54" s="42" t="s">
        <v>116</v>
      </c>
      <c r="E54" s="42" t="s">
        <v>117</v>
      </c>
      <c r="F54" s="42" t="s">
        <v>53</v>
      </c>
      <c r="G54" s="42" t="s">
        <v>118</v>
      </c>
      <c r="H54" s="35" t="s">
        <v>189</v>
      </c>
      <c r="I54" s="45" t="s">
        <v>36</v>
      </c>
      <c r="J54" s="46"/>
      <c r="K54" s="47" t="s">
        <v>37</v>
      </c>
      <c r="L54" s="51"/>
      <c r="M54" s="51"/>
      <c r="N54" s="51"/>
      <c r="O54" s="51"/>
      <c r="P54" s="51"/>
      <c r="Q54" s="51"/>
      <c r="R54" s="51"/>
      <c r="S54" s="51"/>
      <c r="T54" s="51"/>
      <c r="U54" s="51"/>
      <c r="V54" s="51"/>
      <c r="W54" s="51"/>
      <c r="X54" s="51"/>
      <c r="Y54" s="51"/>
      <c r="Z54" s="51"/>
      <c r="AA54" s="51"/>
    </row>
    <row r="55">
      <c r="A55" s="64"/>
      <c r="B55" s="42" t="s">
        <v>119</v>
      </c>
      <c r="C55" s="42" t="s">
        <v>120</v>
      </c>
      <c r="D55" s="42" t="s">
        <v>121</v>
      </c>
      <c r="E55" s="42" t="s">
        <v>41</v>
      </c>
      <c r="F55" s="42" t="s">
        <v>122</v>
      </c>
      <c r="G55" s="42" t="s">
        <v>123</v>
      </c>
      <c r="H55" s="35" t="s">
        <v>189</v>
      </c>
      <c r="I55" s="45" t="s">
        <v>36</v>
      </c>
      <c r="J55" s="46"/>
      <c r="K55" s="47" t="s">
        <v>37</v>
      </c>
      <c r="L55" s="51"/>
      <c r="M55" s="51"/>
      <c r="N55" s="51"/>
      <c r="O55" s="51"/>
      <c r="P55" s="51"/>
      <c r="Q55" s="51"/>
      <c r="R55" s="51"/>
      <c r="S55" s="51"/>
      <c r="T55" s="51"/>
      <c r="U55" s="51"/>
      <c r="V55" s="51"/>
      <c r="W55" s="51"/>
      <c r="X55" s="51"/>
      <c r="Y55" s="51"/>
      <c r="Z55" s="51"/>
      <c r="AA55" s="51"/>
    </row>
    <row r="56">
      <c r="A56" s="64"/>
      <c r="B56" s="42" t="s">
        <v>124</v>
      </c>
      <c r="C56" s="42" t="s">
        <v>125</v>
      </c>
      <c r="D56" s="42" t="s">
        <v>126</v>
      </c>
      <c r="E56" s="42" t="s">
        <v>41</v>
      </c>
      <c r="F56" s="42" t="s">
        <v>127</v>
      </c>
      <c r="G56" s="42" t="s">
        <v>128</v>
      </c>
      <c r="H56" s="35" t="s">
        <v>189</v>
      </c>
      <c r="I56" s="45" t="s">
        <v>111</v>
      </c>
      <c r="J56" s="42" t="s">
        <v>129</v>
      </c>
      <c r="K56" s="47" t="s">
        <v>113</v>
      </c>
      <c r="L56" s="51"/>
      <c r="M56" s="51"/>
      <c r="N56" s="51"/>
      <c r="O56" s="51"/>
      <c r="P56" s="51"/>
      <c r="Q56" s="51"/>
      <c r="R56" s="51"/>
      <c r="S56" s="51"/>
      <c r="T56" s="51"/>
      <c r="U56" s="51"/>
      <c r="V56" s="51"/>
      <c r="W56" s="51"/>
      <c r="X56" s="51"/>
      <c r="Y56" s="51"/>
      <c r="Z56" s="51"/>
      <c r="AA56" s="51"/>
    </row>
    <row r="57">
      <c r="A57" s="64"/>
      <c r="B57" s="42" t="s">
        <v>124</v>
      </c>
      <c r="C57" s="42" t="s">
        <v>130</v>
      </c>
      <c r="D57" s="42" t="s">
        <v>131</v>
      </c>
      <c r="E57" s="42" t="s">
        <v>132</v>
      </c>
      <c r="F57" s="42" t="s">
        <v>53</v>
      </c>
      <c r="G57" s="42" t="s">
        <v>133</v>
      </c>
      <c r="H57" s="35" t="s">
        <v>189</v>
      </c>
      <c r="I57" s="45" t="s">
        <v>36</v>
      </c>
      <c r="J57" s="46"/>
      <c r="K57" s="47" t="s">
        <v>37</v>
      </c>
      <c r="L57" s="51"/>
      <c r="M57" s="51"/>
      <c r="N57" s="51"/>
      <c r="O57" s="51"/>
      <c r="P57" s="51"/>
      <c r="Q57" s="51"/>
      <c r="R57" s="51"/>
      <c r="S57" s="51"/>
      <c r="T57" s="51"/>
      <c r="U57" s="51"/>
      <c r="V57" s="51"/>
      <c r="W57" s="51"/>
      <c r="X57" s="51"/>
      <c r="Y57" s="51"/>
      <c r="Z57" s="51"/>
      <c r="AA57" s="51"/>
    </row>
    <row r="58">
      <c r="A58" s="64"/>
      <c r="B58" s="42" t="s">
        <v>134</v>
      </c>
      <c r="C58" s="42" t="s">
        <v>135</v>
      </c>
      <c r="D58" s="42" t="s">
        <v>136</v>
      </c>
      <c r="E58" s="42" t="s">
        <v>137</v>
      </c>
      <c r="F58" s="42" t="s">
        <v>53</v>
      </c>
      <c r="G58" s="42" t="s">
        <v>118</v>
      </c>
      <c r="H58" s="35" t="s">
        <v>189</v>
      </c>
      <c r="I58" s="45" t="s">
        <v>36</v>
      </c>
      <c r="J58" s="46"/>
      <c r="K58" s="47" t="s">
        <v>37</v>
      </c>
      <c r="L58" s="51"/>
      <c r="M58" s="51"/>
      <c r="N58" s="51"/>
      <c r="O58" s="51"/>
      <c r="P58" s="51"/>
      <c r="Q58" s="51"/>
      <c r="R58" s="51"/>
      <c r="S58" s="51"/>
      <c r="T58" s="51"/>
      <c r="U58" s="51"/>
      <c r="V58" s="51"/>
      <c r="W58" s="51"/>
      <c r="X58" s="51"/>
      <c r="Y58" s="51"/>
      <c r="Z58" s="51"/>
      <c r="AA58" s="51"/>
    </row>
    <row r="59">
      <c r="A59" s="64"/>
      <c r="B59" s="42" t="s">
        <v>138</v>
      </c>
      <c r="C59" s="42" t="s">
        <v>139</v>
      </c>
      <c r="D59" s="42" t="s">
        <v>140</v>
      </c>
      <c r="E59" s="42" t="s">
        <v>141</v>
      </c>
      <c r="F59" s="42" t="s">
        <v>53</v>
      </c>
      <c r="G59" s="42" t="s">
        <v>142</v>
      </c>
      <c r="H59" s="35" t="s">
        <v>189</v>
      </c>
      <c r="I59" s="50" t="s">
        <v>111</v>
      </c>
      <c r="J59" s="42" t="s">
        <v>143</v>
      </c>
      <c r="K59" s="47" t="s">
        <v>113</v>
      </c>
      <c r="L59" s="51"/>
      <c r="M59" s="51"/>
      <c r="N59" s="51"/>
      <c r="O59" s="51"/>
      <c r="P59" s="51"/>
      <c r="Q59" s="51"/>
      <c r="R59" s="51"/>
      <c r="S59" s="51"/>
      <c r="T59" s="51"/>
      <c r="U59" s="51"/>
      <c r="V59" s="51"/>
      <c r="W59" s="51"/>
      <c r="X59" s="51"/>
      <c r="Y59" s="51"/>
      <c r="Z59" s="51"/>
      <c r="AA59" s="51"/>
    </row>
    <row r="60">
      <c r="A60" s="64"/>
      <c r="B60" s="42" t="s">
        <v>144</v>
      </c>
      <c r="C60" s="42" t="s">
        <v>145</v>
      </c>
      <c r="D60" s="42" t="s">
        <v>146</v>
      </c>
      <c r="E60" s="42" t="s">
        <v>147</v>
      </c>
      <c r="F60" s="42" t="s">
        <v>148</v>
      </c>
      <c r="G60" s="42" t="s">
        <v>149</v>
      </c>
      <c r="H60" s="35" t="s">
        <v>189</v>
      </c>
      <c r="I60" s="45" t="s">
        <v>111</v>
      </c>
      <c r="J60" s="42" t="s">
        <v>150</v>
      </c>
      <c r="K60" s="47" t="s">
        <v>113</v>
      </c>
      <c r="L60" s="51"/>
      <c r="M60" s="51"/>
      <c r="N60" s="51"/>
      <c r="O60" s="51"/>
      <c r="P60" s="51"/>
      <c r="Q60" s="51"/>
      <c r="R60" s="51"/>
      <c r="S60" s="51"/>
      <c r="T60" s="51"/>
      <c r="U60" s="51"/>
      <c r="V60" s="51"/>
      <c r="W60" s="51"/>
      <c r="X60" s="51"/>
      <c r="Y60" s="51"/>
      <c r="Z60" s="51"/>
      <c r="AA60" s="51"/>
    </row>
    <row r="61">
      <c r="A61" s="64"/>
      <c r="B61" s="55"/>
      <c r="C61" s="55"/>
      <c r="D61" s="55"/>
      <c r="E61" s="65" t="s">
        <v>151</v>
      </c>
      <c r="F61" s="55"/>
      <c r="G61" s="55"/>
      <c r="H61" s="66"/>
      <c r="I61" s="56"/>
      <c r="J61" s="55"/>
      <c r="K61" s="55"/>
      <c r="L61" s="51"/>
      <c r="M61" s="51"/>
      <c r="N61" s="51"/>
      <c r="O61" s="51"/>
      <c r="P61" s="51"/>
      <c r="Q61" s="51"/>
      <c r="R61" s="51"/>
      <c r="S61" s="51"/>
      <c r="T61" s="51"/>
      <c r="U61" s="51"/>
      <c r="V61" s="51"/>
      <c r="W61" s="51"/>
      <c r="X61" s="51"/>
      <c r="Y61" s="51"/>
      <c r="Z61" s="51"/>
      <c r="AA61" s="51"/>
    </row>
    <row r="62">
      <c r="A62" s="64"/>
      <c r="B62" s="42" t="s">
        <v>152</v>
      </c>
      <c r="C62" s="42" t="s">
        <v>153</v>
      </c>
      <c r="D62" s="42" t="s">
        <v>154</v>
      </c>
      <c r="E62" s="42" t="s">
        <v>155</v>
      </c>
      <c r="F62" s="67" t="s">
        <v>156</v>
      </c>
      <c r="G62" s="42" t="s">
        <v>157</v>
      </c>
      <c r="H62" s="35" t="s">
        <v>189</v>
      </c>
      <c r="I62" s="45" t="s">
        <v>36</v>
      </c>
      <c r="J62" s="46"/>
      <c r="K62" s="47" t="s">
        <v>37</v>
      </c>
      <c r="L62" s="51"/>
      <c r="M62" s="51"/>
      <c r="N62" s="51"/>
      <c r="O62" s="51"/>
      <c r="P62" s="51"/>
      <c r="Q62" s="51"/>
      <c r="R62" s="51"/>
      <c r="S62" s="51"/>
      <c r="T62" s="51"/>
      <c r="U62" s="51"/>
      <c r="V62" s="51"/>
      <c r="W62" s="51"/>
      <c r="X62" s="51"/>
      <c r="Y62" s="51"/>
      <c r="Z62" s="51"/>
      <c r="AA62" s="51"/>
    </row>
    <row r="63">
      <c r="A63" s="64"/>
      <c r="B63" s="42" t="s">
        <v>158</v>
      </c>
      <c r="C63" s="42" t="s">
        <v>159</v>
      </c>
      <c r="D63" s="42" t="s">
        <v>160</v>
      </c>
      <c r="E63" s="42" t="s">
        <v>155</v>
      </c>
      <c r="F63" s="42" t="s">
        <v>161</v>
      </c>
      <c r="G63" s="42" t="s">
        <v>162</v>
      </c>
      <c r="H63" s="35" t="s">
        <v>189</v>
      </c>
      <c r="I63" s="45" t="s">
        <v>36</v>
      </c>
      <c r="J63" s="46"/>
      <c r="K63" s="47" t="s">
        <v>37</v>
      </c>
      <c r="L63" s="51"/>
      <c r="M63" s="51"/>
      <c r="N63" s="51"/>
      <c r="O63" s="51"/>
      <c r="P63" s="51"/>
      <c r="Q63" s="51"/>
      <c r="R63" s="51"/>
      <c r="S63" s="51"/>
      <c r="T63" s="51"/>
      <c r="U63" s="51"/>
      <c r="V63" s="51"/>
      <c r="W63" s="51"/>
      <c r="X63" s="51"/>
      <c r="Y63" s="51"/>
      <c r="Z63" s="51"/>
      <c r="AA63" s="51"/>
    </row>
    <row r="64">
      <c r="A64" s="64"/>
      <c r="B64" s="42" t="s">
        <v>163</v>
      </c>
      <c r="C64" s="42" t="s">
        <v>164</v>
      </c>
      <c r="D64" s="42" t="s">
        <v>165</v>
      </c>
      <c r="E64" s="42" t="s">
        <v>166</v>
      </c>
      <c r="F64" s="42" t="s">
        <v>167</v>
      </c>
      <c r="G64" s="42" t="s">
        <v>168</v>
      </c>
      <c r="H64" s="35" t="s">
        <v>189</v>
      </c>
      <c r="I64" s="45" t="s">
        <v>36</v>
      </c>
      <c r="J64" s="46"/>
      <c r="K64" s="47" t="s">
        <v>37</v>
      </c>
      <c r="L64" s="51"/>
      <c r="M64" s="51"/>
      <c r="N64" s="51"/>
      <c r="O64" s="51"/>
      <c r="P64" s="51"/>
      <c r="Q64" s="51"/>
      <c r="R64" s="51"/>
      <c r="S64" s="51"/>
      <c r="T64" s="51"/>
      <c r="U64" s="51"/>
      <c r="V64" s="51"/>
      <c r="W64" s="51"/>
      <c r="X64" s="51"/>
      <c r="Y64" s="51"/>
      <c r="Z64" s="51"/>
      <c r="AA64" s="51"/>
    </row>
    <row r="65">
      <c r="A65" s="64"/>
      <c r="B65" s="42" t="s">
        <v>169</v>
      </c>
      <c r="C65" s="42" t="s">
        <v>170</v>
      </c>
      <c r="D65" s="42" t="s">
        <v>171</v>
      </c>
      <c r="E65" s="42" t="s">
        <v>166</v>
      </c>
      <c r="F65" s="42" t="s">
        <v>172</v>
      </c>
      <c r="G65" s="67" t="s">
        <v>173</v>
      </c>
      <c r="H65" s="35" t="s">
        <v>189</v>
      </c>
      <c r="I65" s="45" t="s">
        <v>36</v>
      </c>
      <c r="J65" s="46"/>
      <c r="K65" s="58" t="s">
        <v>37</v>
      </c>
      <c r="L65" s="51"/>
      <c r="M65" s="51"/>
      <c r="N65" s="51"/>
      <c r="O65" s="51"/>
      <c r="P65" s="51"/>
      <c r="Q65" s="51"/>
      <c r="R65" s="51"/>
      <c r="S65" s="51"/>
      <c r="T65" s="51"/>
      <c r="U65" s="51"/>
      <c r="V65" s="51"/>
      <c r="W65" s="51"/>
      <c r="X65" s="51"/>
      <c r="Y65" s="51"/>
      <c r="Z65" s="51"/>
      <c r="AA65" s="51"/>
    </row>
    <row r="66">
      <c r="A66" s="64"/>
      <c r="B66" s="42" t="s">
        <v>174</v>
      </c>
      <c r="C66" s="42" t="s">
        <v>175</v>
      </c>
      <c r="D66" s="42" t="s">
        <v>176</v>
      </c>
      <c r="E66" s="42" t="s">
        <v>155</v>
      </c>
      <c r="F66" s="42" t="s">
        <v>161</v>
      </c>
      <c r="G66" s="67" t="s">
        <v>177</v>
      </c>
      <c r="H66" s="35" t="s">
        <v>189</v>
      </c>
      <c r="I66" s="45" t="s">
        <v>36</v>
      </c>
      <c r="J66" s="46"/>
      <c r="K66" s="58" t="s">
        <v>37</v>
      </c>
      <c r="L66" s="51"/>
      <c r="M66" s="51"/>
      <c r="N66" s="51"/>
      <c r="O66" s="51"/>
      <c r="P66" s="51"/>
      <c r="Q66" s="51"/>
      <c r="R66" s="51"/>
      <c r="S66" s="51"/>
      <c r="T66" s="51"/>
      <c r="U66" s="51"/>
      <c r="V66" s="51"/>
      <c r="W66" s="51"/>
      <c r="X66" s="51"/>
      <c r="Y66" s="51"/>
      <c r="Z66" s="51"/>
      <c r="AA66" s="51"/>
    </row>
    <row r="67">
      <c r="A67" s="64"/>
      <c r="B67" s="42" t="s">
        <v>178</v>
      </c>
      <c r="C67" s="42" t="s">
        <v>179</v>
      </c>
      <c r="D67" s="42" t="s">
        <v>180</v>
      </c>
      <c r="E67" s="42" t="s">
        <v>166</v>
      </c>
      <c r="F67" s="42" t="s">
        <v>181</v>
      </c>
      <c r="G67" s="42" t="s">
        <v>182</v>
      </c>
      <c r="H67" s="35" t="s">
        <v>189</v>
      </c>
      <c r="I67" s="45" t="s">
        <v>36</v>
      </c>
      <c r="J67" s="46"/>
      <c r="K67" s="58" t="s">
        <v>37</v>
      </c>
      <c r="L67" s="51"/>
      <c r="M67" s="51"/>
      <c r="N67" s="51"/>
      <c r="O67" s="51"/>
      <c r="P67" s="51"/>
      <c r="Q67" s="51"/>
      <c r="R67" s="51"/>
      <c r="S67" s="51"/>
      <c r="T67" s="51"/>
      <c r="U67" s="51"/>
      <c r="V67" s="51"/>
      <c r="W67" s="51"/>
      <c r="X67" s="51"/>
      <c r="Y67" s="51"/>
      <c r="Z67" s="51"/>
      <c r="AA67" s="51"/>
    </row>
    <row r="68">
      <c r="A68" s="64"/>
      <c r="B68" s="42" t="s">
        <v>183</v>
      </c>
      <c r="C68" s="42" t="s">
        <v>184</v>
      </c>
      <c r="D68" s="42" t="s">
        <v>185</v>
      </c>
      <c r="E68" s="42" t="s">
        <v>166</v>
      </c>
      <c r="F68" s="42" t="s">
        <v>186</v>
      </c>
      <c r="G68" s="42" t="s">
        <v>187</v>
      </c>
      <c r="H68" s="35" t="s">
        <v>189</v>
      </c>
      <c r="I68" s="45" t="s">
        <v>36</v>
      </c>
      <c r="J68" s="46"/>
      <c r="K68" s="58" t="s">
        <v>37</v>
      </c>
      <c r="L68" s="51"/>
      <c r="M68" s="51"/>
      <c r="N68" s="51"/>
      <c r="O68" s="51"/>
      <c r="P68" s="51"/>
      <c r="Q68" s="51"/>
      <c r="R68" s="51"/>
      <c r="S68" s="51"/>
      <c r="T68" s="51"/>
      <c r="U68" s="51"/>
      <c r="V68" s="51"/>
      <c r="W68" s="51"/>
      <c r="X68" s="51"/>
      <c r="Y68" s="51"/>
      <c r="Z68" s="51"/>
      <c r="AA68" s="51"/>
    </row>
    <row r="69">
      <c r="A69" s="64"/>
      <c r="B69" s="46"/>
      <c r="C69" s="46"/>
      <c r="D69" s="46"/>
      <c r="E69" s="46"/>
      <c r="F69" s="46"/>
      <c r="G69" s="46"/>
      <c r="H69" s="56"/>
      <c r="I69" s="56"/>
      <c r="J69" s="46"/>
      <c r="K69" s="46"/>
      <c r="L69" s="51"/>
      <c r="M69" s="51"/>
      <c r="N69" s="51"/>
      <c r="O69" s="51"/>
      <c r="P69" s="51"/>
      <c r="Q69" s="51"/>
      <c r="R69" s="51"/>
      <c r="S69" s="51"/>
      <c r="T69" s="51"/>
      <c r="U69" s="51"/>
      <c r="V69" s="51"/>
      <c r="W69" s="51"/>
      <c r="X69" s="51"/>
      <c r="Y69" s="51"/>
      <c r="Z69" s="51"/>
      <c r="AA69" s="51"/>
    </row>
    <row r="70">
      <c r="A70" s="64"/>
      <c r="B70" s="41"/>
      <c r="C70" s="41"/>
      <c r="D70" s="41"/>
      <c r="E70" s="68" t="s">
        <v>190</v>
      </c>
      <c r="F70" s="41"/>
      <c r="G70" s="41"/>
      <c r="H70" s="69"/>
      <c r="I70" s="56"/>
      <c r="J70" s="41"/>
      <c r="K70" s="41"/>
      <c r="L70" s="51"/>
      <c r="M70" s="51"/>
      <c r="N70" s="51"/>
      <c r="O70" s="51"/>
      <c r="P70" s="51"/>
      <c r="Q70" s="51"/>
      <c r="R70" s="51"/>
      <c r="S70" s="51"/>
      <c r="T70" s="51"/>
      <c r="U70" s="51"/>
      <c r="V70" s="51"/>
      <c r="W70" s="51"/>
      <c r="X70" s="51"/>
      <c r="Y70" s="51"/>
      <c r="Z70" s="51"/>
      <c r="AA70" s="51"/>
    </row>
    <row r="71">
      <c r="A71" s="64"/>
      <c r="B71" s="42" t="s">
        <v>29</v>
      </c>
      <c r="C71" s="42" t="s">
        <v>30</v>
      </c>
      <c r="D71" s="42" t="s">
        <v>31</v>
      </c>
      <c r="E71" s="42" t="s">
        <v>32</v>
      </c>
      <c r="F71" s="42" t="s">
        <v>33</v>
      </c>
      <c r="G71" s="42" t="s">
        <v>34</v>
      </c>
      <c r="H71" s="35" t="s">
        <v>191</v>
      </c>
      <c r="I71" s="45" t="s">
        <v>36</v>
      </c>
      <c r="J71" s="46"/>
      <c r="K71" s="47" t="s">
        <v>37</v>
      </c>
      <c r="L71" s="51"/>
      <c r="M71" s="51"/>
      <c r="N71" s="51"/>
      <c r="O71" s="51"/>
      <c r="P71" s="51"/>
      <c r="Q71" s="51"/>
      <c r="R71" s="51"/>
      <c r="S71" s="51"/>
      <c r="T71" s="51"/>
      <c r="U71" s="51"/>
      <c r="V71" s="51"/>
      <c r="W71" s="51"/>
      <c r="X71" s="51"/>
      <c r="Y71" s="51"/>
      <c r="Z71" s="51"/>
      <c r="AA71" s="51"/>
    </row>
    <row r="72">
      <c r="A72" s="64"/>
      <c r="B72" s="42" t="s">
        <v>38</v>
      </c>
      <c r="C72" s="42" t="s">
        <v>39</v>
      </c>
      <c r="D72" s="42" t="s">
        <v>40</v>
      </c>
      <c r="E72" s="67" t="s">
        <v>41</v>
      </c>
      <c r="F72" s="67" t="s">
        <v>42</v>
      </c>
      <c r="G72" s="42" t="s">
        <v>43</v>
      </c>
      <c r="H72" s="35" t="s">
        <v>191</v>
      </c>
      <c r="I72" s="45" t="s">
        <v>36</v>
      </c>
      <c r="J72" s="46"/>
      <c r="K72" s="47" t="s">
        <v>37</v>
      </c>
      <c r="L72" s="51"/>
      <c r="M72" s="51"/>
      <c r="N72" s="51"/>
      <c r="O72" s="51"/>
      <c r="P72" s="51"/>
      <c r="Q72" s="51"/>
      <c r="R72" s="51"/>
      <c r="S72" s="51"/>
      <c r="T72" s="51"/>
      <c r="U72" s="51"/>
      <c r="V72" s="51"/>
      <c r="W72" s="51"/>
      <c r="X72" s="51"/>
      <c r="Y72" s="51"/>
      <c r="Z72" s="51"/>
      <c r="AA72" s="51"/>
    </row>
    <row r="73">
      <c r="A73" s="56"/>
      <c r="B73" s="42" t="s">
        <v>44</v>
      </c>
      <c r="C73" s="42" t="s">
        <v>45</v>
      </c>
      <c r="D73" s="42" t="s">
        <v>46</v>
      </c>
      <c r="E73" s="67" t="s">
        <v>41</v>
      </c>
      <c r="F73" s="67" t="s">
        <v>47</v>
      </c>
      <c r="G73" s="42" t="s">
        <v>48</v>
      </c>
      <c r="H73" s="35" t="s">
        <v>191</v>
      </c>
      <c r="I73" s="45" t="s">
        <v>36</v>
      </c>
      <c r="J73" s="46"/>
      <c r="K73" s="47" t="s">
        <v>37</v>
      </c>
      <c r="L73" s="34"/>
      <c r="M73" s="34"/>
      <c r="N73" s="34"/>
      <c r="O73" s="34"/>
      <c r="P73" s="34"/>
      <c r="Q73" s="34"/>
      <c r="R73" s="34"/>
      <c r="S73" s="34"/>
      <c r="T73" s="34"/>
      <c r="U73" s="34"/>
      <c r="V73" s="34"/>
      <c r="W73" s="34"/>
      <c r="X73" s="34"/>
      <c r="Y73" s="34"/>
      <c r="Z73" s="34"/>
      <c r="AA73" s="34"/>
    </row>
    <row r="74">
      <c r="A74" s="56"/>
      <c r="B74" s="42" t="s">
        <v>49</v>
      </c>
      <c r="C74" s="42" t="s">
        <v>50</v>
      </c>
      <c r="D74" s="42" t="s">
        <v>51</v>
      </c>
      <c r="E74" s="42" t="s">
        <v>52</v>
      </c>
      <c r="F74" s="42" t="s">
        <v>53</v>
      </c>
      <c r="G74" s="42" t="s">
        <v>54</v>
      </c>
      <c r="H74" s="35" t="s">
        <v>191</v>
      </c>
      <c r="I74" s="45" t="s">
        <v>36</v>
      </c>
      <c r="J74" s="46"/>
      <c r="K74" s="47" t="s">
        <v>37</v>
      </c>
      <c r="L74" s="34"/>
      <c r="M74" s="34"/>
      <c r="N74" s="34"/>
      <c r="O74" s="34"/>
      <c r="P74" s="34"/>
      <c r="Q74" s="34"/>
      <c r="R74" s="34"/>
      <c r="S74" s="34"/>
      <c r="T74" s="34"/>
      <c r="U74" s="34"/>
      <c r="V74" s="34"/>
      <c r="W74" s="34"/>
      <c r="X74" s="34"/>
      <c r="Y74" s="34"/>
      <c r="Z74" s="34"/>
      <c r="AA74" s="34"/>
    </row>
    <row r="75">
      <c r="A75" s="56"/>
      <c r="B75" s="42" t="s">
        <v>55</v>
      </c>
      <c r="C75" s="42" t="s">
        <v>56</v>
      </c>
      <c r="D75" s="42" t="s">
        <v>51</v>
      </c>
      <c r="E75" s="42" t="s">
        <v>57</v>
      </c>
      <c r="F75" s="42" t="s">
        <v>53</v>
      </c>
      <c r="G75" s="42" t="s">
        <v>54</v>
      </c>
      <c r="H75" s="35" t="s">
        <v>191</v>
      </c>
      <c r="I75" s="45" t="s">
        <v>36</v>
      </c>
      <c r="J75" s="46"/>
      <c r="K75" s="47" t="s">
        <v>37</v>
      </c>
      <c r="L75" s="34"/>
      <c r="M75" s="34"/>
      <c r="N75" s="34"/>
      <c r="O75" s="34"/>
      <c r="P75" s="34"/>
      <c r="Q75" s="34"/>
      <c r="R75" s="34"/>
      <c r="S75" s="34"/>
      <c r="T75" s="34"/>
      <c r="U75" s="34"/>
      <c r="V75" s="34"/>
      <c r="W75" s="34"/>
      <c r="X75" s="34"/>
      <c r="Y75" s="34"/>
      <c r="Z75" s="34"/>
      <c r="AA75" s="34"/>
    </row>
    <row r="76">
      <c r="A76" s="56"/>
      <c r="B76" s="42" t="s">
        <v>58</v>
      </c>
      <c r="C76" s="42" t="s">
        <v>59</v>
      </c>
      <c r="D76" s="42" t="s">
        <v>51</v>
      </c>
      <c r="E76" s="42" t="s">
        <v>60</v>
      </c>
      <c r="F76" s="42" t="s">
        <v>53</v>
      </c>
      <c r="G76" s="42" t="s">
        <v>54</v>
      </c>
      <c r="H76" s="35" t="s">
        <v>191</v>
      </c>
      <c r="I76" s="45" t="s">
        <v>36</v>
      </c>
      <c r="J76" s="46"/>
      <c r="K76" s="47" t="s">
        <v>37</v>
      </c>
      <c r="L76" s="34"/>
      <c r="M76" s="34"/>
      <c r="N76" s="34"/>
      <c r="O76" s="34"/>
      <c r="P76" s="34"/>
      <c r="Q76" s="34"/>
      <c r="R76" s="34"/>
      <c r="S76" s="34"/>
      <c r="T76" s="34"/>
      <c r="U76" s="34"/>
      <c r="V76" s="34"/>
      <c r="W76" s="34"/>
      <c r="X76" s="34"/>
      <c r="Y76" s="34"/>
      <c r="Z76" s="34"/>
      <c r="AA76" s="34"/>
    </row>
    <row r="77">
      <c r="A77" s="56"/>
      <c r="B77" s="42" t="s">
        <v>61</v>
      </c>
      <c r="C77" s="42" t="s">
        <v>62</v>
      </c>
      <c r="D77" s="42" t="s">
        <v>51</v>
      </c>
      <c r="E77" s="42" t="s">
        <v>63</v>
      </c>
      <c r="F77" s="42" t="s">
        <v>53</v>
      </c>
      <c r="G77" s="42" t="s">
        <v>54</v>
      </c>
      <c r="H77" s="35" t="s">
        <v>191</v>
      </c>
      <c r="I77" s="45" t="s">
        <v>36</v>
      </c>
      <c r="J77" s="46"/>
      <c r="K77" s="47" t="s">
        <v>37</v>
      </c>
      <c r="L77" s="34"/>
      <c r="M77" s="34"/>
      <c r="N77" s="34"/>
      <c r="O77" s="34"/>
      <c r="P77" s="34"/>
      <c r="Q77" s="34"/>
      <c r="R77" s="34"/>
      <c r="S77" s="34"/>
      <c r="T77" s="34"/>
      <c r="U77" s="34"/>
      <c r="V77" s="34"/>
      <c r="W77" s="34"/>
      <c r="X77" s="34"/>
      <c r="Y77" s="34"/>
      <c r="Z77" s="34"/>
      <c r="AA77" s="34"/>
    </row>
    <row r="78">
      <c r="A78" s="56"/>
      <c r="B78" s="42" t="s">
        <v>64</v>
      </c>
      <c r="C78" s="42" t="s">
        <v>65</v>
      </c>
      <c r="D78" s="42" t="s">
        <v>51</v>
      </c>
      <c r="E78" s="42" t="s">
        <v>66</v>
      </c>
      <c r="F78" s="42" t="s">
        <v>53</v>
      </c>
      <c r="G78" s="42" t="s">
        <v>54</v>
      </c>
      <c r="H78" s="35" t="s">
        <v>191</v>
      </c>
      <c r="I78" s="45" t="s">
        <v>36</v>
      </c>
      <c r="J78" s="46"/>
      <c r="K78" s="47" t="s">
        <v>37</v>
      </c>
      <c r="L78" s="34"/>
      <c r="M78" s="34"/>
      <c r="N78" s="34"/>
      <c r="O78" s="34"/>
      <c r="P78" s="34"/>
      <c r="Q78" s="34"/>
      <c r="R78" s="34"/>
      <c r="S78" s="34"/>
      <c r="T78" s="34"/>
      <c r="U78" s="34"/>
      <c r="V78" s="34"/>
      <c r="W78" s="34"/>
      <c r="X78" s="34"/>
      <c r="Y78" s="34"/>
      <c r="Z78" s="34"/>
      <c r="AA78" s="34"/>
    </row>
    <row r="79">
      <c r="A79" s="56"/>
      <c r="B79" s="42" t="s">
        <v>67</v>
      </c>
      <c r="C79" s="42" t="s">
        <v>68</v>
      </c>
      <c r="D79" s="42" t="s">
        <v>51</v>
      </c>
      <c r="E79" s="42" t="s">
        <v>69</v>
      </c>
      <c r="F79" s="42" t="s">
        <v>53</v>
      </c>
      <c r="G79" s="42" t="s">
        <v>70</v>
      </c>
      <c r="H79" s="35" t="s">
        <v>191</v>
      </c>
      <c r="I79" s="45" t="s">
        <v>36</v>
      </c>
      <c r="J79" s="46"/>
      <c r="K79" s="47" t="s">
        <v>37</v>
      </c>
      <c r="L79" s="34"/>
      <c r="M79" s="34"/>
      <c r="N79" s="34"/>
      <c r="O79" s="34"/>
      <c r="P79" s="34"/>
      <c r="Q79" s="34"/>
      <c r="R79" s="34"/>
      <c r="S79" s="34"/>
      <c r="T79" s="34"/>
      <c r="U79" s="34"/>
      <c r="V79" s="34"/>
      <c r="W79" s="34"/>
      <c r="X79" s="34"/>
      <c r="Y79" s="34"/>
      <c r="Z79" s="34"/>
      <c r="AA79" s="34"/>
    </row>
    <row r="80">
      <c r="A80" s="56"/>
      <c r="B80" s="42" t="s">
        <v>71</v>
      </c>
      <c r="C80" s="42" t="s">
        <v>72</v>
      </c>
      <c r="D80" s="42" t="s">
        <v>73</v>
      </c>
      <c r="E80" s="67" t="s">
        <v>74</v>
      </c>
      <c r="F80" s="67" t="s">
        <v>53</v>
      </c>
      <c r="G80" s="42" t="s">
        <v>75</v>
      </c>
      <c r="H80" s="35" t="s">
        <v>191</v>
      </c>
      <c r="I80" s="45" t="s">
        <v>36</v>
      </c>
      <c r="J80" s="46"/>
      <c r="K80" s="47" t="s">
        <v>37</v>
      </c>
      <c r="L80" s="34"/>
      <c r="M80" s="34"/>
      <c r="N80" s="34"/>
      <c r="O80" s="34"/>
      <c r="P80" s="34"/>
      <c r="Q80" s="34"/>
      <c r="R80" s="34"/>
      <c r="S80" s="34"/>
      <c r="T80" s="34"/>
      <c r="U80" s="34"/>
      <c r="V80" s="34"/>
      <c r="W80" s="34"/>
      <c r="X80" s="34"/>
      <c r="Y80" s="34"/>
      <c r="Z80" s="34"/>
      <c r="AA80" s="34"/>
    </row>
    <row r="81">
      <c r="A81" s="56"/>
      <c r="B81" s="42" t="s">
        <v>76</v>
      </c>
      <c r="C81" s="42" t="s">
        <v>77</v>
      </c>
      <c r="D81" s="42" t="s">
        <v>78</v>
      </c>
      <c r="E81" s="67" t="s">
        <v>79</v>
      </c>
      <c r="F81" s="67" t="s">
        <v>53</v>
      </c>
      <c r="G81" s="42" t="s">
        <v>75</v>
      </c>
      <c r="H81" s="35" t="s">
        <v>191</v>
      </c>
      <c r="I81" s="45" t="s">
        <v>36</v>
      </c>
      <c r="J81" s="46"/>
      <c r="K81" s="47" t="s">
        <v>37</v>
      </c>
      <c r="L81" s="34"/>
      <c r="M81" s="34"/>
      <c r="N81" s="34"/>
      <c r="O81" s="34"/>
      <c r="P81" s="34"/>
      <c r="Q81" s="34"/>
      <c r="R81" s="34"/>
      <c r="S81" s="34"/>
      <c r="T81" s="34"/>
      <c r="U81" s="34"/>
      <c r="V81" s="34"/>
      <c r="W81" s="34"/>
      <c r="X81" s="34"/>
      <c r="Y81" s="34"/>
      <c r="Z81" s="34"/>
      <c r="AA81" s="34"/>
    </row>
    <row r="82">
      <c r="A82" s="49"/>
      <c r="B82" s="59" t="s">
        <v>80</v>
      </c>
      <c r="C82" s="59" t="s">
        <v>81</v>
      </c>
      <c r="D82" s="59" t="s">
        <v>82</v>
      </c>
      <c r="E82" s="63" t="s">
        <v>83</v>
      </c>
      <c r="F82" s="63" t="s">
        <v>53</v>
      </c>
      <c r="G82" s="59" t="s">
        <v>84</v>
      </c>
      <c r="H82" s="35" t="s">
        <v>191</v>
      </c>
      <c r="I82" s="45" t="s">
        <v>36</v>
      </c>
      <c r="J82" s="57"/>
      <c r="K82" s="47" t="s">
        <v>37</v>
      </c>
      <c r="L82" s="34"/>
      <c r="M82" s="34"/>
      <c r="N82" s="34"/>
      <c r="O82" s="34"/>
      <c r="P82" s="34"/>
      <c r="Q82" s="34"/>
      <c r="R82" s="34"/>
      <c r="S82" s="34"/>
      <c r="T82" s="34"/>
      <c r="U82" s="34"/>
      <c r="V82" s="34"/>
      <c r="W82" s="34"/>
      <c r="X82" s="34"/>
      <c r="Y82" s="34"/>
      <c r="Z82" s="34"/>
      <c r="AA82" s="34"/>
    </row>
    <row r="83">
      <c r="A83" s="49"/>
      <c r="B83" s="59" t="s">
        <v>85</v>
      </c>
      <c r="C83" s="59" t="s">
        <v>86</v>
      </c>
      <c r="D83" s="59" t="s">
        <v>87</v>
      </c>
      <c r="E83" s="63" t="s">
        <v>88</v>
      </c>
      <c r="F83" s="63" t="s">
        <v>53</v>
      </c>
      <c r="G83" s="59" t="s">
        <v>89</v>
      </c>
      <c r="H83" s="35" t="s">
        <v>191</v>
      </c>
      <c r="I83" s="45" t="s">
        <v>36</v>
      </c>
      <c r="J83" s="57"/>
      <c r="K83" s="47" t="s">
        <v>37</v>
      </c>
      <c r="L83" s="34"/>
      <c r="M83" s="34"/>
      <c r="N83" s="34"/>
      <c r="O83" s="34"/>
      <c r="P83" s="34"/>
      <c r="Q83" s="34"/>
      <c r="R83" s="34"/>
      <c r="S83" s="34"/>
      <c r="T83" s="34"/>
      <c r="U83" s="34"/>
      <c r="V83" s="34"/>
      <c r="W83" s="34"/>
      <c r="X83" s="34"/>
      <c r="Y83" s="34"/>
      <c r="Z83" s="34"/>
      <c r="AA83" s="34"/>
    </row>
    <row r="84">
      <c r="A84" s="49"/>
      <c r="B84" s="59" t="s">
        <v>90</v>
      </c>
      <c r="C84" s="59" t="s">
        <v>91</v>
      </c>
      <c r="D84" s="59" t="s">
        <v>92</v>
      </c>
      <c r="E84" s="59" t="s">
        <v>93</v>
      </c>
      <c r="F84" s="59" t="s">
        <v>53</v>
      </c>
      <c r="G84" s="59" t="s">
        <v>84</v>
      </c>
      <c r="H84" s="35" t="s">
        <v>191</v>
      </c>
      <c r="I84" s="45" t="s">
        <v>36</v>
      </c>
      <c r="J84" s="57"/>
      <c r="K84" s="47" t="s">
        <v>37</v>
      </c>
      <c r="L84" s="34"/>
      <c r="M84" s="34"/>
      <c r="N84" s="34"/>
      <c r="O84" s="34"/>
      <c r="P84" s="34"/>
      <c r="Q84" s="34"/>
      <c r="R84" s="34"/>
      <c r="S84" s="34"/>
      <c r="T84" s="34"/>
      <c r="U84" s="34"/>
      <c r="V84" s="34"/>
      <c r="W84" s="34"/>
      <c r="X84" s="34"/>
      <c r="Y84" s="34"/>
      <c r="Z84" s="34"/>
      <c r="AA84" s="34"/>
    </row>
    <row r="85">
      <c r="A85" s="49"/>
      <c r="B85" s="59" t="s">
        <v>94</v>
      </c>
      <c r="C85" s="59" t="s">
        <v>95</v>
      </c>
      <c r="D85" s="59" t="s">
        <v>96</v>
      </c>
      <c r="E85" s="59" t="s">
        <v>97</v>
      </c>
      <c r="F85" s="59" t="s">
        <v>98</v>
      </c>
      <c r="G85" s="59" t="s">
        <v>99</v>
      </c>
      <c r="H85" s="35" t="s">
        <v>191</v>
      </c>
      <c r="I85" s="45" t="s">
        <v>36</v>
      </c>
      <c r="J85" s="57"/>
      <c r="K85" s="47" t="s">
        <v>37</v>
      </c>
      <c r="L85" s="34"/>
      <c r="M85" s="34"/>
      <c r="N85" s="34"/>
      <c r="O85" s="34"/>
      <c r="P85" s="34"/>
      <c r="Q85" s="34"/>
      <c r="R85" s="34"/>
      <c r="S85" s="34"/>
      <c r="T85" s="34"/>
      <c r="U85" s="34"/>
      <c r="V85" s="34"/>
      <c r="W85" s="34"/>
      <c r="X85" s="34"/>
      <c r="Y85" s="34"/>
      <c r="Z85" s="34"/>
      <c r="AA85" s="34"/>
    </row>
    <row r="86">
      <c r="A86" s="49"/>
      <c r="B86" s="59" t="s">
        <v>100</v>
      </c>
      <c r="C86" s="59" t="s">
        <v>101</v>
      </c>
      <c r="D86" s="59" t="s">
        <v>102</v>
      </c>
      <c r="E86" s="59" t="s">
        <v>103</v>
      </c>
      <c r="F86" s="59" t="s">
        <v>53</v>
      </c>
      <c r="G86" s="59" t="s">
        <v>104</v>
      </c>
      <c r="H86" s="35" t="s">
        <v>191</v>
      </c>
      <c r="I86" s="45" t="s">
        <v>36</v>
      </c>
      <c r="J86" s="57"/>
      <c r="K86" s="47" t="s">
        <v>37</v>
      </c>
      <c r="L86" s="34"/>
      <c r="M86" s="34"/>
      <c r="N86" s="34"/>
      <c r="O86" s="34"/>
      <c r="P86" s="34"/>
      <c r="Q86" s="34"/>
      <c r="R86" s="34"/>
      <c r="S86" s="34"/>
      <c r="T86" s="34"/>
      <c r="U86" s="34"/>
      <c r="V86" s="34"/>
      <c r="W86" s="34"/>
      <c r="X86" s="34"/>
      <c r="Y86" s="34"/>
      <c r="Z86" s="34"/>
      <c r="AA86" s="34"/>
    </row>
    <row r="87">
      <c r="A87" s="49"/>
      <c r="B87" s="59" t="s">
        <v>105</v>
      </c>
      <c r="C87" s="59" t="s">
        <v>106</v>
      </c>
      <c r="D87" s="59" t="s">
        <v>107</v>
      </c>
      <c r="E87" s="59" t="s">
        <v>108</v>
      </c>
      <c r="F87" s="59" t="s">
        <v>109</v>
      </c>
      <c r="G87" s="59" t="s">
        <v>110</v>
      </c>
      <c r="H87" s="35" t="s">
        <v>191</v>
      </c>
      <c r="I87" s="45" t="s">
        <v>111</v>
      </c>
      <c r="J87" s="59" t="s">
        <v>112</v>
      </c>
      <c r="K87" s="47" t="s">
        <v>113</v>
      </c>
      <c r="L87" s="34"/>
      <c r="M87" s="34"/>
      <c r="N87" s="34"/>
      <c r="O87" s="34"/>
      <c r="P87" s="34"/>
      <c r="Q87" s="34"/>
      <c r="R87" s="34"/>
      <c r="S87" s="34"/>
      <c r="T87" s="34"/>
      <c r="U87" s="34"/>
      <c r="V87" s="34"/>
      <c r="W87" s="34"/>
      <c r="X87" s="34"/>
      <c r="Y87" s="34"/>
      <c r="Z87" s="34"/>
      <c r="AA87" s="34"/>
    </row>
    <row r="88">
      <c r="A88" s="49"/>
      <c r="B88" s="59" t="s">
        <v>114</v>
      </c>
      <c r="C88" s="59" t="s">
        <v>115</v>
      </c>
      <c r="D88" s="59" t="s">
        <v>116</v>
      </c>
      <c r="E88" s="59" t="s">
        <v>117</v>
      </c>
      <c r="F88" s="59" t="s">
        <v>53</v>
      </c>
      <c r="G88" s="59" t="s">
        <v>118</v>
      </c>
      <c r="H88" s="35" t="s">
        <v>191</v>
      </c>
      <c r="I88" s="45" t="s">
        <v>36</v>
      </c>
      <c r="J88" s="57"/>
      <c r="K88" s="47" t="s">
        <v>37</v>
      </c>
      <c r="L88" s="34"/>
      <c r="M88" s="34"/>
      <c r="N88" s="34"/>
      <c r="O88" s="34"/>
      <c r="P88" s="34"/>
      <c r="Q88" s="34"/>
      <c r="R88" s="34"/>
      <c r="S88" s="34"/>
      <c r="T88" s="34"/>
      <c r="U88" s="34"/>
      <c r="V88" s="34"/>
      <c r="W88" s="34"/>
      <c r="X88" s="34"/>
      <c r="Y88" s="34"/>
      <c r="Z88" s="34"/>
      <c r="AA88" s="34"/>
    </row>
    <row r="89">
      <c r="A89" s="49"/>
      <c r="B89" s="59" t="s">
        <v>119</v>
      </c>
      <c r="C89" s="59" t="s">
        <v>120</v>
      </c>
      <c r="D89" s="59" t="s">
        <v>121</v>
      </c>
      <c r="E89" s="59" t="s">
        <v>41</v>
      </c>
      <c r="F89" s="59" t="s">
        <v>122</v>
      </c>
      <c r="G89" s="59" t="s">
        <v>123</v>
      </c>
      <c r="H89" s="35" t="s">
        <v>191</v>
      </c>
      <c r="I89" s="45" t="s">
        <v>36</v>
      </c>
      <c r="J89" s="57"/>
      <c r="K89" s="47" t="s">
        <v>37</v>
      </c>
      <c r="L89" s="34"/>
      <c r="M89" s="34"/>
      <c r="N89" s="34"/>
      <c r="O89" s="34"/>
      <c r="P89" s="34"/>
      <c r="Q89" s="34"/>
      <c r="R89" s="34"/>
      <c r="S89" s="34"/>
      <c r="T89" s="34"/>
      <c r="U89" s="34"/>
      <c r="V89" s="34"/>
      <c r="W89" s="34"/>
      <c r="X89" s="34"/>
      <c r="Y89" s="34"/>
      <c r="Z89" s="34"/>
      <c r="AA89" s="34"/>
    </row>
    <row r="90">
      <c r="A90" s="49"/>
      <c r="B90" s="59" t="s">
        <v>124</v>
      </c>
      <c r="C90" s="59" t="s">
        <v>125</v>
      </c>
      <c r="D90" s="59" t="s">
        <v>126</v>
      </c>
      <c r="E90" s="59" t="s">
        <v>41</v>
      </c>
      <c r="F90" s="59" t="s">
        <v>127</v>
      </c>
      <c r="G90" s="59" t="s">
        <v>128</v>
      </c>
      <c r="H90" s="35" t="s">
        <v>191</v>
      </c>
      <c r="I90" s="45" t="s">
        <v>111</v>
      </c>
      <c r="J90" s="59" t="s">
        <v>129</v>
      </c>
      <c r="K90" s="47" t="s">
        <v>113</v>
      </c>
      <c r="L90" s="34"/>
      <c r="M90" s="34"/>
      <c r="N90" s="34"/>
      <c r="O90" s="34"/>
      <c r="P90" s="34"/>
      <c r="Q90" s="34"/>
      <c r="R90" s="34"/>
      <c r="S90" s="34"/>
      <c r="T90" s="34"/>
      <c r="U90" s="34"/>
      <c r="V90" s="34"/>
      <c r="W90" s="34"/>
      <c r="X90" s="34"/>
      <c r="Y90" s="34"/>
      <c r="Z90" s="34"/>
      <c r="AA90" s="34"/>
    </row>
    <row r="91">
      <c r="A91" s="49"/>
      <c r="B91" s="59" t="s">
        <v>124</v>
      </c>
      <c r="C91" s="59" t="s">
        <v>130</v>
      </c>
      <c r="D91" s="59" t="s">
        <v>131</v>
      </c>
      <c r="E91" s="59" t="s">
        <v>132</v>
      </c>
      <c r="F91" s="59" t="s">
        <v>53</v>
      </c>
      <c r="G91" s="59" t="s">
        <v>133</v>
      </c>
      <c r="H91" s="35" t="s">
        <v>191</v>
      </c>
      <c r="I91" s="45" t="s">
        <v>36</v>
      </c>
      <c r="J91" s="57"/>
      <c r="K91" s="47" t="s">
        <v>37</v>
      </c>
      <c r="L91" s="34"/>
      <c r="M91" s="34"/>
      <c r="N91" s="34"/>
      <c r="O91" s="34"/>
      <c r="P91" s="34"/>
      <c r="Q91" s="34"/>
      <c r="R91" s="34"/>
      <c r="S91" s="34"/>
      <c r="T91" s="34"/>
      <c r="U91" s="34"/>
      <c r="V91" s="34"/>
      <c r="W91" s="34"/>
      <c r="X91" s="34"/>
      <c r="Y91" s="34"/>
      <c r="Z91" s="34"/>
      <c r="AA91" s="34"/>
    </row>
    <row r="92">
      <c r="A92" s="49"/>
      <c r="B92" s="59" t="s">
        <v>134</v>
      </c>
      <c r="C92" s="59" t="s">
        <v>135</v>
      </c>
      <c r="D92" s="59" t="s">
        <v>136</v>
      </c>
      <c r="E92" s="59" t="s">
        <v>137</v>
      </c>
      <c r="F92" s="59" t="s">
        <v>53</v>
      </c>
      <c r="G92" s="59" t="s">
        <v>118</v>
      </c>
      <c r="H92" s="35" t="s">
        <v>191</v>
      </c>
      <c r="I92" s="45" t="s">
        <v>36</v>
      </c>
      <c r="J92" s="57"/>
      <c r="K92" s="47" t="s">
        <v>37</v>
      </c>
      <c r="L92" s="34"/>
      <c r="M92" s="34"/>
      <c r="N92" s="34"/>
      <c r="O92" s="34"/>
      <c r="P92" s="34"/>
      <c r="Q92" s="34"/>
      <c r="R92" s="34"/>
      <c r="S92" s="34"/>
      <c r="T92" s="34"/>
      <c r="U92" s="34"/>
      <c r="V92" s="34"/>
      <c r="W92" s="34"/>
      <c r="X92" s="34"/>
      <c r="Y92" s="34"/>
      <c r="Z92" s="34"/>
      <c r="AA92" s="34"/>
    </row>
    <row r="93">
      <c r="A93" s="49"/>
      <c r="B93" s="59" t="s">
        <v>138</v>
      </c>
      <c r="C93" s="59" t="s">
        <v>139</v>
      </c>
      <c r="D93" s="59" t="s">
        <v>140</v>
      </c>
      <c r="E93" s="59" t="s">
        <v>141</v>
      </c>
      <c r="F93" s="59" t="s">
        <v>53</v>
      </c>
      <c r="G93" s="59" t="s">
        <v>142</v>
      </c>
      <c r="H93" s="35" t="s">
        <v>191</v>
      </c>
      <c r="I93" s="50" t="s">
        <v>111</v>
      </c>
      <c r="J93" s="59" t="s">
        <v>143</v>
      </c>
      <c r="K93" s="47" t="s">
        <v>113</v>
      </c>
      <c r="L93" s="34"/>
      <c r="M93" s="34"/>
      <c r="N93" s="34"/>
      <c r="O93" s="34"/>
      <c r="P93" s="34"/>
      <c r="Q93" s="34"/>
      <c r="R93" s="34"/>
      <c r="S93" s="34"/>
      <c r="T93" s="34"/>
      <c r="U93" s="34"/>
      <c r="V93" s="34"/>
      <c r="W93" s="34"/>
      <c r="X93" s="34"/>
      <c r="Y93" s="34"/>
      <c r="Z93" s="34"/>
      <c r="AA93" s="34"/>
    </row>
    <row r="94">
      <c r="A94" s="49"/>
      <c r="B94" s="59" t="s">
        <v>144</v>
      </c>
      <c r="C94" s="59" t="s">
        <v>145</v>
      </c>
      <c r="D94" s="59" t="s">
        <v>146</v>
      </c>
      <c r="E94" s="59" t="s">
        <v>147</v>
      </c>
      <c r="F94" s="59" t="s">
        <v>148</v>
      </c>
      <c r="G94" s="59" t="s">
        <v>149</v>
      </c>
      <c r="H94" s="35" t="s">
        <v>191</v>
      </c>
      <c r="I94" s="45" t="s">
        <v>111</v>
      </c>
      <c r="J94" s="59" t="s">
        <v>150</v>
      </c>
      <c r="K94" s="47" t="s">
        <v>113</v>
      </c>
      <c r="L94" s="34"/>
      <c r="M94" s="34"/>
      <c r="N94" s="34"/>
      <c r="O94" s="34"/>
      <c r="P94" s="34"/>
      <c r="Q94" s="34"/>
      <c r="R94" s="34"/>
      <c r="S94" s="34"/>
      <c r="T94" s="34"/>
      <c r="U94" s="34"/>
      <c r="V94" s="34"/>
      <c r="W94" s="34"/>
      <c r="X94" s="34"/>
      <c r="Y94" s="34"/>
      <c r="Z94" s="34"/>
      <c r="AA94" s="34"/>
    </row>
    <row r="95">
      <c r="A95" s="49"/>
      <c r="B95" s="70"/>
      <c r="C95" s="70"/>
      <c r="D95" s="70"/>
      <c r="E95" s="71" t="s">
        <v>151</v>
      </c>
      <c r="F95" s="70"/>
      <c r="G95" s="70"/>
      <c r="H95" s="72"/>
      <c r="I95" s="49"/>
      <c r="J95" s="70"/>
      <c r="K95" s="55"/>
      <c r="L95" s="34"/>
      <c r="M95" s="34"/>
      <c r="N95" s="34"/>
      <c r="O95" s="34"/>
      <c r="P95" s="34"/>
      <c r="Q95" s="34"/>
      <c r="R95" s="34"/>
      <c r="S95" s="34"/>
      <c r="T95" s="34"/>
      <c r="U95" s="34"/>
      <c r="V95" s="34"/>
      <c r="W95" s="34"/>
      <c r="X95" s="34"/>
      <c r="Y95" s="34"/>
      <c r="Z95" s="34"/>
      <c r="AA95" s="34"/>
    </row>
    <row r="96">
      <c r="A96" s="49"/>
      <c r="B96" s="59" t="s">
        <v>152</v>
      </c>
      <c r="C96" s="59" t="s">
        <v>153</v>
      </c>
      <c r="D96" s="59" t="s">
        <v>154</v>
      </c>
      <c r="E96" s="59" t="s">
        <v>155</v>
      </c>
      <c r="F96" s="63" t="s">
        <v>156</v>
      </c>
      <c r="G96" s="59" t="s">
        <v>157</v>
      </c>
      <c r="H96" s="35" t="s">
        <v>191</v>
      </c>
      <c r="I96" s="45" t="s">
        <v>36</v>
      </c>
      <c r="J96" s="57"/>
      <c r="K96" s="47" t="s">
        <v>37</v>
      </c>
      <c r="L96" s="34"/>
      <c r="M96" s="34"/>
      <c r="N96" s="34"/>
      <c r="O96" s="34"/>
      <c r="P96" s="34"/>
      <c r="Q96" s="34"/>
      <c r="R96" s="34"/>
      <c r="S96" s="34"/>
      <c r="T96" s="34"/>
      <c r="U96" s="34"/>
      <c r="V96" s="34"/>
      <c r="W96" s="34"/>
      <c r="X96" s="34"/>
      <c r="Y96" s="34"/>
      <c r="Z96" s="34"/>
      <c r="AA96" s="34"/>
    </row>
    <row r="97">
      <c r="A97" s="49"/>
      <c r="B97" s="59" t="s">
        <v>158</v>
      </c>
      <c r="C97" s="59" t="s">
        <v>159</v>
      </c>
      <c r="D97" s="59" t="s">
        <v>160</v>
      </c>
      <c r="E97" s="59" t="s">
        <v>155</v>
      </c>
      <c r="F97" s="59" t="s">
        <v>161</v>
      </c>
      <c r="G97" s="59" t="s">
        <v>162</v>
      </c>
      <c r="H97" s="35" t="s">
        <v>191</v>
      </c>
      <c r="I97" s="45" t="s">
        <v>36</v>
      </c>
      <c r="J97" s="57"/>
      <c r="K97" s="47" t="s">
        <v>37</v>
      </c>
      <c r="L97" s="34"/>
      <c r="M97" s="34"/>
      <c r="N97" s="34"/>
      <c r="O97" s="34"/>
      <c r="P97" s="34"/>
      <c r="Q97" s="34"/>
      <c r="R97" s="34"/>
      <c r="S97" s="34"/>
      <c r="T97" s="34"/>
      <c r="U97" s="34"/>
      <c r="V97" s="34"/>
      <c r="W97" s="34"/>
      <c r="X97" s="34"/>
      <c r="Y97" s="34"/>
      <c r="Z97" s="34"/>
      <c r="AA97" s="34"/>
    </row>
    <row r="98">
      <c r="A98" s="49"/>
      <c r="B98" s="59" t="s">
        <v>163</v>
      </c>
      <c r="C98" s="59" t="s">
        <v>164</v>
      </c>
      <c r="D98" s="59" t="s">
        <v>165</v>
      </c>
      <c r="E98" s="59" t="s">
        <v>166</v>
      </c>
      <c r="F98" s="59" t="s">
        <v>167</v>
      </c>
      <c r="G98" s="59" t="s">
        <v>168</v>
      </c>
      <c r="H98" s="35" t="s">
        <v>191</v>
      </c>
      <c r="I98" s="45" t="s">
        <v>36</v>
      </c>
      <c r="J98" s="57"/>
      <c r="K98" s="47" t="s">
        <v>37</v>
      </c>
      <c r="L98" s="34"/>
      <c r="M98" s="34"/>
      <c r="N98" s="34"/>
      <c r="O98" s="34"/>
      <c r="P98" s="34"/>
      <c r="Q98" s="34"/>
      <c r="R98" s="34"/>
      <c r="S98" s="34"/>
      <c r="T98" s="34"/>
      <c r="U98" s="34"/>
      <c r="V98" s="34"/>
      <c r="W98" s="34"/>
      <c r="X98" s="34"/>
      <c r="Y98" s="34"/>
      <c r="Z98" s="34"/>
      <c r="AA98" s="34"/>
    </row>
    <row r="99">
      <c r="A99" s="49"/>
      <c r="B99" s="59" t="s">
        <v>169</v>
      </c>
      <c r="C99" s="59" t="s">
        <v>170</v>
      </c>
      <c r="D99" s="59" t="s">
        <v>171</v>
      </c>
      <c r="E99" s="59" t="s">
        <v>166</v>
      </c>
      <c r="F99" s="59" t="s">
        <v>172</v>
      </c>
      <c r="G99" s="63" t="s">
        <v>173</v>
      </c>
      <c r="H99" s="35" t="s">
        <v>191</v>
      </c>
      <c r="I99" s="45" t="s">
        <v>36</v>
      </c>
      <c r="J99" s="57"/>
      <c r="K99" s="58" t="s">
        <v>37</v>
      </c>
      <c r="L99" s="34"/>
      <c r="M99" s="34"/>
      <c r="N99" s="34"/>
      <c r="O99" s="34"/>
      <c r="P99" s="34"/>
      <c r="Q99" s="34"/>
      <c r="R99" s="34"/>
      <c r="S99" s="34"/>
      <c r="T99" s="34"/>
      <c r="U99" s="34"/>
      <c r="V99" s="34"/>
      <c r="W99" s="34"/>
      <c r="X99" s="34"/>
      <c r="Y99" s="34"/>
      <c r="Z99" s="34"/>
      <c r="AA99" s="34"/>
    </row>
    <row r="100">
      <c r="A100" s="49"/>
      <c r="B100" s="59" t="s">
        <v>174</v>
      </c>
      <c r="C100" s="59" t="s">
        <v>175</v>
      </c>
      <c r="D100" s="59" t="s">
        <v>176</v>
      </c>
      <c r="E100" s="59" t="s">
        <v>155</v>
      </c>
      <c r="F100" s="59" t="s">
        <v>161</v>
      </c>
      <c r="G100" s="63" t="s">
        <v>177</v>
      </c>
      <c r="H100" s="35" t="s">
        <v>191</v>
      </c>
      <c r="I100" s="45" t="s">
        <v>36</v>
      </c>
      <c r="J100" s="57"/>
      <c r="K100" s="58" t="s">
        <v>37</v>
      </c>
      <c r="L100" s="34"/>
      <c r="M100" s="34"/>
      <c r="N100" s="34"/>
      <c r="O100" s="34"/>
      <c r="P100" s="34"/>
      <c r="Q100" s="34"/>
      <c r="R100" s="34"/>
      <c r="S100" s="34"/>
      <c r="T100" s="34"/>
      <c r="U100" s="34"/>
      <c r="V100" s="34"/>
      <c r="W100" s="34"/>
      <c r="X100" s="34"/>
      <c r="Y100" s="34"/>
      <c r="Z100" s="34"/>
      <c r="AA100" s="34"/>
    </row>
    <row r="101">
      <c r="A101" s="49"/>
      <c r="B101" s="59" t="s">
        <v>178</v>
      </c>
      <c r="C101" s="59" t="s">
        <v>179</v>
      </c>
      <c r="D101" s="59" t="s">
        <v>180</v>
      </c>
      <c r="E101" s="59" t="s">
        <v>166</v>
      </c>
      <c r="F101" s="59" t="s">
        <v>181</v>
      </c>
      <c r="G101" s="59" t="s">
        <v>182</v>
      </c>
      <c r="H101" s="35" t="s">
        <v>191</v>
      </c>
      <c r="I101" s="45" t="s">
        <v>36</v>
      </c>
      <c r="J101" s="57"/>
      <c r="K101" s="58" t="s">
        <v>37</v>
      </c>
      <c r="L101" s="34"/>
      <c r="M101" s="34"/>
      <c r="N101" s="34"/>
      <c r="O101" s="34"/>
      <c r="P101" s="34"/>
      <c r="Q101" s="34"/>
      <c r="R101" s="34"/>
      <c r="S101" s="34"/>
      <c r="T101" s="34"/>
      <c r="U101" s="34"/>
      <c r="V101" s="34"/>
      <c r="W101" s="34"/>
      <c r="X101" s="34"/>
      <c r="Y101" s="34"/>
      <c r="Z101" s="34"/>
      <c r="AA101" s="34"/>
    </row>
    <row r="102">
      <c r="A102" s="49"/>
      <c r="B102" s="59" t="s">
        <v>183</v>
      </c>
      <c r="C102" s="59" t="s">
        <v>184</v>
      </c>
      <c r="D102" s="59" t="s">
        <v>185</v>
      </c>
      <c r="E102" s="59" t="s">
        <v>166</v>
      </c>
      <c r="F102" s="59" t="s">
        <v>186</v>
      </c>
      <c r="G102" s="59" t="s">
        <v>187</v>
      </c>
      <c r="H102" s="35" t="s">
        <v>191</v>
      </c>
      <c r="I102" s="45" t="s">
        <v>36</v>
      </c>
      <c r="J102" s="57"/>
      <c r="K102" s="58" t="s">
        <v>37</v>
      </c>
      <c r="L102" s="34"/>
      <c r="M102" s="34"/>
      <c r="N102" s="34"/>
      <c r="O102" s="34"/>
      <c r="P102" s="34"/>
      <c r="Q102" s="34"/>
      <c r="R102" s="34"/>
      <c r="S102" s="34"/>
      <c r="T102" s="34"/>
      <c r="U102" s="34"/>
      <c r="V102" s="34"/>
      <c r="W102" s="34"/>
      <c r="X102" s="34"/>
      <c r="Y102" s="34"/>
      <c r="Z102" s="34"/>
      <c r="AA102" s="34"/>
    </row>
    <row r="103">
      <c r="A103" s="49"/>
      <c r="B103" s="57"/>
      <c r="C103" s="57"/>
      <c r="D103" s="57"/>
      <c r="E103" s="57"/>
      <c r="F103" s="57"/>
      <c r="G103" s="57"/>
      <c r="H103" s="49"/>
      <c r="I103" s="49"/>
      <c r="J103" s="57"/>
      <c r="K103" s="57"/>
      <c r="L103" s="34"/>
      <c r="M103" s="34"/>
      <c r="N103" s="34"/>
      <c r="O103" s="34"/>
      <c r="P103" s="34"/>
      <c r="Q103" s="34"/>
      <c r="R103" s="34"/>
      <c r="S103" s="34"/>
      <c r="T103" s="34"/>
      <c r="U103" s="34"/>
      <c r="V103" s="34"/>
      <c r="W103" s="34"/>
      <c r="X103" s="34"/>
      <c r="Y103" s="34"/>
      <c r="Z103" s="34"/>
      <c r="AA103" s="34"/>
    </row>
    <row r="104">
      <c r="A104" s="49"/>
      <c r="B104" s="60"/>
      <c r="C104" s="60"/>
      <c r="D104" s="60"/>
      <c r="E104" s="61" t="s">
        <v>192</v>
      </c>
      <c r="F104" s="60"/>
      <c r="G104" s="60"/>
      <c r="H104" s="62"/>
      <c r="I104" s="49"/>
      <c r="J104" s="60"/>
      <c r="K104" s="60"/>
      <c r="L104" s="34"/>
      <c r="M104" s="34"/>
      <c r="N104" s="34"/>
      <c r="O104" s="34"/>
      <c r="P104" s="34"/>
      <c r="Q104" s="34"/>
      <c r="R104" s="34"/>
      <c r="S104" s="34"/>
      <c r="T104" s="34"/>
      <c r="U104" s="34"/>
      <c r="V104" s="34"/>
      <c r="W104" s="34"/>
      <c r="X104" s="34"/>
      <c r="Y104" s="34"/>
      <c r="Z104" s="34"/>
      <c r="AA104" s="34"/>
    </row>
    <row r="105">
      <c r="A105" s="49"/>
      <c r="B105" s="59" t="s">
        <v>29</v>
      </c>
      <c r="C105" s="59" t="s">
        <v>30</v>
      </c>
      <c r="D105" s="59" t="s">
        <v>31</v>
      </c>
      <c r="E105" s="59" t="s">
        <v>32</v>
      </c>
      <c r="F105" s="59" t="s">
        <v>33</v>
      </c>
      <c r="G105" s="59" t="s">
        <v>34</v>
      </c>
      <c r="H105" s="35" t="s">
        <v>193</v>
      </c>
      <c r="I105" s="45" t="s">
        <v>36</v>
      </c>
      <c r="J105" s="57"/>
      <c r="K105" s="47" t="s">
        <v>37</v>
      </c>
      <c r="L105" s="34"/>
      <c r="M105" s="34"/>
      <c r="N105" s="34"/>
      <c r="O105" s="34"/>
      <c r="P105" s="34"/>
      <c r="Q105" s="34"/>
      <c r="R105" s="34"/>
      <c r="S105" s="34"/>
      <c r="T105" s="34"/>
      <c r="U105" s="34"/>
      <c r="V105" s="34"/>
      <c r="W105" s="34"/>
      <c r="X105" s="34"/>
      <c r="Y105" s="34"/>
      <c r="Z105" s="34"/>
      <c r="AA105" s="34"/>
    </row>
    <row r="106">
      <c r="A106" s="49"/>
      <c r="B106" s="59" t="s">
        <v>38</v>
      </c>
      <c r="C106" s="59" t="s">
        <v>39</v>
      </c>
      <c r="D106" s="59" t="s">
        <v>40</v>
      </c>
      <c r="E106" s="63" t="s">
        <v>41</v>
      </c>
      <c r="F106" s="63" t="s">
        <v>42</v>
      </c>
      <c r="G106" s="59" t="s">
        <v>43</v>
      </c>
      <c r="H106" s="35" t="s">
        <v>193</v>
      </c>
      <c r="I106" s="45" t="s">
        <v>36</v>
      </c>
      <c r="J106" s="57"/>
      <c r="K106" s="47" t="s">
        <v>37</v>
      </c>
      <c r="L106" s="34"/>
      <c r="M106" s="34"/>
      <c r="N106" s="34"/>
      <c r="O106" s="34"/>
      <c r="P106" s="34"/>
      <c r="Q106" s="34"/>
      <c r="R106" s="34"/>
      <c r="S106" s="34"/>
      <c r="T106" s="34"/>
      <c r="U106" s="34"/>
      <c r="V106" s="34"/>
      <c r="W106" s="34"/>
      <c r="X106" s="34"/>
      <c r="Y106" s="34"/>
      <c r="Z106" s="34"/>
      <c r="AA106" s="34"/>
    </row>
    <row r="107">
      <c r="A107" s="49"/>
      <c r="B107" s="59" t="s">
        <v>44</v>
      </c>
      <c r="C107" s="59" t="s">
        <v>45</v>
      </c>
      <c r="D107" s="59" t="s">
        <v>46</v>
      </c>
      <c r="E107" s="63" t="s">
        <v>41</v>
      </c>
      <c r="F107" s="63" t="s">
        <v>47</v>
      </c>
      <c r="G107" s="59" t="s">
        <v>48</v>
      </c>
      <c r="H107" s="35" t="s">
        <v>193</v>
      </c>
      <c r="I107" s="45" t="s">
        <v>36</v>
      </c>
      <c r="J107" s="57"/>
      <c r="K107" s="47" t="s">
        <v>37</v>
      </c>
      <c r="L107" s="34"/>
      <c r="M107" s="34"/>
      <c r="N107" s="34"/>
      <c r="O107" s="34"/>
      <c r="P107" s="34"/>
      <c r="Q107" s="34"/>
      <c r="R107" s="34"/>
      <c r="S107" s="34"/>
      <c r="T107" s="34"/>
      <c r="U107" s="34"/>
      <c r="V107" s="34"/>
      <c r="W107" s="34"/>
      <c r="X107" s="34"/>
      <c r="Y107" s="34"/>
      <c r="Z107" s="34"/>
      <c r="AA107" s="34"/>
    </row>
    <row r="108">
      <c r="A108" s="49"/>
      <c r="B108" s="59" t="s">
        <v>49</v>
      </c>
      <c r="C108" s="59" t="s">
        <v>50</v>
      </c>
      <c r="D108" s="59" t="s">
        <v>51</v>
      </c>
      <c r="E108" s="59" t="s">
        <v>52</v>
      </c>
      <c r="F108" s="59" t="s">
        <v>53</v>
      </c>
      <c r="G108" s="59" t="s">
        <v>54</v>
      </c>
      <c r="H108" s="35" t="s">
        <v>193</v>
      </c>
      <c r="I108" s="45" t="s">
        <v>36</v>
      </c>
      <c r="J108" s="57"/>
      <c r="K108" s="47" t="s">
        <v>37</v>
      </c>
      <c r="L108" s="34"/>
      <c r="M108" s="34"/>
      <c r="N108" s="34"/>
      <c r="O108" s="34"/>
      <c r="P108" s="34"/>
      <c r="Q108" s="34"/>
      <c r="R108" s="34"/>
      <c r="S108" s="34"/>
      <c r="T108" s="34"/>
      <c r="U108" s="34"/>
      <c r="V108" s="34"/>
      <c r="W108" s="34"/>
      <c r="X108" s="34"/>
      <c r="Y108" s="34"/>
      <c r="Z108" s="34"/>
      <c r="AA108" s="34"/>
    </row>
    <row r="109">
      <c r="A109" s="49"/>
      <c r="B109" s="59" t="s">
        <v>55</v>
      </c>
      <c r="C109" s="59" t="s">
        <v>56</v>
      </c>
      <c r="D109" s="59" t="s">
        <v>51</v>
      </c>
      <c r="E109" s="59" t="s">
        <v>57</v>
      </c>
      <c r="F109" s="59" t="s">
        <v>53</v>
      </c>
      <c r="G109" s="59" t="s">
        <v>54</v>
      </c>
      <c r="H109" s="35" t="s">
        <v>193</v>
      </c>
      <c r="I109" s="45" t="s">
        <v>36</v>
      </c>
      <c r="J109" s="57"/>
      <c r="K109" s="47" t="s">
        <v>37</v>
      </c>
      <c r="L109" s="34"/>
      <c r="M109" s="34"/>
      <c r="N109" s="34"/>
      <c r="O109" s="34"/>
      <c r="P109" s="34"/>
      <c r="Q109" s="34"/>
      <c r="R109" s="34"/>
      <c r="S109" s="34"/>
      <c r="T109" s="34"/>
      <c r="U109" s="34"/>
      <c r="V109" s="34"/>
      <c r="W109" s="34"/>
      <c r="X109" s="34"/>
      <c r="Y109" s="34"/>
      <c r="Z109" s="34"/>
      <c r="AA109" s="34"/>
    </row>
    <row r="110">
      <c r="A110" s="49"/>
      <c r="B110" s="59" t="s">
        <v>58</v>
      </c>
      <c r="C110" s="59" t="s">
        <v>59</v>
      </c>
      <c r="D110" s="59" t="s">
        <v>51</v>
      </c>
      <c r="E110" s="59" t="s">
        <v>60</v>
      </c>
      <c r="F110" s="59" t="s">
        <v>53</v>
      </c>
      <c r="G110" s="59" t="s">
        <v>54</v>
      </c>
      <c r="H110" s="35" t="s">
        <v>193</v>
      </c>
      <c r="I110" s="45" t="s">
        <v>36</v>
      </c>
      <c r="J110" s="57"/>
      <c r="K110" s="47" t="s">
        <v>37</v>
      </c>
      <c r="L110" s="34"/>
      <c r="M110" s="34"/>
      <c r="N110" s="34"/>
      <c r="O110" s="34"/>
      <c r="P110" s="34"/>
      <c r="Q110" s="34"/>
      <c r="R110" s="34"/>
      <c r="S110" s="34"/>
      <c r="T110" s="34"/>
      <c r="U110" s="34"/>
      <c r="V110" s="34"/>
      <c r="W110" s="34"/>
      <c r="X110" s="34"/>
      <c r="Y110" s="34"/>
      <c r="Z110" s="34"/>
      <c r="AA110" s="34"/>
    </row>
    <row r="111">
      <c r="A111" s="49"/>
      <c r="B111" s="59" t="s">
        <v>61</v>
      </c>
      <c r="C111" s="59" t="s">
        <v>62</v>
      </c>
      <c r="D111" s="59" t="s">
        <v>51</v>
      </c>
      <c r="E111" s="59" t="s">
        <v>63</v>
      </c>
      <c r="F111" s="59" t="s">
        <v>53</v>
      </c>
      <c r="G111" s="59" t="s">
        <v>54</v>
      </c>
      <c r="H111" s="35" t="s">
        <v>193</v>
      </c>
      <c r="I111" s="45" t="s">
        <v>36</v>
      </c>
      <c r="J111" s="57"/>
      <c r="K111" s="47" t="s">
        <v>37</v>
      </c>
      <c r="L111" s="34"/>
      <c r="M111" s="34"/>
      <c r="N111" s="34"/>
      <c r="O111" s="34"/>
      <c r="P111" s="34"/>
      <c r="Q111" s="34"/>
      <c r="R111" s="34"/>
      <c r="S111" s="34"/>
      <c r="T111" s="34"/>
      <c r="U111" s="34"/>
      <c r="V111" s="34"/>
      <c r="W111" s="34"/>
      <c r="X111" s="34"/>
      <c r="Y111" s="34"/>
      <c r="Z111" s="34"/>
      <c r="AA111" s="34"/>
    </row>
    <row r="112">
      <c r="A112" s="49"/>
      <c r="B112" s="59" t="s">
        <v>64</v>
      </c>
      <c r="C112" s="59" t="s">
        <v>65</v>
      </c>
      <c r="D112" s="59" t="s">
        <v>51</v>
      </c>
      <c r="E112" s="59" t="s">
        <v>66</v>
      </c>
      <c r="F112" s="59" t="s">
        <v>53</v>
      </c>
      <c r="G112" s="59" t="s">
        <v>54</v>
      </c>
      <c r="H112" s="35" t="s">
        <v>193</v>
      </c>
      <c r="I112" s="45" t="s">
        <v>36</v>
      </c>
      <c r="J112" s="57"/>
      <c r="K112" s="47" t="s">
        <v>37</v>
      </c>
    </row>
    <row r="113">
      <c r="A113" s="49"/>
      <c r="B113" s="59" t="s">
        <v>67</v>
      </c>
      <c r="C113" s="59" t="s">
        <v>68</v>
      </c>
      <c r="D113" s="59" t="s">
        <v>51</v>
      </c>
      <c r="E113" s="59" t="s">
        <v>69</v>
      </c>
      <c r="F113" s="59" t="s">
        <v>53</v>
      </c>
      <c r="G113" s="59" t="s">
        <v>70</v>
      </c>
      <c r="H113" s="35" t="s">
        <v>193</v>
      </c>
      <c r="I113" s="45" t="s">
        <v>36</v>
      </c>
      <c r="J113" s="57"/>
      <c r="K113" s="47" t="s">
        <v>37</v>
      </c>
    </row>
    <row r="114">
      <c r="A114" s="73"/>
      <c r="B114" s="59" t="s">
        <v>71</v>
      </c>
      <c r="C114" s="59" t="s">
        <v>72</v>
      </c>
      <c r="D114" s="59" t="s">
        <v>73</v>
      </c>
      <c r="E114" s="63" t="s">
        <v>74</v>
      </c>
      <c r="F114" s="63" t="s">
        <v>53</v>
      </c>
      <c r="G114" s="59" t="s">
        <v>75</v>
      </c>
      <c r="H114" s="35" t="s">
        <v>193</v>
      </c>
      <c r="I114" s="45" t="s">
        <v>36</v>
      </c>
      <c r="J114" s="57"/>
      <c r="K114" s="47" t="s">
        <v>37</v>
      </c>
    </row>
    <row r="115">
      <c r="A115" s="73"/>
      <c r="B115" s="59" t="s">
        <v>76</v>
      </c>
      <c r="C115" s="59" t="s">
        <v>77</v>
      </c>
      <c r="D115" s="59" t="s">
        <v>78</v>
      </c>
      <c r="E115" s="63" t="s">
        <v>79</v>
      </c>
      <c r="F115" s="63" t="s">
        <v>53</v>
      </c>
      <c r="G115" s="59" t="s">
        <v>75</v>
      </c>
      <c r="H115" s="35" t="s">
        <v>193</v>
      </c>
      <c r="I115" s="45" t="s">
        <v>36</v>
      </c>
      <c r="J115" s="57"/>
      <c r="K115" s="47" t="s">
        <v>37</v>
      </c>
    </row>
    <row r="116">
      <c r="A116" s="73"/>
      <c r="B116" s="59" t="s">
        <v>80</v>
      </c>
      <c r="C116" s="59" t="s">
        <v>81</v>
      </c>
      <c r="D116" s="59" t="s">
        <v>82</v>
      </c>
      <c r="E116" s="63" t="s">
        <v>83</v>
      </c>
      <c r="F116" s="63" t="s">
        <v>53</v>
      </c>
      <c r="G116" s="59" t="s">
        <v>84</v>
      </c>
      <c r="H116" s="35" t="s">
        <v>193</v>
      </c>
      <c r="I116" s="45" t="s">
        <v>36</v>
      </c>
      <c r="J116" s="57"/>
      <c r="K116" s="47" t="s">
        <v>37</v>
      </c>
    </row>
    <row r="117">
      <c r="A117" s="73"/>
      <c r="B117" s="59" t="s">
        <v>85</v>
      </c>
      <c r="C117" s="59" t="s">
        <v>86</v>
      </c>
      <c r="D117" s="59" t="s">
        <v>87</v>
      </c>
      <c r="E117" s="63" t="s">
        <v>88</v>
      </c>
      <c r="F117" s="63" t="s">
        <v>53</v>
      </c>
      <c r="G117" s="59" t="s">
        <v>89</v>
      </c>
      <c r="H117" s="35" t="s">
        <v>193</v>
      </c>
      <c r="I117" s="45" t="s">
        <v>36</v>
      </c>
      <c r="J117" s="57"/>
      <c r="K117" s="47" t="s">
        <v>37</v>
      </c>
    </row>
    <row r="118">
      <c r="A118" s="73"/>
      <c r="B118" s="59" t="s">
        <v>90</v>
      </c>
      <c r="C118" s="59" t="s">
        <v>91</v>
      </c>
      <c r="D118" s="59" t="s">
        <v>92</v>
      </c>
      <c r="E118" s="59" t="s">
        <v>93</v>
      </c>
      <c r="F118" s="59" t="s">
        <v>53</v>
      </c>
      <c r="G118" s="59" t="s">
        <v>84</v>
      </c>
      <c r="H118" s="35" t="s">
        <v>193</v>
      </c>
      <c r="I118" s="45" t="s">
        <v>36</v>
      </c>
      <c r="J118" s="57"/>
      <c r="K118" s="47" t="s">
        <v>37</v>
      </c>
    </row>
    <row r="119">
      <c r="A119" s="74"/>
      <c r="B119" s="59" t="s">
        <v>94</v>
      </c>
      <c r="C119" s="59" t="s">
        <v>95</v>
      </c>
      <c r="D119" s="59" t="s">
        <v>96</v>
      </c>
      <c r="E119" s="59" t="s">
        <v>97</v>
      </c>
      <c r="F119" s="59" t="s">
        <v>98</v>
      </c>
      <c r="G119" s="59" t="s">
        <v>99</v>
      </c>
      <c r="H119" s="35" t="s">
        <v>193</v>
      </c>
      <c r="I119" s="45" t="s">
        <v>36</v>
      </c>
      <c r="J119" s="57"/>
      <c r="K119" s="47" t="s">
        <v>37</v>
      </c>
    </row>
    <row r="120">
      <c r="A120" s="74"/>
      <c r="B120" s="59" t="s">
        <v>100</v>
      </c>
      <c r="C120" s="59" t="s">
        <v>101</v>
      </c>
      <c r="D120" s="59" t="s">
        <v>102</v>
      </c>
      <c r="E120" s="59" t="s">
        <v>103</v>
      </c>
      <c r="F120" s="59" t="s">
        <v>53</v>
      </c>
      <c r="G120" s="59" t="s">
        <v>104</v>
      </c>
      <c r="H120" s="35" t="s">
        <v>193</v>
      </c>
      <c r="I120" s="45" t="s">
        <v>36</v>
      </c>
      <c r="J120" s="57"/>
      <c r="K120" s="47" t="s">
        <v>37</v>
      </c>
    </row>
    <row r="121">
      <c r="A121" s="74"/>
      <c r="B121" s="59" t="s">
        <v>105</v>
      </c>
      <c r="C121" s="59" t="s">
        <v>106</v>
      </c>
      <c r="D121" s="59" t="s">
        <v>107</v>
      </c>
      <c r="E121" s="59" t="s">
        <v>108</v>
      </c>
      <c r="F121" s="59" t="s">
        <v>109</v>
      </c>
      <c r="G121" s="59" t="s">
        <v>110</v>
      </c>
      <c r="H121" s="35" t="s">
        <v>193</v>
      </c>
      <c r="I121" s="45" t="s">
        <v>111</v>
      </c>
      <c r="J121" s="59" t="s">
        <v>112</v>
      </c>
      <c r="K121" s="47" t="s">
        <v>113</v>
      </c>
    </row>
    <row r="122">
      <c r="A122" s="74"/>
      <c r="B122" s="59" t="s">
        <v>114</v>
      </c>
      <c r="C122" s="59" t="s">
        <v>115</v>
      </c>
      <c r="D122" s="59" t="s">
        <v>116</v>
      </c>
      <c r="E122" s="59" t="s">
        <v>117</v>
      </c>
      <c r="F122" s="59" t="s">
        <v>53</v>
      </c>
      <c r="G122" s="59" t="s">
        <v>118</v>
      </c>
      <c r="H122" s="35" t="s">
        <v>193</v>
      </c>
      <c r="I122" s="45" t="s">
        <v>36</v>
      </c>
      <c r="J122" s="57"/>
      <c r="K122" s="47" t="s">
        <v>37</v>
      </c>
    </row>
    <row r="123">
      <c r="A123" s="74"/>
      <c r="B123" s="59" t="s">
        <v>119</v>
      </c>
      <c r="C123" s="59" t="s">
        <v>120</v>
      </c>
      <c r="D123" s="59" t="s">
        <v>121</v>
      </c>
      <c r="E123" s="59" t="s">
        <v>41</v>
      </c>
      <c r="F123" s="59" t="s">
        <v>122</v>
      </c>
      <c r="G123" s="59" t="s">
        <v>123</v>
      </c>
      <c r="H123" s="35" t="s">
        <v>193</v>
      </c>
      <c r="I123" s="45" t="s">
        <v>36</v>
      </c>
      <c r="J123" s="57"/>
      <c r="K123" s="47" t="s">
        <v>37</v>
      </c>
    </row>
    <row r="124">
      <c r="A124" s="74"/>
      <c r="B124" s="59" t="s">
        <v>124</v>
      </c>
      <c r="C124" s="59" t="s">
        <v>125</v>
      </c>
      <c r="D124" s="59" t="s">
        <v>126</v>
      </c>
      <c r="E124" s="59" t="s">
        <v>41</v>
      </c>
      <c r="F124" s="59" t="s">
        <v>127</v>
      </c>
      <c r="G124" s="59" t="s">
        <v>128</v>
      </c>
      <c r="H124" s="35" t="s">
        <v>193</v>
      </c>
      <c r="I124" s="45" t="s">
        <v>111</v>
      </c>
      <c r="J124" s="59" t="s">
        <v>129</v>
      </c>
      <c r="K124" s="47" t="s">
        <v>113</v>
      </c>
    </row>
    <row r="125">
      <c r="A125" s="74"/>
      <c r="B125" s="59" t="s">
        <v>124</v>
      </c>
      <c r="C125" s="59" t="s">
        <v>130</v>
      </c>
      <c r="D125" s="59" t="s">
        <v>131</v>
      </c>
      <c r="E125" s="59" t="s">
        <v>132</v>
      </c>
      <c r="F125" s="59" t="s">
        <v>53</v>
      </c>
      <c r="G125" s="59" t="s">
        <v>133</v>
      </c>
      <c r="H125" s="35" t="s">
        <v>193</v>
      </c>
      <c r="I125" s="45" t="s">
        <v>36</v>
      </c>
      <c r="J125" s="57"/>
      <c r="K125" s="47" t="s">
        <v>37</v>
      </c>
    </row>
    <row r="126">
      <c r="A126" s="74"/>
      <c r="B126" s="59" t="s">
        <v>134</v>
      </c>
      <c r="C126" s="59" t="s">
        <v>135</v>
      </c>
      <c r="D126" s="59" t="s">
        <v>136</v>
      </c>
      <c r="E126" s="59" t="s">
        <v>137</v>
      </c>
      <c r="F126" s="59" t="s">
        <v>53</v>
      </c>
      <c r="G126" s="59" t="s">
        <v>118</v>
      </c>
      <c r="H126" s="35" t="s">
        <v>193</v>
      </c>
      <c r="I126" s="45" t="s">
        <v>36</v>
      </c>
      <c r="J126" s="57"/>
      <c r="K126" s="47" t="s">
        <v>37</v>
      </c>
    </row>
    <row r="127">
      <c r="A127" s="74"/>
      <c r="B127" s="59" t="s">
        <v>138</v>
      </c>
      <c r="C127" s="59" t="s">
        <v>139</v>
      </c>
      <c r="D127" s="59" t="s">
        <v>140</v>
      </c>
      <c r="E127" s="59" t="s">
        <v>141</v>
      </c>
      <c r="F127" s="59" t="s">
        <v>53</v>
      </c>
      <c r="G127" s="59" t="s">
        <v>142</v>
      </c>
      <c r="H127" s="35" t="s">
        <v>193</v>
      </c>
      <c r="I127" s="50" t="s">
        <v>111</v>
      </c>
      <c r="J127" s="59" t="s">
        <v>143</v>
      </c>
      <c r="K127" s="47" t="s">
        <v>113</v>
      </c>
    </row>
    <row r="128">
      <c r="A128" s="74"/>
      <c r="B128" s="59" t="s">
        <v>144</v>
      </c>
      <c r="C128" s="59" t="s">
        <v>145</v>
      </c>
      <c r="D128" s="59" t="s">
        <v>146</v>
      </c>
      <c r="E128" s="59" t="s">
        <v>147</v>
      </c>
      <c r="F128" s="59" t="s">
        <v>148</v>
      </c>
      <c r="G128" s="59" t="s">
        <v>149</v>
      </c>
      <c r="H128" s="35" t="s">
        <v>193</v>
      </c>
      <c r="I128" s="45" t="s">
        <v>111</v>
      </c>
      <c r="J128" s="59" t="s">
        <v>150</v>
      </c>
      <c r="K128" s="47" t="s">
        <v>113</v>
      </c>
    </row>
    <row r="129">
      <c r="A129" s="74"/>
      <c r="B129" s="70"/>
      <c r="C129" s="70"/>
      <c r="D129" s="70"/>
      <c r="E129" s="71" t="s">
        <v>151</v>
      </c>
      <c r="F129" s="70"/>
      <c r="G129" s="70"/>
      <c r="H129" s="72"/>
      <c r="I129" s="75"/>
      <c r="J129" s="70"/>
      <c r="K129" s="55"/>
    </row>
    <row r="130">
      <c r="A130" s="74"/>
      <c r="B130" s="59" t="s">
        <v>152</v>
      </c>
      <c r="C130" s="59" t="s">
        <v>153</v>
      </c>
      <c r="D130" s="59" t="s">
        <v>154</v>
      </c>
      <c r="E130" s="59" t="s">
        <v>155</v>
      </c>
      <c r="F130" s="63" t="s">
        <v>156</v>
      </c>
      <c r="G130" s="59" t="s">
        <v>157</v>
      </c>
      <c r="H130" s="35" t="s">
        <v>193</v>
      </c>
      <c r="I130" s="45" t="s">
        <v>36</v>
      </c>
      <c r="J130" s="57"/>
      <c r="K130" s="47" t="s">
        <v>37</v>
      </c>
    </row>
    <row r="131">
      <c r="A131" s="74"/>
      <c r="B131" s="59" t="s">
        <v>158</v>
      </c>
      <c r="C131" s="59" t="s">
        <v>159</v>
      </c>
      <c r="D131" s="59" t="s">
        <v>160</v>
      </c>
      <c r="E131" s="59" t="s">
        <v>155</v>
      </c>
      <c r="F131" s="59" t="s">
        <v>161</v>
      </c>
      <c r="G131" s="59" t="s">
        <v>162</v>
      </c>
      <c r="H131" s="35" t="s">
        <v>193</v>
      </c>
      <c r="I131" s="45" t="s">
        <v>36</v>
      </c>
      <c r="J131" s="57"/>
      <c r="K131" s="47" t="s">
        <v>37</v>
      </c>
    </row>
    <row r="132">
      <c r="A132" s="74"/>
      <c r="B132" s="59" t="s">
        <v>163</v>
      </c>
      <c r="C132" s="59" t="s">
        <v>164</v>
      </c>
      <c r="D132" s="59" t="s">
        <v>165</v>
      </c>
      <c r="E132" s="59" t="s">
        <v>166</v>
      </c>
      <c r="F132" s="59" t="s">
        <v>167</v>
      </c>
      <c r="G132" s="59" t="s">
        <v>168</v>
      </c>
      <c r="H132" s="35" t="s">
        <v>193</v>
      </c>
      <c r="I132" s="45" t="s">
        <v>36</v>
      </c>
      <c r="J132" s="57"/>
      <c r="K132" s="47" t="s">
        <v>37</v>
      </c>
    </row>
    <row r="133">
      <c r="A133" s="74"/>
      <c r="B133" s="59" t="s">
        <v>169</v>
      </c>
      <c r="C133" s="59" t="s">
        <v>170</v>
      </c>
      <c r="D133" s="59" t="s">
        <v>171</v>
      </c>
      <c r="E133" s="59" t="s">
        <v>166</v>
      </c>
      <c r="F133" s="59" t="s">
        <v>172</v>
      </c>
      <c r="G133" s="63" t="s">
        <v>173</v>
      </c>
      <c r="H133" s="35" t="s">
        <v>193</v>
      </c>
      <c r="I133" s="45" t="s">
        <v>36</v>
      </c>
      <c r="J133" s="57"/>
      <c r="K133" s="58" t="s">
        <v>37</v>
      </c>
    </row>
    <row r="134">
      <c r="A134" s="74"/>
      <c r="B134" s="59" t="s">
        <v>174</v>
      </c>
      <c r="C134" s="59" t="s">
        <v>175</v>
      </c>
      <c r="D134" s="59" t="s">
        <v>176</v>
      </c>
      <c r="E134" s="59" t="s">
        <v>155</v>
      </c>
      <c r="F134" s="59" t="s">
        <v>161</v>
      </c>
      <c r="G134" s="63" t="s">
        <v>177</v>
      </c>
      <c r="H134" s="35" t="s">
        <v>193</v>
      </c>
      <c r="I134" s="45" t="s">
        <v>36</v>
      </c>
      <c r="J134" s="57"/>
      <c r="K134" s="58" t="s">
        <v>37</v>
      </c>
    </row>
    <row r="135">
      <c r="A135" s="74"/>
      <c r="B135" s="59" t="s">
        <v>178</v>
      </c>
      <c r="C135" s="59" t="s">
        <v>179</v>
      </c>
      <c r="D135" s="59" t="s">
        <v>180</v>
      </c>
      <c r="E135" s="59" t="s">
        <v>166</v>
      </c>
      <c r="F135" s="59" t="s">
        <v>181</v>
      </c>
      <c r="G135" s="59" t="s">
        <v>182</v>
      </c>
      <c r="H135" s="35" t="s">
        <v>193</v>
      </c>
      <c r="I135" s="45" t="s">
        <v>36</v>
      </c>
      <c r="J135" s="57"/>
      <c r="K135" s="58" t="s">
        <v>37</v>
      </c>
    </row>
    <row r="136">
      <c r="A136" s="74"/>
      <c r="B136" s="59" t="s">
        <v>183</v>
      </c>
      <c r="C136" s="59" t="s">
        <v>184</v>
      </c>
      <c r="D136" s="59" t="s">
        <v>185</v>
      </c>
      <c r="E136" s="59" t="s">
        <v>166</v>
      </c>
      <c r="F136" s="59" t="s">
        <v>186</v>
      </c>
      <c r="G136" s="59" t="s">
        <v>187</v>
      </c>
      <c r="H136" s="35" t="s">
        <v>193</v>
      </c>
      <c r="I136" s="45" t="s">
        <v>36</v>
      </c>
      <c r="J136" s="57"/>
      <c r="K136" s="58" t="s">
        <v>37</v>
      </c>
    </row>
    <row r="137">
      <c r="A137" s="74"/>
      <c r="B137" s="74"/>
      <c r="C137" s="74"/>
      <c r="D137" s="74"/>
      <c r="E137" s="74"/>
      <c r="F137" s="74"/>
      <c r="G137" s="74"/>
      <c r="H137" s="74"/>
      <c r="I137" s="74"/>
      <c r="J137" s="76"/>
      <c r="K137" s="77"/>
    </row>
    <row r="138">
      <c r="A138" s="74"/>
      <c r="B138" s="74"/>
      <c r="C138" s="74"/>
      <c r="D138" s="74"/>
      <c r="E138" s="74"/>
      <c r="F138" s="74"/>
      <c r="G138" s="74"/>
      <c r="H138" s="74"/>
      <c r="I138" s="74"/>
      <c r="J138" s="76"/>
      <c r="K138" s="77"/>
    </row>
    <row r="139">
      <c r="A139" s="74"/>
      <c r="B139" s="74"/>
      <c r="C139" s="74"/>
      <c r="D139" s="74"/>
      <c r="E139" s="74"/>
      <c r="F139" s="74"/>
      <c r="G139" s="74"/>
      <c r="H139" s="74"/>
      <c r="I139" s="74"/>
      <c r="J139" s="76"/>
      <c r="K139" s="77"/>
    </row>
    <row r="140">
      <c r="A140" s="74"/>
      <c r="B140" s="74"/>
      <c r="C140" s="74"/>
      <c r="D140" s="74"/>
      <c r="E140" s="74"/>
      <c r="F140" s="74"/>
      <c r="G140" s="74"/>
      <c r="H140" s="74"/>
      <c r="I140" s="74"/>
      <c r="J140" s="76"/>
      <c r="K140" s="77"/>
    </row>
    <row r="141">
      <c r="A141" s="74"/>
      <c r="B141" s="74"/>
      <c r="C141" s="74"/>
      <c r="D141" s="74"/>
      <c r="E141" s="74"/>
      <c r="F141" s="74"/>
      <c r="G141" s="74"/>
      <c r="H141" s="74"/>
      <c r="I141" s="74"/>
      <c r="J141" s="76"/>
      <c r="K141" s="77"/>
    </row>
    <row r="142">
      <c r="A142" s="74"/>
      <c r="B142" s="74"/>
      <c r="C142" s="74"/>
      <c r="D142" s="74"/>
      <c r="E142" s="74"/>
      <c r="F142" s="74"/>
      <c r="G142" s="74"/>
      <c r="H142" s="74"/>
      <c r="I142" s="74"/>
      <c r="J142" s="76"/>
      <c r="K142" s="77"/>
    </row>
    <row r="143">
      <c r="A143" s="74"/>
      <c r="B143" s="74"/>
      <c r="C143" s="74"/>
      <c r="D143" s="74"/>
      <c r="E143" s="74"/>
      <c r="F143" s="74"/>
      <c r="G143" s="74"/>
      <c r="H143" s="74"/>
      <c r="I143" s="74"/>
      <c r="J143" s="76"/>
      <c r="K143" s="77"/>
    </row>
    <row r="144">
      <c r="A144" s="74"/>
      <c r="B144" s="74"/>
      <c r="C144" s="74"/>
      <c r="D144" s="74"/>
      <c r="E144" s="74"/>
      <c r="F144" s="74"/>
      <c r="G144" s="74"/>
      <c r="H144" s="74"/>
      <c r="I144" s="74"/>
      <c r="J144" s="76"/>
      <c r="K144" s="77"/>
    </row>
    <row r="145">
      <c r="A145" s="74"/>
      <c r="B145" s="74"/>
      <c r="C145" s="74"/>
      <c r="D145" s="74"/>
      <c r="E145" s="74"/>
      <c r="F145" s="74"/>
      <c r="G145" s="74"/>
      <c r="H145" s="74"/>
      <c r="I145" s="74"/>
      <c r="J145" s="76"/>
      <c r="K145" s="77"/>
    </row>
    <row r="146">
      <c r="A146" s="74"/>
      <c r="B146" s="74"/>
      <c r="C146" s="74"/>
      <c r="D146" s="74"/>
      <c r="E146" s="74"/>
      <c r="F146" s="74"/>
      <c r="G146" s="74"/>
      <c r="H146" s="74"/>
      <c r="I146" s="74"/>
      <c r="J146" s="76"/>
      <c r="K146" s="77"/>
    </row>
    <row r="147">
      <c r="A147" s="74"/>
      <c r="B147" s="74"/>
      <c r="C147" s="74"/>
      <c r="D147" s="74"/>
      <c r="E147" s="74"/>
      <c r="F147" s="74"/>
      <c r="G147" s="74"/>
      <c r="H147" s="74"/>
      <c r="I147" s="74"/>
      <c r="J147" s="76"/>
      <c r="K147" s="77"/>
    </row>
    <row r="148">
      <c r="A148" s="74"/>
      <c r="B148" s="74"/>
      <c r="C148" s="74"/>
      <c r="D148" s="74"/>
      <c r="E148" s="74"/>
      <c r="F148" s="74"/>
      <c r="G148" s="74"/>
      <c r="H148" s="74"/>
      <c r="I148" s="74"/>
      <c r="J148" s="76"/>
      <c r="K148" s="77"/>
    </row>
    <row r="149">
      <c r="A149" s="74"/>
      <c r="B149" s="74"/>
      <c r="C149" s="74"/>
      <c r="D149" s="74"/>
      <c r="E149" s="74"/>
      <c r="F149" s="74"/>
      <c r="G149" s="74"/>
      <c r="H149" s="74"/>
      <c r="I149" s="74"/>
      <c r="J149" s="76"/>
      <c r="K149" s="77"/>
    </row>
    <row r="150">
      <c r="A150" s="74"/>
      <c r="B150" s="74"/>
      <c r="C150" s="74"/>
      <c r="D150" s="74"/>
      <c r="E150" s="74"/>
      <c r="F150" s="74"/>
      <c r="G150" s="74"/>
      <c r="H150" s="74"/>
      <c r="I150" s="74"/>
      <c r="J150" s="76"/>
      <c r="K150" s="77"/>
    </row>
    <row r="151">
      <c r="A151" s="74"/>
      <c r="B151" s="74"/>
      <c r="C151" s="74"/>
      <c r="D151" s="74"/>
      <c r="E151" s="74"/>
      <c r="F151" s="74"/>
      <c r="G151" s="74"/>
      <c r="H151" s="74"/>
      <c r="I151" s="74"/>
      <c r="J151" s="76"/>
      <c r="K151" s="77"/>
    </row>
    <row r="152">
      <c r="A152" s="74"/>
      <c r="B152" s="74"/>
      <c r="C152" s="74"/>
      <c r="D152" s="74"/>
      <c r="E152" s="74"/>
      <c r="F152" s="74"/>
      <c r="G152" s="74"/>
      <c r="H152" s="74"/>
      <c r="I152" s="74"/>
      <c r="J152" s="76"/>
      <c r="K152" s="77"/>
    </row>
    <row r="153">
      <c r="A153" s="74"/>
      <c r="B153" s="74"/>
      <c r="C153" s="74"/>
      <c r="D153" s="74"/>
      <c r="E153" s="74"/>
      <c r="F153" s="74"/>
      <c r="G153" s="74"/>
      <c r="H153" s="74"/>
      <c r="I153" s="74"/>
      <c r="J153" s="76"/>
      <c r="K153" s="77"/>
    </row>
    <row r="154">
      <c r="A154" s="74"/>
      <c r="B154" s="74"/>
      <c r="C154" s="74"/>
      <c r="D154" s="74"/>
      <c r="E154" s="74"/>
      <c r="F154" s="74"/>
      <c r="G154" s="74"/>
      <c r="H154" s="74"/>
      <c r="I154" s="74"/>
      <c r="J154" s="76"/>
      <c r="K154" s="77"/>
    </row>
    <row r="155">
      <c r="A155" s="74"/>
      <c r="B155" s="74"/>
      <c r="C155" s="74"/>
      <c r="D155" s="74"/>
      <c r="E155" s="74"/>
      <c r="F155" s="74"/>
      <c r="G155" s="74"/>
      <c r="H155" s="74"/>
      <c r="I155" s="74"/>
      <c r="J155" s="76"/>
      <c r="K155" s="77"/>
    </row>
    <row r="156">
      <c r="A156" s="74"/>
      <c r="B156" s="74"/>
      <c r="C156" s="74"/>
      <c r="D156" s="74"/>
      <c r="E156" s="74"/>
      <c r="F156" s="74"/>
      <c r="G156" s="74"/>
      <c r="H156" s="74"/>
      <c r="I156" s="74"/>
      <c r="J156" s="76"/>
      <c r="K156" s="77"/>
    </row>
    <row r="157">
      <c r="A157" s="74"/>
      <c r="B157" s="74"/>
      <c r="C157" s="74"/>
      <c r="D157" s="74"/>
      <c r="E157" s="74"/>
      <c r="F157" s="74"/>
      <c r="G157" s="74"/>
      <c r="H157" s="74"/>
      <c r="I157" s="74"/>
      <c r="J157" s="76"/>
      <c r="K157" s="77"/>
    </row>
    <row r="158">
      <c r="A158" s="74"/>
      <c r="B158" s="74"/>
      <c r="C158" s="74"/>
      <c r="D158" s="74"/>
      <c r="E158" s="74"/>
      <c r="F158" s="74"/>
      <c r="G158" s="74"/>
      <c r="H158" s="74"/>
      <c r="I158" s="74"/>
      <c r="J158" s="76"/>
      <c r="K158" s="77"/>
    </row>
    <row r="159">
      <c r="A159" s="74"/>
      <c r="B159" s="74"/>
      <c r="C159" s="74"/>
      <c r="D159" s="74"/>
      <c r="E159" s="74"/>
      <c r="F159" s="74"/>
      <c r="G159" s="74"/>
      <c r="H159" s="74"/>
      <c r="I159" s="74"/>
      <c r="J159" s="76"/>
      <c r="K159" s="77"/>
    </row>
    <row r="160">
      <c r="A160" s="74"/>
      <c r="B160" s="74"/>
      <c r="C160" s="74"/>
      <c r="D160" s="74"/>
      <c r="E160" s="74"/>
      <c r="F160" s="74"/>
      <c r="G160" s="74"/>
      <c r="H160" s="74"/>
      <c r="I160" s="74"/>
      <c r="J160" s="76"/>
      <c r="K160" s="77"/>
    </row>
    <row r="161">
      <c r="A161" s="74"/>
      <c r="B161" s="74"/>
      <c r="C161" s="74"/>
      <c r="D161" s="74"/>
      <c r="E161" s="74"/>
      <c r="F161" s="74"/>
      <c r="G161" s="74"/>
      <c r="H161" s="74"/>
      <c r="I161" s="74"/>
      <c r="J161" s="76"/>
      <c r="K161" s="77"/>
    </row>
    <row r="162">
      <c r="A162" s="74"/>
      <c r="B162" s="74"/>
      <c r="C162" s="74"/>
      <c r="D162" s="74"/>
      <c r="E162" s="74"/>
      <c r="F162" s="74"/>
      <c r="G162" s="74"/>
      <c r="H162" s="74"/>
      <c r="I162" s="74"/>
      <c r="J162" s="76"/>
      <c r="K162" s="77"/>
    </row>
    <row r="163">
      <c r="A163" s="74"/>
      <c r="B163" s="74"/>
      <c r="C163" s="74"/>
      <c r="D163" s="74"/>
      <c r="E163" s="74"/>
      <c r="F163" s="74"/>
      <c r="G163" s="74"/>
      <c r="H163" s="74"/>
      <c r="I163" s="74"/>
      <c r="J163" s="76"/>
      <c r="K163" s="77"/>
    </row>
    <row r="164">
      <c r="A164" s="74"/>
      <c r="B164" s="74"/>
      <c r="C164" s="74"/>
      <c r="D164" s="74"/>
      <c r="E164" s="74"/>
      <c r="F164" s="74"/>
      <c r="G164" s="74"/>
      <c r="H164" s="74"/>
      <c r="I164" s="74"/>
      <c r="J164" s="76"/>
      <c r="K164" s="77"/>
    </row>
    <row r="165">
      <c r="A165" s="74"/>
      <c r="B165" s="74"/>
      <c r="C165" s="74"/>
      <c r="D165" s="74"/>
      <c r="E165" s="74"/>
      <c r="F165" s="74"/>
      <c r="G165" s="74"/>
      <c r="H165" s="74"/>
      <c r="I165" s="74"/>
      <c r="J165" s="76"/>
      <c r="K165" s="77"/>
    </row>
    <row r="166">
      <c r="A166" s="74"/>
      <c r="B166" s="74"/>
      <c r="C166" s="74"/>
      <c r="D166" s="74"/>
      <c r="E166" s="74"/>
      <c r="F166" s="74"/>
      <c r="G166" s="74"/>
      <c r="H166" s="74"/>
      <c r="I166" s="74"/>
      <c r="J166" s="76"/>
      <c r="K166" s="77"/>
    </row>
    <row r="167">
      <c r="A167" s="74"/>
      <c r="B167" s="74"/>
      <c r="C167" s="74"/>
      <c r="D167" s="74"/>
      <c r="E167" s="74"/>
      <c r="F167" s="74"/>
      <c r="G167" s="74"/>
      <c r="H167" s="74"/>
      <c r="I167" s="74"/>
      <c r="J167" s="76"/>
      <c r="K167" s="77"/>
    </row>
    <row r="168">
      <c r="A168" s="74"/>
      <c r="B168" s="74"/>
      <c r="C168" s="74"/>
      <c r="D168" s="74"/>
      <c r="E168" s="74"/>
      <c r="F168" s="74"/>
      <c r="G168" s="74"/>
      <c r="H168" s="74"/>
      <c r="I168" s="74"/>
      <c r="J168" s="76"/>
      <c r="K168" s="76"/>
    </row>
    <row r="169">
      <c r="A169" s="74"/>
      <c r="B169" s="74"/>
      <c r="C169" s="74"/>
      <c r="D169" s="74"/>
      <c r="E169" s="74"/>
      <c r="F169" s="74"/>
      <c r="G169" s="74"/>
      <c r="H169" s="74"/>
      <c r="I169" s="74"/>
      <c r="J169" s="76"/>
      <c r="K169" s="76"/>
    </row>
    <row r="170">
      <c r="A170" s="74"/>
      <c r="B170" s="74"/>
      <c r="C170" s="74"/>
      <c r="D170" s="74"/>
      <c r="E170" s="74"/>
      <c r="F170" s="74"/>
      <c r="G170" s="74"/>
      <c r="H170" s="74"/>
      <c r="I170" s="74"/>
      <c r="J170" s="76"/>
      <c r="K170" s="76"/>
    </row>
    <row r="171">
      <c r="A171" s="74"/>
      <c r="B171" s="74"/>
      <c r="C171" s="74"/>
      <c r="D171" s="74"/>
      <c r="E171" s="74"/>
      <c r="F171" s="74"/>
      <c r="G171" s="74"/>
      <c r="H171" s="74"/>
      <c r="I171" s="74"/>
      <c r="J171" s="76"/>
      <c r="K171" s="76"/>
    </row>
    <row r="172">
      <c r="A172" s="74"/>
      <c r="B172" s="74"/>
      <c r="C172" s="74"/>
      <c r="D172" s="74"/>
      <c r="E172" s="74"/>
      <c r="F172" s="74"/>
      <c r="G172" s="74"/>
      <c r="H172" s="74"/>
      <c r="I172" s="74"/>
      <c r="J172" s="76"/>
      <c r="K172" s="76"/>
    </row>
    <row r="173">
      <c r="A173" s="74"/>
      <c r="B173" s="74"/>
      <c r="C173" s="74"/>
      <c r="D173" s="74"/>
      <c r="E173" s="74"/>
      <c r="F173" s="74"/>
      <c r="G173" s="74"/>
      <c r="H173" s="74"/>
      <c r="I173" s="74"/>
      <c r="J173" s="76"/>
      <c r="K173" s="76"/>
    </row>
    <row r="174">
      <c r="A174" s="74"/>
      <c r="B174" s="74"/>
      <c r="C174" s="74"/>
      <c r="D174" s="74"/>
      <c r="E174" s="74"/>
      <c r="F174" s="74"/>
      <c r="G174" s="74"/>
      <c r="H174" s="74"/>
      <c r="I174" s="74"/>
      <c r="J174" s="76"/>
      <c r="K174" s="76"/>
    </row>
    <row r="175">
      <c r="A175" s="74"/>
      <c r="B175" s="74"/>
      <c r="C175" s="74"/>
      <c r="D175" s="74"/>
      <c r="E175" s="74"/>
      <c r="F175" s="74"/>
      <c r="G175" s="74"/>
      <c r="H175" s="74"/>
      <c r="I175" s="74"/>
      <c r="J175" s="76"/>
      <c r="K175" s="76"/>
    </row>
    <row r="176">
      <c r="A176" s="74"/>
      <c r="B176" s="74"/>
      <c r="C176" s="74"/>
      <c r="D176" s="74"/>
      <c r="E176" s="74"/>
      <c r="F176" s="74"/>
      <c r="G176" s="74"/>
      <c r="H176" s="74"/>
      <c r="I176" s="74"/>
      <c r="J176" s="76"/>
      <c r="K176" s="76"/>
    </row>
    <row r="177">
      <c r="A177" s="74"/>
      <c r="B177" s="74"/>
      <c r="C177" s="74"/>
      <c r="D177" s="74"/>
      <c r="E177" s="74"/>
      <c r="F177" s="74"/>
      <c r="G177" s="74"/>
      <c r="H177" s="74"/>
      <c r="I177" s="74"/>
      <c r="J177" s="76"/>
      <c r="K177" s="76"/>
    </row>
    <row r="178">
      <c r="A178" s="74"/>
      <c r="B178" s="74"/>
      <c r="C178" s="74"/>
      <c r="D178" s="74"/>
      <c r="E178" s="74"/>
      <c r="F178" s="74"/>
      <c r="G178" s="74"/>
      <c r="H178" s="74"/>
      <c r="I178" s="74"/>
      <c r="J178" s="76"/>
      <c r="K178" s="76"/>
    </row>
    <row r="179">
      <c r="A179" s="74"/>
      <c r="B179" s="74"/>
      <c r="C179" s="74"/>
      <c r="D179" s="74"/>
      <c r="E179" s="74"/>
      <c r="F179" s="74"/>
      <c r="G179" s="74"/>
      <c r="H179" s="74"/>
      <c r="I179" s="74"/>
      <c r="J179" s="76"/>
      <c r="K179" s="76"/>
    </row>
    <row r="180">
      <c r="A180" s="74"/>
      <c r="B180" s="74"/>
      <c r="C180" s="74"/>
      <c r="D180" s="74"/>
      <c r="E180" s="74"/>
      <c r="F180" s="74"/>
      <c r="G180" s="74"/>
      <c r="H180" s="74"/>
      <c r="I180" s="74"/>
      <c r="J180" s="76"/>
      <c r="K180" s="76"/>
    </row>
    <row r="181">
      <c r="A181" s="74"/>
      <c r="B181" s="74"/>
      <c r="C181" s="74"/>
      <c r="D181" s="74"/>
      <c r="E181" s="74"/>
      <c r="F181" s="74"/>
      <c r="G181" s="74"/>
      <c r="H181" s="74"/>
      <c r="I181" s="74"/>
      <c r="J181" s="76"/>
      <c r="K181" s="76"/>
    </row>
    <row r="182">
      <c r="A182" s="74"/>
      <c r="B182" s="74"/>
      <c r="C182" s="74"/>
      <c r="D182" s="74"/>
      <c r="E182" s="74"/>
      <c r="F182" s="74"/>
      <c r="G182" s="74"/>
      <c r="H182" s="74"/>
      <c r="I182" s="74"/>
      <c r="J182" s="76"/>
      <c r="K182" s="76"/>
    </row>
    <row r="183">
      <c r="A183" s="74"/>
      <c r="B183" s="74"/>
      <c r="C183" s="74"/>
      <c r="D183" s="74"/>
      <c r="E183" s="74"/>
      <c r="F183" s="74"/>
      <c r="G183" s="74"/>
      <c r="H183" s="74"/>
      <c r="I183" s="74"/>
      <c r="J183" s="76"/>
      <c r="K183" s="76"/>
    </row>
    <row r="184">
      <c r="A184" s="74"/>
      <c r="B184" s="74"/>
      <c r="C184" s="74"/>
      <c r="D184" s="74"/>
      <c r="E184" s="74"/>
      <c r="F184" s="74"/>
      <c r="G184" s="74"/>
      <c r="H184" s="74"/>
      <c r="I184" s="74"/>
      <c r="J184" s="76"/>
      <c r="K184" s="76"/>
    </row>
    <row r="185">
      <c r="A185" s="74"/>
      <c r="B185" s="74"/>
      <c r="C185" s="74"/>
      <c r="D185" s="74"/>
      <c r="E185" s="74"/>
      <c r="F185" s="74"/>
      <c r="G185" s="74"/>
      <c r="H185" s="74"/>
      <c r="I185" s="74"/>
      <c r="J185" s="76"/>
      <c r="K185" s="76"/>
    </row>
    <row r="186">
      <c r="A186" s="74"/>
      <c r="B186" s="74"/>
      <c r="C186" s="74"/>
      <c r="D186" s="74"/>
      <c r="E186" s="74"/>
      <c r="F186" s="74"/>
      <c r="G186" s="74"/>
      <c r="H186" s="74"/>
      <c r="I186" s="74"/>
      <c r="J186" s="76"/>
      <c r="K186" s="76"/>
    </row>
    <row r="187">
      <c r="A187" s="74"/>
      <c r="B187" s="74"/>
      <c r="C187" s="74"/>
      <c r="D187" s="74"/>
      <c r="E187" s="74"/>
      <c r="F187" s="74"/>
      <c r="G187" s="74"/>
      <c r="H187" s="74"/>
      <c r="I187" s="74"/>
      <c r="J187" s="76"/>
      <c r="K187" s="76"/>
    </row>
    <row r="188">
      <c r="A188" s="74"/>
      <c r="B188" s="74"/>
      <c r="C188" s="74"/>
      <c r="D188" s="74"/>
      <c r="E188" s="74"/>
      <c r="F188" s="74"/>
      <c r="G188" s="74"/>
      <c r="H188" s="74"/>
      <c r="I188" s="74"/>
      <c r="J188" s="76"/>
      <c r="K188" s="76"/>
    </row>
    <row r="189">
      <c r="A189" s="74"/>
      <c r="B189" s="74"/>
      <c r="C189" s="74"/>
      <c r="D189" s="74"/>
      <c r="E189" s="74"/>
      <c r="F189" s="74"/>
      <c r="G189" s="74"/>
      <c r="H189" s="74"/>
      <c r="I189" s="74"/>
      <c r="J189" s="76"/>
      <c r="K189" s="76"/>
    </row>
    <row r="190">
      <c r="A190" s="74"/>
      <c r="B190" s="74"/>
      <c r="C190" s="74"/>
      <c r="D190" s="74"/>
      <c r="E190" s="74"/>
      <c r="F190" s="74"/>
      <c r="G190" s="74"/>
      <c r="H190" s="74"/>
      <c r="I190" s="74"/>
      <c r="J190" s="76"/>
      <c r="K190" s="76"/>
    </row>
    <row r="191">
      <c r="A191" s="74"/>
      <c r="B191" s="74"/>
      <c r="C191" s="74"/>
      <c r="D191" s="74"/>
      <c r="E191" s="74"/>
      <c r="F191" s="74"/>
      <c r="G191" s="74"/>
      <c r="H191" s="74"/>
      <c r="I191" s="74"/>
      <c r="J191" s="76"/>
      <c r="K191" s="76"/>
    </row>
    <row r="192">
      <c r="A192" s="74"/>
      <c r="B192" s="74"/>
      <c r="C192" s="74"/>
      <c r="D192" s="74"/>
      <c r="E192" s="74"/>
      <c r="F192" s="74"/>
      <c r="G192" s="74"/>
      <c r="H192" s="74"/>
      <c r="I192" s="74"/>
      <c r="J192" s="76"/>
      <c r="K192" s="76"/>
    </row>
    <row r="193">
      <c r="A193" s="74"/>
      <c r="B193" s="74"/>
      <c r="C193" s="74"/>
      <c r="D193" s="74"/>
      <c r="E193" s="74"/>
      <c r="F193" s="74"/>
      <c r="G193" s="74"/>
      <c r="H193" s="74"/>
      <c r="I193" s="74"/>
      <c r="J193" s="76"/>
      <c r="K193" s="76"/>
    </row>
    <row r="194">
      <c r="A194" s="74"/>
      <c r="B194" s="74"/>
      <c r="C194" s="74"/>
      <c r="D194" s="74"/>
      <c r="E194" s="74"/>
      <c r="F194" s="74"/>
      <c r="G194" s="74"/>
      <c r="H194" s="74"/>
      <c r="I194" s="74"/>
      <c r="J194" s="76"/>
      <c r="K194" s="76"/>
    </row>
    <row r="195">
      <c r="A195" s="74"/>
      <c r="B195" s="74"/>
      <c r="C195" s="74"/>
      <c r="D195" s="74"/>
      <c r="E195" s="74"/>
      <c r="F195" s="74"/>
      <c r="G195" s="74"/>
      <c r="H195" s="74"/>
      <c r="I195" s="74"/>
      <c r="J195" s="76"/>
      <c r="K195" s="76"/>
    </row>
    <row r="196">
      <c r="A196" s="74"/>
      <c r="B196" s="74"/>
      <c r="C196" s="74"/>
      <c r="D196" s="74"/>
      <c r="E196" s="74"/>
      <c r="F196" s="74"/>
      <c r="G196" s="74"/>
      <c r="H196" s="74"/>
      <c r="I196" s="74"/>
      <c r="J196" s="76"/>
      <c r="K196" s="76"/>
    </row>
    <row r="197">
      <c r="A197" s="74"/>
      <c r="B197" s="74"/>
      <c r="C197" s="74"/>
      <c r="D197" s="74"/>
      <c r="E197" s="74"/>
      <c r="F197" s="74"/>
      <c r="G197" s="74"/>
      <c r="H197" s="74"/>
      <c r="I197" s="74"/>
      <c r="J197" s="76"/>
      <c r="K197" s="76"/>
    </row>
    <row r="198">
      <c r="A198" s="74"/>
      <c r="B198" s="74"/>
      <c r="C198" s="74"/>
      <c r="D198" s="74"/>
      <c r="E198" s="74"/>
      <c r="F198" s="74"/>
      <c r="G198" s="74"/>
      <c r="H198" s="74"/>
      <c r="I198" s="74"/>
      <c r="J198" s="76"/>
      <c r="K198" s="76"/>
    </row>
    <row r="199">
      <c r="A199" s="74"/>
      <c r="B199" s="74"/>
      <c r="C199" s="74"/>
      <c r="D199" s="74"/>
      <c r="E199" s="74"/>
      <c r="F199" s="74"/>
      <c r="G199" s="74"/>
      <c r="H199" s="74"/>
      <c r="I199" s="74"/>
      <c r="J199" s="76"/>
      <c r="K199" s="76"/>
    </row>
    <row r="200">
      <c r="A200" s="74"/>
      <c r="B200" s="74"/>
      <c r="C200" s="74"/>
      <c r="D200" s="74"/>
      <c r="E200" s="74"/>
      <c r="F200" s="74"/>
      <c r="G200" s="74"/>
      <c r="H200" s="74"/>
      <c r="I200" s="74"/>
      <c r="J200" s="76"/>
      <c r="K200" s="76"/>
    </row>
    <row r="201">
      <c r="A201" s="74"/>
      <c r="B201" s="74"/>
      <c r="C201" s="74"/>
      <c r="D201" s="74"/>
      <c r="E201" s="74"/>
      <c r="F201" s="74"/>
      <c r="G201" s="74"/>
      <c r="H201" s="74"/>
      <c r="I201" s="74"/>
      <c r="J201" s="76"/>
      <c r="K201" s="76"/>
    </row>
    <row r="202">
      <c r="A202" s="74"/>
      <c r="B202" s="74"/>
      <c r="C202" s="74"/>
      <c r="D202" s="74"/>
      <c r="E202" s="74"/>
      <c r="F202" s="74"/>
      <c r="G202" s="74"/>
      <c r="H202" s="74"/>
      <c r="I202" s="74"/>
      <c r="J202" s="76"/>
      <c r="K202" s="76"/>
    </row>
    <row r="203">
      <c r="A203" s="74"/>
      <c r="B203" s="74"/>
      <c r="C203" s="74"/>
      <c r="D203" s="74"/>
      <c r="E203" s="74"/>
      <c r="F203" s="74"/>
      <c r="G203" s="74"/>
      <c r="H203" s="74"/>
      <c r="I203" s="74"/>
      <c r="J203" s="76"/>
      <c r="K203" s="76"/>
    </row>
    <row r="204">
      <c r="A204" s="74"/>
      <c r="B204" s="74"/>
      <c r="C204" s="74"/>
      <c r="D204" s="74"/>
      <c r="E204" s="74"/>
      <c r="F204" s="74"/>
      <c r="G204" s="74"/>
      <c r="H204" s="74"/>
      <c r="I204" s="74"/>
      <c r="J204" s="76"/>
      <c r="K204" s="76"/>
    </row>
    <row r="205">
      <c r="A205" s="74"/>
      <c r="B205" s="74"/>
      <c r="C205" s="74"/>
      <c r="D205" s="74"/>
      <c r="E205" s="74"/>
      <c r="F205" s="74"/>
      <c r="G205" s="74"/>
      <c r="H205" s="74"/>
      <c r="I205" s="74"/>
      <c r="J205" s="76"/>
      <c r="K205" s="76"/>
    </row>
    <row r="206">
      <c r="A206" s="74"/>
      <c r="B206" s="74"/>
      <c r="C206" s="74"/>
      <c r="D206" s="74"/>
      <c r="E206" s="74"/>
      <c r="F206" s="74"/>
      <c r="G206" s="74"/>
      <c r="H206" s="74"/>
      <c r="I206" s="74"/>
      <c r="J206" s="76"/>
      <c r="K206" s="76"/>
    </row>
    <row r="207">
      <c r="A207" s="74"/>
      <c r="B207" s="74"/>
      <c r="C207" s="74"/>
      <c r="D207" s="74"/>
      <c r="E207" s="74"/>
      <c r="F207" s="74"/>
      <c r="G207" s="74"/>
      <c r="H207" s="74"/>
      <c r="I207" s="74"/>
      <c r="J207" s="76"/>
      <c r="K207" s="76"/>
    </row>
    <row r="208">
      <c r="A208" s="74"/>
      <c r="B208" s="74"/>
      <c r="C208" s="74"/>
      <c r="D208" s="74"/>
      <c r="E208" s="74"/>
      <c r="F208" s="74"/>
      <c r="G208" s="74"/>
      <c r="H208" s="74"/>
      <c r="I208" s="74"/>
      <c r="J208" s="76"/>
      <c r="K208" s="76"/>
    </row>
    <row r="209">
      <c r="A209" s="74"/>
      <c r="B209" s="74"/>
      <c r="C209" s="74"/>
      <c r="D209" s="74"/>
      <c r="E209" s="74"/>
      <c r="F209" s="74"/>
      <c r="G209" s="74"/>
      <c r="H209" s="74"/>
      <c r="I209" s="74"/>
      <c r="J209" s="76"/>
      <c r="K209" s="76"/>
    </row>
    <row r="210">
      <c r="A210" s="74"/>
      <c r="B210" s="74"/>
      <c r="C210" s="74"/>
      <c r="D210" s="74"/>
      <c r="E210" s="74"/>
      <c r="F210" s="74"/>
      <c r="G210" s="74"/>
      <c r="H210" s="74"/>
      <c r="I210" s="74"/>
      <c r="J210" s="76"/>
      <c r="K210" s="76"/>
    </row>
    <row r="211">
      <c r="A211" s="74"/>
      <c r="B211" s="74"/>
      <c r="C211" s="74"/>
      <c r="D211" s="74"/>
      <c r="E211" s="74"/>
      <c r="F211" s="74"/>
      <c r="G211" s="74"/>
      <c r="H211" s="74"/>
      <c r="I211" s="74"/>
      <c r="J211" s="76"/>
      <c r="K211" s="76"/>
    </row>
    <row r="212">
      <c r="A212" s="74"/>
      <c r="B212" s="74"/>
      <c r="C212" s="74"/>
      <c r="D212" s="74"/>
      <c r="E212" s="74"/>
      <c r="F212" s="74"/>
      <c r="G212" s="74"/>
      <c r="H212" s="74"/>
      <c r="I212" s="74"/>
      <c r="J212" s="76"/>
      <c r="K212" s="76"/>
    </row>
    <row r="213">
      <c r="A213" s="74"/>
      <c r="B213" s="74"/>
      <c r="C213" s="74"/>
      <c r="D213" s="74"/>
      <c r="E213" s="74"/>
      <c r="F213" s="74"/>
      <c r="G213" s="74"/>
      <c r="H213" s="74"/>
      <c r="I213" s="74"/>
      <c r="J213" s="76"/>
      <c r="K213" s="76"/>
    </row>
    <row r="214">
      <c r="A214" s="74"/>
      <c r="B214" s="74"/>
      <c r="C214" s="74"/>
      <c r="D214" s="74"/>
      <c r="E214" s="74"/>
      <c r="F214" s="74"/>
      <c r="G214" s="74"/>
      <c r="H214" s="74"/>
      <c r="I214" s="74"/>
      <c r="J214" s="76"/>
      <c r="K214" s="76"/>
    </row>
    <row r="215">
      <c r="A215" s="74"/>
      <c r="B215" s="74"/>
      <c r="C215" s="74"/>
      <c r="D215" s="74"/>
      <c r="E215" s="74"/>
      <c r="F215" s="74"/>
      <c r="G215" s="74"/>
      <c r="H215" s="74"/>
      <c r="I215" s="74"/>
      <c r="J215" s="76"/>
      <c r="K215" s="76"/>
    </row>
    <row r="216">
      <c r="A216" s="74"/>
      <c r="B216" s="74"/>
      <c r="C216" s="74"/>
      <c r="D216" s="74"/>
      <c r="E216" s="74"/>
      <c r="F216" s="74"/>
      <c r="G216" s="74"/>
      <c r="H216" s="74"/>
      <c r="I216" s="74"/>
      <c r="J216" s="76"/>
      <c r="K216" s="76"/>
    </row>
    <row r="217">
      <c r="A217" s="74"/>
      <c r="B217" s="74"/>
      <c r="C217" s="74"/>
      <c r="D217" s="74"/>
      <c r="E217" s="74"/>
      <c r="F217" s="74"/>
      <c r="G217" s="74"/>
      <c r="H217" s="74"/>
      <c r="I217" s="74"/>
      <c r="J217" s="76"/>
      <c r="K217" s="76"/>
    </row>
    <row r="218">
      <c r="A218" s="74"/>
      <c r="B218" s="74"/>
      <c r="C218" s="74"/>
      <c r="D218" s="74"/>
      <c r="E218" s="74"/>
      <c r="F218" s="74"/>
      <c r="G218" s="74"/>
      <c r="H218" s="74"/>
      <c r="I218" s="74"/>
      <c r="J218" s="76"/>
      <c r="K218" s="76"/>
    </row>
    <row r="219">
      <c r="A219" s="74"/>
      <c r="B219" s="74"/>
      <c r="C219" s="74"/>
      <c r="D219" s="74"/>
      <c r="E219" s="74"/>
      <c r="F219" s="74"/>
      <c r="G219" s="74"/>
      <c r="H219" s="74"/>
      <c r="I219" s="74"/>
      <c r="J219" s="76"/>
      <c r="K219" s="76"/>
    </row>
    <row r="220">
      <c r="A220" s="74"/>
      <c r="B220" s="74"/>
      <c r="C220" s="74"/>
      <c r="D220" s="74"/>
      <c r="E220" s="74"/>
      <c r="F220" s="74"/>
      <c r="G220" s="74"/>
      <c r="H220" s="74"/>
      <c r="I220" s="74"/>
      <c r="J220" s="76"/>
      <c r="K220" s="76"/>
    </row>
    <row r="221">
      <c r="A221" s="74"/>
      <c r="B221" s="74"/>
      <c r="C221" s="74"/>
      <c r="D221" s="74"/>
      <c r="E221" s="74"/>
      <c r="F221" s="74"/>
      <c r="G221" s="74"/>
      <c r="H221" s="74"/>
      <c r="I221" s="74"/>
      <c r="J221" s="76"/>
      <c r="K221" s="76"/>
    </row>
    <row r="222">
      <c r="A222" s="74"/>
      <c r="B222" s="74"/>
      <c r="C222" s="74"/>
      <c r="D222" s="74"/>
      <c r="E222" s="74"/>
      <c r="F222" s="74"/>
      <c r="G222" s="74"/>
      <c r="H222" s="74"/>
      <c r="I222" s="74"/>
      <c r="J222" s="76"/>
      <c r="K222" s="76"/>
    </row>
    <row r="223">
      <c r="A223" s="74"/>
      <c r="B223" s="74"/>
      <c r="C223" s="74"/>
      <c r="D223" s="74"/>
      <c r="E223" s="74"/>
      <c r="F223" s="74"/>
      <c r="G223" s="74"/>
      <c r="H223" s="74"/>
      <c r="I223" s="74"/>
      <c r="J223" s="76"/>
      <c r="K223" s="76"/>
    </row>
    <row r="224">
      <c r="A224" s="74"/>
      <c r="B224" s="74"/>
      <c r="C224" s="74"/>
      <c r="D224" s="74"/>
      <c r="E224" s="74"/>
      <c r="F224" s="74"/>
      <c r="G224" s="74"/>
      <c r="H224" s="74"/>
      <c r="I224" s="74"/>
      <c r="J224" s="76"/>
      <c r="K224" s="76"/>
    </row>
    <row r="225">
      <c r="A225" s="74"/>
      <c r="B225" s="74"/>
      <c r="C225" s="74"/>
      <c r="D225" s="74"/>
      <c r="E225" s="74"/>
      <c r="F225" s="74"/>
      <c r="G225" s="74"/>
      <c r="H225" s="74"/>
      <c r="I225" s="74"/>
      <c r="J225" s="76"/>
      <c r="K225" s="76"/>
    </row>
    <row r="226">
      <c r="A226" s="74"/>
      <c r="B226" s="74"/>
      <c r="C226" s="74"/>
      <c r="D226" s="74"/>
      <c r="E226" s="74"/>
      <c r="F226" s="74"/>
      <c r="G226" s="74"/>
      <c r="H226" s="74"/>
      <c r="I226" s="74"/>
      <c r="J226" s="76"/>
      <c r="K226" s="76"/>
    </row>
    <row r="227">
      <c r="A227" s="74"/>
      <c r="B227" s="74"/>
      <c r="C227" s="74"/>
      <c r="D227" s="74"/>
      <c r="E227" s="74"/>
      <c r="F227" s="74"/>
      <c r="G227" s="74"/>
      <c r="H227" s="74"/>
      <c r="I227" s="74"/>
      <c r="J227" s="76"/>
      <c r="K227" s="76"/>
    </row>
    <row r="228">
      <c r="A228" s="74"/>
      <c r="B228" s="74"/>
      <c r="C228" s="74"/>
      <c r="D228" s="74"/>
      <c r="E228" s="74"/>
      <c r="F228" s="74"/>
      <c r="G228" s="74"/>
      <c r="H228" s="74"/>
      <c r="I228" s="74"/>
      <c r="J228" s="76"/>
      <c r="K228" s="76"/>
    </row>
    <row r="229">
      <c r="A229" s="74"/>
      <c r="B229" s="74"/>
      <c r="C229" s="74"/>
      <c r="D229" s="74"/>
      <c r="E229" s="74"/>
      <c r="F229" s="74"/>
      <c r="G229" s="74"/>
      <c r="H229" s="74"/>
      <c r="I229" s="74"/>
      <c r="J229" s="76"/>
      <c r="K229" s="76"/>
    </row>
    <row r="230">
      <c r="A230" s="74"/>
      <c r="B230" s="74"/>
      <c r="C230" s="74"/>
      <c r="D230" s="74"/>
      <c r="E230" s="74"/>
      <c r="F230" s="74"/>
      <c r="G230" s="74"/>
      <c r="H230" s="74"/>
      <c r="I230" s="74"/>
      <c r="J230" s="76"/>
      <c r="K230" s="76"/>
    </row>
    <row r="231">
      <c r="A231" s="74"/>
      <c r="B231" s="74"/>
      <c r="C231" s="74"/>
      <c r="D231" s="74"/>
      <c r="E231" s="74"/>
      <c r="F231" s="74"/>
      <c r="G231" s="74"/>
      <c r="H231" s="74"/>
      <c r="I231" s="74"/>
      <c r="J231" s="76"/>
      <c r="K231" s="76"/>
    </row>
    <row r="232">
      <c r="A232" s="74"/>
      <c r="B232" s="74"/>
      <c r="C232" s="74"/>
      <c r="D232" s="74"/>
      <c r="E232" s="74"/>
      <c r="F232" s="74"/>
      <c r="G232" s="74"/>
      <c r="H232" s="74"/>
      <c r="I232" s="74"/>
      <c r="J232" s="76"/>
      <c r="K232" s="76"/>
    </row>
    <row r="233">
      <c r="A233" s="74"/>
      <c r="B233" s="74"/>
      <c r="C233" s="74"/>
      <c r="D233" s="74"/>
      <c r="E233" s="74"/>
      <c r="F233" s="74"/>
      <c r="G233" s="74"/>
      <c r="H233" s="74"/>
      <c r="I233" s="74"/>
      <c r="J233" s="76"/>
      <c r="K233" s="76"/>
    </row>
    <row r="234">
      <c r="A234" s="74"/>
      <c r="B234" s="74"/>
      <c r="C234" s="74"/>
      <c r="D234" s="74"/>
      <c r="E234" s="74"/>
      <c r="F234" s="74"/>
      <c r="G234" s="74"/>
      <c r="H234" s="74"/>
      <c r="I234" s="74"/>
      <c r="J234" s="76"/>
      <c r="K234" s="76"/>
    </row>
    <row r="235">
      <c r="A235" s="74"/>
      <c r="B235" s="74"/>
      <c r="C235" s="74"/>
      <c r="D235" s="74"/>
      <c r="E235" s="74"/>
      <c r="F235" s="74"/>
      <c r="G235" s="74"/>
      <c r="H235" s="74"/>
      <c r="I235" s="74"/>
      <c r="J235" s="76"/>
      <c r="K235" s="76"/>
    </row>
    <row r="236">
      <c r="A236" s="74"/>
      <c r="B236" s="74"/>
      <c r="C236" s="74"/>
      <c r="D236" s="74"/>
      <c r="E236" s="74"/>
      <c r="F236" s="74"/>
      <c r="G236" s="74"/>
      <c r="H236" s="74"/>
      <c r="I236" s="74"/>
      <c r="J236" s="76"/>
      <c r="K236" s="76"/>
    </row>
    <row r="237">
      <c r="A237" s="74"/>
      <c r="B237" s="74"/>
      <c r="C237" s="74"/>
      <c r="D237" s="74"/>
      <c r="E237" s="74"/>
      <c r="F237" s="74"/>
      <c r="G237" s="74"/>
      <c r="H237" s="74"/>
      <c r="I237" s="74"/>
      <c r="J237" s="76"/>
      <c r="K237" s="76"/>
    </row>
    <row r="238">
      <c r="A238" s="74"/>
      <c r="B238" s="74"/>
      <c r="C238" s="74"/>
      <c r="D238" s="74"/>
      <c r="E238" s="74"/>
      <c r="F238" s="74"/>
      <c r="G238" s="74"/>
      <c r="H238" s="74"/>
      <c r="I238" s="74"/>
      <c r="J238" s="76"/>
      <c r="K238" s="76"/>
    </row>
    <row r="239">
      <c r="A239" s="74"/>
      <c r="B239" s="74"/>
      <c r="C239" s="74"/>
      <c r="D239" s="74"/>
      <c r="E239" s="74"/>
      <c r="F239" s="74"/>
      <c r="G239" s="74"/>
      <c r="H239" s="74"/>
      <c r="I239" s="74"/>
      <c r="J239" s="76"/>
      <c r="K239" s="76"/>
    </row>
    <row r="240">
      <c r="A240" s="74"/>
      <c r="B240" s="74"/>
      <c r="C240" s="74"/>
      <c r="D240" s="74"/>
      <c r="E240" s="74"/>
      <c r="F240" s="74"/>
      <c r="G240" s="74"/>
      <c r="H240" s="74"/>
      <c r="I240" s="74"/>
      <c r="J240" s="76"/>
      <c r="K240" s="76"/>
    </row>
    <row r="241">
      <c r="A241" s="74"/>
      <c r="B241" s="74"/>
      <c r="C241" s="74"/>
      <c r="D241" s="74"/>
      <c r="E241" s="74"/>
      <c r="F241" s="74"/>
      <c r="G241" s="74"/>
      <c r="H241" s="74"/>
      <c r="I241" s="74"/>
      <c r="J241" s="76"/>
      <c r="K241" s="76"/>
    </row>
    <row r="242">
      <c r="A242" s="74"/>
      <c r="B242" s="74"/>
      <c r="C242" s="74"/>
      <c r="D242" s="74"/>
      <c r="E242" s="74"/>
      <c r="F242" s="74"/>
      <c r="G242" s="74"/>
      <c r="H242" s="74"/>
      <c r="I242" s="74"/>
      <c r="J242" s="76"/>
      <c r="K242" s="76"/>
    </row>
    <row r="243">
      <c r="A243" s="74"/>
      <c r="B243" s="74"/>
      <c r="C243" s="74"/>
      <c r="D243" s="74"/>
      <c r="E243" s="74"/>
      <c r="F243" s="74"/>
      <c r="G243" s="74"/>
      <c r="H243" s="74"/>
      <c r="I243" s="74"/>
      <c r="J243" s="76"/>
      <c r="K243" s="76"/>
    </row>
    <row r="244">
      <c r="A244" s="74"/>
      <c r="B244" s="74"/>
      <c r="C244" s="74"/>
      <c r="D244" s="74"/>
      <c r="E244" s="74"/>
      <c r="F244" s="74"/>
      <c r="G244" s="74"/>
      <c r="H244" s="74"/>
      <c r="I244" s="74"/>
      <c r="J244" s="76"/>
      <c r="K244" s="76"/>
    </row>
    <row r="245">
      <c r="A245" s="74"/>
      <c r="B245" s="74"/>
      <c r="C245" s="74"/>
      <c r="D245" s="74"/>
      <c r="E245" s="74"/>
      <c r="F245" s="74"/>
      <c r="G245" s="74"/>
      <c r="H245" s="74"/>
      <c r="I245" s="74"/>
      <c r="J245" s="76"/>
      <c r="K245" s="76"/>
    </row>
    <row r="246">
      <c r="A246" s="74"/>
      <c r="B246" s="74"/>
      <c r="C246" s="74"/>
      <c r="D246" s="74"/>
      <c r="E246" s="74"/>
      <c r="F246" s="74"/>
      <c r="G246" s="74"/>
      <c r="H246" s="74"/>
      <c r="I246" s="74"/>
      <c r="J246" s="76"/>
      <c r="K246" s="76"/>
    </row>
    <row r="247">
      <c r="A247" s="74"/>
      <c r="B247" s="74"/>
      <c r="C247" s="74"/>
      <c r="D247" s="74"/>
      <c r="E247" s="74"/>
      <c r="F247" s="74"/>
      <c r="G247" s="74"/>
      <c r="H247" s="74"/>
      <c r="I247" s="74"/>
      <c r="J247" s="76"/>
      <c r="K247" s="76"/>
    </row>
    <row r="248">
      <c r="A248" s="74"/>
      <c r="B248" s="74"/>
      <c r="C248" s="74"/>
      <c r="D248" s="74"/>
      <c r="E248" s="74"/>
      <c r="F248" s="74"/>
      <c r="G248" s="74"/>
      <c r="H248" s="74"/>
      <c r="I248" s="74"/>
      <c r="J248" s="76"/>
      <c r="K248" s="76"/>
    </row>
    <row r="249">
      <c r="A249" s="74"/>
      <c r="B249" s="74"/>
      <c r="C249" s="74"/>
      <c r="D249" s="74"/>
      <c r="E249" s="74"/>
      <c r="F249" s="74"/>
      <c r="G249" s="74"/>
      <c r="H249" s="74"/>
      <c r="I249" s="74"/>
      <c r="J249" s="76"/>
      <c r="K249" s="76"/>
    </row>
    <row r="250">
      <c r="A250" s="74"/>
      <c r="B250" s="74"/>
      <c r="C250" s="74"/>
      <c r="D250" s="74"/>
      <c r="E250" s="74"/>
      <c r="F250" s="74"/>
      <c r="G250" s="74"/>
      <c r="H250" s="74"/>
      <c r="I250" s="74"/>
      <c r="J250" s="76"/>
      <c r="K250" s="76"/>
    </row>
    <row r="251">
      <c r="A251" s="74"/>
      <c r="B251" s="74"/>
      <c r="C251" s="74"/>
      <c r="D251" s="74"/>
      <c r="E251" s="74"/>
      <c r="F251" s="74"/>
      <c r="G251" s="74"/>
      <c r="H251" s="74"/>
      <c r="I251" s="74"/>
      <c r="J251" s="76"/>
      <c r="K251" s="76"/>
    </row>
    <row r="252">
      <c r="A252" s="74"/>
      <c r="B252" s="74"/>
      <c r="C252" s="74"/>
      <c r="D252" s="74"/>
      <c r="E252" s="74"/>
      <c r="F252" s="74"/>
      <c r="G252" s="74"/>
      <c r="H252" s="74"/>
      <c r="I252" s="74"/>
      <c r="J252" s="76"/>
      <c r="K252" s="76"/>
    </row>
    <row r="253">
      <c r="A253" s="74"/>
      <c r="B253" s="74"/>
      <c r="C253" s="74"/>
      <c r="D253" s="74"/>
      <c r="E253" s="74"/>
      <c r="F253" s="74"/>
      <c r="G253" s="74"/>
      <c r="H253" s="74"/>
      <c r="I253" s="74"/>
      <c r="J253" s="76"/>
      <c r="K253" s="76"/>
    </row>
    <row r="254">
      <c r="A254" s="74"/>
      <c r="B254" s="74"/>
      <c r="C254" s="74"/>
      <c r="D254" s="74"/>
      <c r="E254" s="74"/>
      <c r="F254" s="74"/>
      <c r="G254" s="74"/>
      <c r="H254" s="74"/>
      <c r="I254" s="74"/>
      <c r="J254" s="76"/>
      <c r="K254" s="76"/>
    </row>
    <row r="255">
      <c r="A255" s="74"/>
      <c r="B255" s="74"/>
      <c r="C255" s="74"/>
      <c r="D255" s="74"/>
      <c r="E255" s="74"/>
      <c r="F255" s="74"/>
      <c r="G255" s="74"/>
      <c r="H255" s="74"/>
      <c r="I255" s="74"/>
      <c r="J255" s="76"/>
      <c r="K255" s="76"/>
    </row>
    <row r="256">
      <c r="A256" s="74"/>
      <c r="B256" s="74"/>
      <c r="C256" s="74"/>
      <c r="D256" s="74"/>
      <c r="E256" s="74"/>
      <c r="F256" s="74"/>
      <c r="G256" s="74"/>
      <c r="H256" s="74"/>
      <c r="I256" s="74"/>
      <c r="J256" s="76"/>
      <c r="K256" s="76"/>
    </row>
    <row r="257">
      <c r="A257" s="74"/>
      <c r="B257" s="74"/>
      <c r="C257" s="74"/>
      <c r="D257" s="74"/>
      <c r="E257" s="74"/>
      <c r="F257" s="74"/>
      <c r="G257" s="74"/>
      <c r="H257" s="74"/>
      <c r="I257" s="74"/>
      <c r="J257" s="76"/>
      <c r="K257" s="76"/>
    </row>
    <row r="258">
      <c r="A258" s="74"/>
      <c r="B258" s="74"/>
      <c r="C258" s="74"/>
      <c r="D258" s="74"/>
      <c r="E258" s="74"/>
      <c r="F258" s="74"/>
      <c r="G258" s="74"/>
      <c r="H258" s="74"/>
      <c r="I258" s="74"/>
      <c r="J258" s="76"/>
      <c r="K258" s="76"/>
    </row>
    <row r="259">
      <c r="A259" s="74"/>
      <c r="B259" s="74"/>
      <c r="C259" s="74"/>
      <c r="D259" s="74"/>
      <c r="E259" s="74"/>
      <c r="F259" s="74"/>
      <c r="G259" s="74"/>
      <c r="H259" s="74"/>
      <c r="I259" s="74"/>
      <c r="J259" s="76"/>
      <c r="K259" s="76"/>
    </row>
    <row r="260">
      <c r="A260" s="74"/>
      <c r="B260" s="74"/>
      <c r="C260" s="74"/>
      <c r="D260" s="74"/>
      <c r="E260" s="74"/>
      <c r="F260" s="74"/>
      <c r="G260" s="74"/>
      <c r="H260" s="74"/>
      <c r="I260" s="74"/>
      <c r="J260" s="76"/>
      <c r="K260" s="76"/>
    </row>
    <row r="261">
      <c r="A261" s="74"/>
      <c r="B261" s="74"/>
      <c r="C261" s="74"/>
      <c r="D261" s="74"/>
      <c r="E261" s="74"/>
      <c r="F261" s="74"/>
      <c r="G261" s="74"/>
      <c r="H261" s="74"/>
      <c r="I261" s="74"/>
      <c r="J261" s="76"/>
      <c r="K261" s="76"/>
    </row>
    <row r="262">
      <c r="A262" s="74"/>
      <c r="B262" s="74"/>
      <c r="C262" s="74"/>
      <c r="D262" s="74"/>
      <c r="E262" s="74"/>
      <c r="F262" s="74"/>
      <c r="G262" s="74"/>
      <c r="H262" s="74"/>
      <c r="I262" s="74"/>
      <c r="J262" s="76"/>
      <c r="K262" s="76"/>
    </row>
    <row r="263">
      <c r="A263" s="74"/>
      <c r="B263" s="74"/>
      <c r="C263" s="74"/>
      <c r="D263" s="74"/>
      <c r="E263" s="74"/>
      <c r="F263" s="74"/>
      <c r="G263" s="74"/>
      <c r="H263" s="74"/>
      <c r="I263" s="74"/>
      <c r="J263" s="76"/>
      <c r="K263" s="76"/>
    </row>
    <row r="264">
      <c r="A264" s="74"/>
      <c r="B264" s="74"/>
      <c r="C264" s="74"/>
      <c r="D264" s="74"/>
      <c r="E264" s="74"/>
      <c r="F264" s="74"/>
      <c r="G264" s="74"/>
      <c r="H264" s="74"/>
      <c r="I264" s="74"/>
      <c r="J264" s="76"/>
      <c r="K264" s="76"/>
    </row>
    <row r="265">
      <c r="A265" s="74"/>
      <c r="B265" s="74"/>
      <c r="C265" s="74"/>
      <c r="D265" s="74"/>
      <c r="E265" s="74"/>
      <c r="F265" s="74"/>
      <c r="G265" s="74"/>
      <c r="H265" s="74"/>
      <c r="I265" s="74"/>
      <c r="J265" s="76"/>
      <c r="K265" s="76"/>
    </row>
    <row r="266">
      <c r="A266" s="74"/>
      <c r="B266" s="74"/>
      <c r="C266" s="74"/>
      <c r="D266" s="74"/>
      <c r="E266" s="74"/>
      <c r="F266" s="74"/>
      <c r="G266" s="74"/>
      <c r="H266" s="74"/>
      <c r="I266" s="74"/>
      <c r="J266" s="76"/>
      <c r="K266" s="76"/>
    </row>
    <row r="267">
      <c r="A267" s="74"/>
      <c r="B267" s="74"/>
      <c r="C267" s="74"/>
      <c r="D267" s="74"/>
      <c r="E267" s="74"/>
      <c r="F267" s="74"/>
      <c r="G267" s="74"/>
      <c r="H267" s="74"/>
      <c r="I267" s="74"/>
      <c r="J267" s="76"/>
      <c r="K267" s="76"/>
    </row>
    <row r="268">
      <c r="A268" s="74"/>
      <c r="B268" s="74"/>
      <c r="C268" s="74"/>
      <c r="D268" s="74"/>
      <c r="E268" s="74"/>
      <c r="F268" s="74"/>
      <c r="G268" s="74"/>
      <c r="H268" s="74"/>
      <c r="I268" s="74"/>
      <c r="J268" s="76"/>
      <c r="K268" s="76"/>
    </row>
    <row r="269">
      <c r="A269" s="74"/>
      <c r="B269" s="74"/>
      <c r="C269" s="74"/>
      <c r="D269" s="74"/>
      <c r="E269" s="74"/>
      <c r="F269" s="74"/>
      <c r="G269" s="74"/>
      <c r="H269" s="74"/>
      <c r="I269" s="74"/>
      <c r="J269" s="76"/>
      <c r="K269" s="76"/>
    </row>
    <row r="270">
      <c r="A270" s="74"/>
      <c r="B270" s="74"/>
      <c r="C270" s="74"/>
      <c r="D270" s="74"/>
      <c r="E270" s="74"/>
      <c r="F270" s="74"/>
      <c r="G270" s="74"/>
      <c r="H270" s="74"/>
      <c r="I270" s="74"/>
      <c r="J270" s="76"/>
      <c r="K270" s="76"/>
    </row>
    <row r="271">
      <c r="A271" s="74"/>
      <c r="B271" s="74"/>
      <c r="C271" s="74"/>
      <c r="D271" s="74"/>
      <c r="E271" s="74"/>
      <c r="F271" s="74"/>
      <c r="G271" s="74"/>
      <c r="H271" s="74"/>
      <c r="I271" s="74"/>
      <c r="J271" s="76"/>
      <c r="K271" s="76"/>
    </row>
    <row r="272">
      <c r="A272" s="74"/>
      <c r="B272" s="74"/>
      <c r="C272" s="74"/>
      <c r="D272" s="74"/>
      <c r="E272" s="74"/>
      <c r="F272" s="74"/>
      <c r="G272" s="74"/>
      <c r="H272" s="74"/>
      <c r="I272" s="74"/>
      <c r="J272" s="76"/>
      <c r="K272" s="76"/>
    </row>
    <row r="273">
      <c r="A273" s="74"/>
      <c r="B273" s="74"/>
      <c r="C273" s="74"/>
      <c r="D273" s="74"/>
      <c r="E273" s="74"/>
      <c r="F273" s="74"/>
      <c r="G273" s="74"/>
      <c r="H273" s="74"/>
      <c r="I273" s="74"/>
      <c r="J273" s="76"/>
      <c r="K273" s="76"/>
    </row>
    <row r="274">
      <c r="A274" s="74"/>
      <c r="B274" s="74"/>
      <c r="C274" s="74"/>
      <c r="D274" s="74"/>
      <c r="E274" s="74"/>
      <c r="F274" s="74"/>
      <c r="G274" s="74"/>
      <c r="H274" s="74"/>
      <c r="I274" s="74"/>
      <c r="J274" s="76"/>
      <c r="K274" s="76"/>
    </row>
    <row r="275">
      <c r="A275" s="74"/>
      <c r="B275" s="74"/>
      <c r="C275" s="74"/>
      <c r="D275" s="74"/>
      <c r="E275" s="74"/>
      <c r="F275" s="74"/>
      <c r="G275" s="74"/>
      <c r="H275" s="74"/>
      <c r="I275" s="74"/>
      <c r="J275" s="76"/>
      <c r="K275" s="76"/>
    </row>
    <row r="276">
      <c r="A276" s="74"/>
      <c r="B276" s="74"/>
      <c r="C276" s="74"/>
      <c r="D276" s="74"/>
      <c r="E276" s="74"/>
      <c r="F276" s="74"/>
      <c r="G276" s="74"/>
      <c r="H276" s="74"/>
      <c r="I276" s="74"/>
      <c r="J276" s="76"/>
      <c r="K276" s="76"/>
    </row>
    <row r="277">
      <c r="A277" s="74"/>
      <c r="B277" s="74"/>
      <c r="C277" s="74"/>
      <c r="D277" s="74"/>
      <c r="E277" s="74"/>
      <c r="F277" s="74"/>
      <c r="G277" s="74"/>
      <c r="H277" s="74"/>
      <c r="I277" s="74"/>
      <c r="J277" s="76"/>
      <c r="K277" s="76"/>
    </row>
    <row r="278">
      <c r="A278" s="74"/>
      <c r="B278" s="74"/>
      <c r="C278" s="74"/>
      <c r="D278" s="74"/>
      <c r="E278" s="74"/>
      <c r="F278" s="74"/>
      <c r="G278" s="74"/>
      <c r="H278" s="74"/>
      <c r="I278" s="74"/>
      <c r="J278" s="76"/>
      <c r="K278" s="76"/>
    </row>
    <row r="279">
      <c r="A279" s="74"/>
      <c r="B279" s="74"/>
      <c r="C279" s="74"/>
      <c r="D279" s="74"/>
      <c r="E279" s="74"/>
      <c r="F279" s="74"/>
      <c r="G279" s="74"/>
      <c r="H279" s="74"/>
      <c r="I279" s="74"/>
      <c r="J279" s="76"/>
      <c r="K279" s="76"/>
    </row>
    <row r="280">
      <c r="A280" s="74"/>
      <c r="B280" s="74"/>
      <c r="C280" s="74"/>
      <c r="D280" s="74"/>
      <c r="E280" s="74"/>
      <c r="F280" s="74"/>
      <c r="G280" s="74"/>
      <c r="H280" s="74"/>
      <c r="I280" s="74"/>
      <c r="J280" s="76"/>
      <c r="K280" s="76"/>
    </row>
    <row r="281">
      <c r="A281" s="74"/>
      <c r="B281" s="74"/>
      <c r="C281" s="74"/>
      <c r="D281" s="74"/>
      <c r="E281" s="74"/>
      <c r="F281" s="74"/>
      <c r="G281" s="74"/>
      <c r="H281" s="74"/>
      <c r="I281" s="74"/>
      <c r="J281" s="76"/>
      <c r="K281" s="76"/>
    </row>
    <row r="282">
      <c r="A282" s="74"/>
      <c r="B282" s="74"/>
      <c r="C282" s="74"/>
      <c r="D282" s="74"/>
      <c r="E282" s="74"/>
      <c r="F282" s="74"/>
      <c r="G282" s="74"/>
      <c r="H282" s="74"/>
      <c r="I282" s="74"/>
      <c r="J282" s="76"/>
      <c r="K282" s="76"/>
    </row>
    <row r="283">
      <c r="A283" s="74"/>
      <c r="B283" s="74"/>
      <c r="C283" s="74"/>
      <c r="D283" s="74"/>
      <c r="E283" s="74"/>
      <c r="F283" s="74"/>
      <c r="G283" s="74"/>
      <c r="H283" s="74"/>
      <c r="I283" s="74"/>
      <c r="J283" s="76"/>
      <c r="K283" s="76"/>
    </row>
    <row r="284">
      <c r="A284" s="74"/>
      <c r="B284" s="74"/>
      <c r="C284" s="74"/>
      <c r="D284" s="74"/>
      <c r="E284" s="74"/>
      <c r="F284" s="74"/>
      <c r="G284" s="74"/>
      <c r="H284" s="74"/>
      <c r="I284" s="74"/>
      <c r="J284" s="76"/>
      <c r="K284" s="76"/>
    </row>
    <row r="285">
      <c r="A285" s="74"/>
      <c r="B285" s="74"/>
      <c r="C285" s="74"/>
      <c r="D285" s="74"/>
      <c r="E285" s="74"/>
      <c r="F285" s="74"/>
      <c r="G285" s="74"/>
      <c r="H285" s="74"/>
      <c r="I285" s="74"/>
      <c r="J285" s="76"/>
      <c r="K285" s="76"/>
    </row>
    <row r="286">
      <c r="A286" s="74"/>
      <c r="B286" s="74"/>
      <c r="C286" s="74"/>
      <c r="D286" s="74"/>
      <c r="E286" s="74"/>
      <c r="F286" s="74"/>
      <c r="G286" s="74"/>
      <c r="H286" s="74"/>
      <c r="I286" s="74"/>
      <c r="J286" s="76"/>
      <c r="K286" s="76"/>
    </row>
    <row r="287">
      <c r="A287" s="74"/>
      <c r="B287" s="74"/>
      <c r="C287" s="74"/>
      <c r="D287" s="74"/>
      <c r="E287" s="74"/>
      <c r="F287" s="74"/>
      <c r="G287" s="74"/>
      <c r="H287" s="74"/>
      <c r="I287" s="74"/>
      <c r="J287" s="76"/>
      <c r="K287" s="76"/>
    </row>
    <row r="288">
      <c r="A288" s="74"/>
      <c r="B288" s="74"/>
      <c r="C288" s="74"/>
      <c r="D288" s="74"/>
      <c r="E288" s="74"/>
      <c r="F288" s="74"/>
      <c r="G288" s="74"/>
      <c r="H288" s="74"/>
      <c r="I288" s="74"/>
      <c r="J288" s="76"/>
      <c r="K288" s="76"/>
    </row>
    <row r="289">
      <c r="A289" s="74"/>
      <c r="B289" s="74"/>
      <c r="C289" s="74"/>
      <c r="D289" s="74"/>
      <c r="E289" s="74"/>
      <c r="F289" s="74"/>
      <c r="G289" s="74"/>
      <c r="H289" s="74"/>
      <c r="I289" s="74"/>
      <c r="J289" s="76"/>
      <c r="K289" s="76"/>
    </row>
    <row r="290">
      <c r="A290" s="74"/>
      <c r="B290" s="74"/>
      <c r="C290" s="74"/>
      <c r="D290" s="74"/>
      <c r="E290" s="74"/>
      <c r="F290" s="74"/>
      <c r="G290" s="74"/>
      <c r="H290" s="74"/>
      <c r="I290" s="74"/>
      <c r="J290" s="76"/>
      <c r="K290" s="76"/>
    </row>
    <row r="291">
      <c r="A291" s="74"/>
      <c r="B291" s="74"/>
      <c r="C291" s="74"/>
      <c r="D291" s="74"/>
      <c r="E291" s="74"/>
      <c r="F291" s="74"/>
      <c r="G291" s="74"/>
      <c r="H291" s="74"/>
      <c r="I291" s="74"/>
      <c r="J291" s="76"/>
      <c r="K291" s="76"/>
    </row>
    <row r="292">
      <c r="A292" s="74"/>
      <c r="B292" s="74"/>
      <c r="C292" s="74"/>
      <c r="D292" s="74"/>
      <c r="E292" s="74"/>
      <c r="F292" s="74"/>
      <c r="G292" s="74"/>
      <c r="H292" s="74"/>
      <c r="I292" s="74"/>
      <c r="J292" s="76"/>
      <c r="K292" s="76"/>
    </row>
    <row r="293">
      <c r="A293" s="74"/>
      <c r="B293" s="74"/>
      <c r="C293" s="74"/>
      <c r="D293" s="74"/>
      <c r="E293" s="74"/>
      <c r="F293" s="74"/>
      <c r="G293" s="74"/>
      <c r="H293" s="74"/>
      <c r="I293" s="74"/>
      <c r="J293" s="76"/>
      <c r="K293" s="76"/>
    </row>
    <row r="294">
      <c r="A294" s="74"/>
      <c r="B294" s="74"/>
      <c r="C294" s="74"/>
      <c r="D294" s="74"/>
      <c r="E294" s="74"/>
      <c r="F294" s="74"/>
      <c r="G294" s="74"/>
      <c r="H294" s="74"/>
      <c r="I294" s="74"/>
      <c r="J294" s="76"/>
      <c r="K294" s="76"/>
    </row>
    <row r="295">
      <c r="A295" s="74"/>
      <c r="B295" s="74"/>
      <c r="C295" s="74"/>
      <c r="D295" s="74"/>
      <c r="E295" s="74"/>
      <c r="F295" s="74"/>
      <c r="G295" s="74"/>
      <c r="H295" s="74"/>
      <c r="I295" s="74"/>
      <c r="J295" s="76"/>
      <c r="K295" s="76"/>
    </row>
    <row r="296">
      <c r="A296" s="74"/>
      <c r="B296" s="74"/>
      <c r="C296" s="74"/>
      <c r="D296" s="74"/>
      <c r="E296" s="74"/>
      <c r="F296" s="74"/>
      <c r="G296" s="74"/>
      <c r="H296" s="74"/>
      <c r="I296" s="74"/>
      <c r="J296" s="76"/>
      <c r="K296" s="76"/>
    </row>
    <row r="297">
      <c r="A297" s="74"/>
      <c r="B297" s="74"/>
      <c r="C297" s="74"/>
      <c r="D297" s="74"/>
      <c r="E297" s="74"/>
      <c r="F297" s="74"/>
      <c r="G297" s="74"/>
      <c r="H297" s="74"/>
      <c r="I297" s="74"/>
      <c r="J297" s="76"/>
      <c r="K297" s="76"/>
    </row>
    <row r="298">
      <c r="A298" s="74"/>
      <c r="B298" s="74"/>
      <c r="C298" s="74"/>
      <c r="D298" s="74"/>
      <c r="E298" s="74"/>
      <c r="F298" s="74"/>
      <c r="G298" s="74"/>
      <c r="H298" s="74"/>
      <c r="I298" s="74"/>
      <c r="J298" s="76"/>
      <c r="K298" s="76"/>
    </row>
    <row r="299">
      <c r="A299" s="74"/>
      <c r="B299" s="74"/>
      <c r="C299" s="74"/>
      <c r="D299" s="74"/>
      <c r="E299" s="74"/>
      <c r="F299" s="74"/>
      <c r="G299" s="74"/>
      <c r="H299" s="74"/>
      <c r="I299" s="74"/>
      <c r="J299" s="76"/>
      <c r="K299" s="76"/>
    </row>
    <row r="300">
      <c r="A300" s="74"/>
      <c r="B300" s="74"/>
      <c r="C300" s="74"/>
      <c r="D300" s="74"/>
      <c r="E300" s="74"/>
      <c r="F300" s="74"/>
      <c r="G300" s="74"/>
      <c r="H300" s="74"/>
      <c r="I300" s="74"/>
      <c r="J300" s="76"/>
      <c r="K300" s="76"/>
    </row>
    <row r="301">
      <c r="A301" s="74"/>
      <c r="B301" s="74"/>
      <c r="C301" s="74"/>
      <c r="D301" s="74"/>
      <c r="E301" s="74"/>
      <c r="F301" s="74"/>
      <c r="G301" s="74"/>
      <c r="H301" s="74"/>
      <c r="I301" s="74"/>
      <c r="J301" s="76"/>
      <c r="K301" s="76"/>
    </row>
    <row r="302">
      <c r="A302" s="74"/>
      <c r="B302" s="74"/>
      <c r="C302" s="74"/>
      <c r="D302" s="74"/>
      <c r="E302" s="74"/>
      <c r="F302" s="74"/>
      <c r="G302" s="74"/>
      <c r="H302" s="74"/>
      <c r="I302" s="74"/>
      <c r="J302" s="76"/>
      <c r="K302" s="76"/>
    </row>
    <row r="303">
      <c r="A303" s="74"/>
      <c r="B303" s="74"/>
      <c r="C303" s="74"/>
      <c r="D303" s="74"/>
      <c r="E303" s="74"/>
      <c r="F303" s="74"/>
      <c r="G303" s="74"/>
      <c r="H303" s="74"/>
      <c r="I303" s="74"/>
      <c r="J303" s="76"/>
      <c r="K303" s="76"/>
    </row>
    <row r="304">
      <c r="A304" s="74"/>
      <c r="B304" s="74"/>
      <c r="C304" s="74"/>
      <c r="D304" s="74"/>
      <c r="E304" s="74"/>
      <c r="F304" s="74"/>
      <c r="G304" s="74"/>
      <c r="H304" s="74"/>
      <c r="I304" s="74"/>
      <c r="J304" s="76"/>
      <c r="K304" s="76"/>
    </row>
    <row r="305">
      <c r="A305" s="74"/>
      <c r="B305" s="74"/>
      <c r="C305" s="74"/>
      <c r="D305" s="74"/>
      <c r="E305" s="74"/>
      <c r="F305" s="74"/>
      <c r="G305" s="74"/>
      <c r="H305" s="74"/>
      <c r="I305" s="74"/>
      <c r="J305" s="76"/>
      <c r="K305" s="76"/>
    </row>
    <row r="306">
      <c r="A306" s="74"/>
      <c r="B306" s="74"/>
      <c r="C306" s="74"/>
      <c r="D306" s="74"/>
      <c r="E306" s="74"/>
      <c r="F306" s="74"/>
      <c r="G306" s="74"/>
      <c r="H306" s="74"/>
      <c r="I306" s="74"/>
      <c r="J306" s="76"/>
      <c r="K306" s="76"/>
    </row>
    <row r="307">
      <c r="A307" s="74"/>
      <c r="B307" s="74"/>
      <c r="C307" s="74"/>
      <c r="D307" s="74"/>
      <c r="E307" s="74"/>
      <c r="F307" s="74"/>
      <c r="G307" s="74"/>
      <c r="H307" s="74"/>
      <c r="I307" s="74"/>
      <c r="J307" s="76"/>
      <c r="K307" s="76"/>
    </row>
    <row r="308">
      <c r="A308" s="74"/>
      <c r="B308" s="74"/>
      <c r="C308" s="74"/>
      <c r="D308" s="74"/>
      <c r="E308" s="74"/>
      <c r="F308" s="74"/>
      <c r="G308" s="74"/>
      <c r="H308" s="74"/>
      <c r="I308" s="74"/>
      <c r="J308" s="76"/>
      <c r="K308" s="76"/>
    </row>
    <row r="309">
      <c r="A309" s="74"/>
      <c r="B309" s="74"/>
      <c r="C309" s="74"/>
      <c r="D309" s="74"/>
      <c r="E309" s="74"/>
      <c r="F309" s="74"/>
      <c r="G309" s="74"/>
      <c r="H309" s="74"/>
      <c r="I309" s="74"/>
      <c r="J309" s="76"/>
      <c r="K309" s="76"/>
    </row>
    <row r="310">
      <c r="A310" s="74"/>
      <c r="B310" s="74"/>
      <c r="C310" s="74"/>
      <c r="D310" s="74"/>
      <c r="E310" s="74"/>
      <c r="F310" s="74"/>
      <c r="G310" s="74"/>
      <c r="H310" s="74"/>
      <c r="I310" s="74"/>
      <c r="J310" s="76"/>
      <c r="K310" s="76"/>
    </row>
    <row r="311">
      <c r="A311" s="74"/>
      <c r="B311" s="74"/>
      <c r="C311" s="74"/>
      <c r="D311" s="74"/>
      <c r="E311" s="74"/>
      <c r="F311" s="74"/>
      <c r="G311" s="74"/>
      <c r="H311" s="74"/>
      <c r="I311" s="74"/>
      <c r="J311" s="76"/>
      <c r="K311" s="76"/>
    </row>
    <row r="312">
      <c r="A312" s="74"/>
      <c r="B312" s="74"/>
      <c r="C312" s="74"/>
      <c r="D312" s="74"/>
      <c r="E312" s="74"/>
      <c r="F312" s="74"/>
      <c r="G312" s="74"/>
      <c r="H312" s="74"/>
      <c r="I312" s="74"/>
      <c r="J312" s="76"/>
      <c r="K312" s="76"/>
    </row>
    <row r="313">
      <c r="A313" s="74"/>
      <c r="B313" s="74"/>
      <c r="C313" s="74"/>
      <c r="D313" s="74"/>
      <c r="E313" s="74"/>
      <c r="F313" s="74"/>
      <c r="G313" s="74"/>
      <c r="H313" s="74"/>
      <c r="I313" s="74"/>
      <c r="J313" s="76"/>
      <c r="K313" s="76"/>
    </row>
    <row r="314">
      <c r="A314" s="74"/>
      <c r="B314" s="74"/>
      <c r="C314" s="74"/>
      <c r="D314" s="74"/>
      <c r="E314" s="74"/>
      <c r="F314" s="74"/>
      <c r="G314" s="74"/>
      <c r="H314" s="74"/>
      <c r="I314" s="74"/>
      <c r="J314" s="76"/>
      <c r="K314" s="76"/>
    </row>
    <row r="315">
      <c r="A315" s="74"/>
      <c r="B315" s="74"/>
      <c r="C315" s="74"/>
      <c r="D315" s="74"/>
      <c r="E315" s="74"/>
      <c r="F315" s="74"/>
      <c r="G315" s="74"/>
      <c r="H315" s="74"/>
      <c r="I315" s="74"/>
      <c r="J315" s="76"/>
      <c r="K315" s="76"/>
    </row>
    <row r="316">
      <c r="A316" s="74"/>
      <c r="B316" s="74"/>
      <c r="C316" s="74"/>
      <c r="D316" s="74"/>
      <c r="E316" s="74"/>
      <c r="F316" s="74"/>
      <c r="G316" s="74"/>
      <c r="H316" s="74"/>
      <c r="I316" s="74"/>
      <c r="J316" s="76"/>
      <c r="K316" s="76"/>
    </row>
    <row r="317">
      <c r="A317" s="74"/>
      <c r="B317" s="74"/>
      <c r="C317" s="74"/>
      <c r="D317" s="74"/>
      <c r="E317" s="74"/>
      <c r="F317" s="74"/>
      <c r="G317" s="74"/>
      <c r="H317" s="74"/>
      <c r="I317" s="74"/>
      <c r="J317" s="76"/>
      <c r="K317" s="76"/>
    </row>
    <row r="318">
      <c r="A318" s="74"/>
      <c r="B318" s="74"/>
      <c r="C318" s="74"/>
      <c r="D318" s="74"/>
      <c r="E318" s="74"/>
      <c r="F318" s="74"/>
      <c r="G318" s="74"/>
      <c r="H318" s="74"/>
      <c r="I318" s="74"/>
      <c r="J318" s="76"/>
      <c r="K318" s="76"/>
    </row>
    <row r="319">
      <c r="A319" s="74"/>
      <c r="B319" s="74"/>
      <c r="C319" s="74"/>
      <c r="D319" s="74"/>
      <c r="E319" s="74"/>
      <c r="F319" s="74"/>
      <c r="G319" s="74"/>
      <c r="H319" s="74"/>
      <c r="I319" s="74"/>
      <c r="J319" s="76"/>
      <c r="K319" s="76"/>
    </row>
    <row r="320">
      <c r="A320" s="74"/>
      <c r="B320" s="74"/>
      <c r="C320" s="74"/>
      <c r="D320" s="74"/>
      <c r="E320" s="74"/>
      <c r="F320" s="74"/>
      <c r="G320" s="74"/>
      <c r="H320" s="74"/>
      <c r="I320" s="74"/>
      <c r="J320" s="76"/>
      <c r="K320" s="76"/>
    </row>
    <row r="321">
      <c r="A321" s="74"/>
      <c r="B321" s="74"/>
      <c r="C321" s="74"/>
      <c r="D321" s="74"/>
      <c r="E321" s="74"/>
      <c r="F321" s="74"/>
      <c r="G321" s="74"/>
      <c r="H321" s="74"/>
      <c r="I321" s="74"/>
      <c r="J321" s="76"/>
      <c r="K321" s="76"/>
    </row>
    <row r="322">
      <c r="A322" s="74"/>
      <c r="B322" s="74"/>
      <c r="C322" s="74"/>
      <c r="D322" s="74"/>
      <c r="E322" s="74"/>
      <c r="F322" s="74"/>
      <c r="G322" s="74"/>
      <c r="H322" s="74"/>
      <c r="I322" s="74"/>
      <c r="J322" s="76"/>
      <c r="K322" s="76"/>
    </row>
    <row r="323">
      <c r="A323" s="74"/>
      <c r="B323" s="74"/>
      <c r="C323" s="74"/>
      <c r="D323" s="74"/>
      <c r="E323" s="74"/>
      <c r="F323" s="74"/>
      <c r="G323" s="74"/>
      <c r="H323" s="74"/>
      <c r="I323" s="74"/>
      <c r="J323" s="76"/>
      <c r="K323" s="76"/>
    </row>
    <row r="324">
      <c r="A324" s="74"/>
      <c r="B324" s="74"/>
      <c r="C324" s="74"/>
      <c r="D324" s="74"/>
      <c r="E324" s="74"/>
      <c r="F324" s="74"/>
      <c r="G324" s="74"/>
      <c r="H324" s="74"/>
      <c r="I324" s="74"/>
      <c r="J324" s="76"/>
      <c r="K324" s="76"/>
    </row>
    <row r="325">
      <c r="A325" s="74"/>
      <c r="B325" s="74"/>
      <c r="C325" s="74"/>
      <c r="D325" s="74"/>
      <c r="E325" s="74"/>
      <c r="F325" s="74"/>
      <c r="G325" s="74"/>
      <c r="H325" s="74"/>
      <c r="I325" s="74"/>
      <c r="J325" s="76"/>
      <c r="K325" s="76"/>
    </row>
    <row r="326">
      <c r="A326" s="74"/>
      <c r="B326" s="74"/>
      <c r="C326" s="74"/>
      <c r="D326" s="74"/>
      <c r="E326" s="74"/>
      <c r="F326" s="74"/>
      <c r="G326" s="74"/>
      <c r="H326" s="74"/>
      <c r="I326" s="74"/>
      <c r="J326" s="76"/>
      <c r="K326" s="76"/>
    </row>
    <row r="327">
      <c r="A327" s="74"/>
      <c r="B327" s="74"/>
      <c r="C327" s="74"/>
      <c r="D327" s="74"/>
      <c r="E327" s="74"/>
      <c r="F327" s="74"/>
      <c r="G327" s="74"/>
      <c r="H327" s="74"/>
      <c r="I327" s="74"/>
      <c r="J327" s="76"/>
      <c r="K327" s="76"/>
    </row>
    <row r="328">
      <c r="A328" s="74"/>
      <c r="B328" s="74"/>
      <c r="C328" s="74"/>
      <c r="D328" s="74"/>
      <c r="E328" s="74"/>
      <c r="F328" s="74"/>
      <c r="G328" s="74"/>
      <c r="H328" s="74"/>
      <c r="I328" s="74"/>
      <c r="J328" s="76"/>
      <c r="K328" s="76"/>
    </row>
    <row r="329">
      <c r="A329" s="74"/>
      <c r="B329" s="74"/>
      <c r="C329" s="74"/>
      <c r="D329" s="74"/>
      <c r="E329" s="74"/>
      <c r="F329" s="74"/>
      <c r="G329" s="74"/>
      <c r="H329" s="74"/>
      <c r="I329" s="74"/>
      <c r="J329" s="76"/>
      <c r="K329" s="76"/>
    </row>
    <row r="330">
      <c r="A330" s="74"/>
      <c r="B330" s="74"/>
      <c r="C330" s="74"/>
      <c r="D330" s="74"/>
      <c r="E330" s="74"/>
      <c r="F330" s="74"/>
      <c r="G330" s="74"/>
      <c r="H330" s="74"/>
      <c r="I330" s="74"/>
      <c r="J330" s="76"/>
      <c r="K330" s="76"/>
    </row>
    <row r="331">
      <c r="A331" s="74"/>
      <c r="B331" s="74"/>
      <c r="C331" s="74"/>
      <c r="D331" s="74"/>
      <c r="E331" s="74"/>
      <c r="F331" s="74"/>
      <c r="G331" s="74"/>
      <c r="H331" s="74"/>
      <c r="I331" s="74"/>
      <c r="J331" s="76"/>
      <c r="K331" s="76"/>
    </row>
    <row r="332">
      <c r="A332" s="74"/>
      <c r="B332" s="74"/>
      <c r="C332" s="74"/>
      <c r="D332" s="74"/>
      <c r="E332" s="74"/>
      <c r="F332" s="74"/>
      <c r="G332" s="74"/>
      <c r="H332" s="74"/>
      <c r="I332" s="74"/>
      <c r="J332" s="76"/>
      <c r="K332" s="76"/>
    </row>
    <row r="333">
      <c r="A333" s="74"/>
      <c r="B333" s="74"/>
      <c r="C333" s="74"/>
      <c r="D333" s="74"/>
      <c r="E333" s="74"/>
      <c r="F333" s="74"/>
      <c r="G333" s="74"/>
      <c r="H333" s="74"/>
      <c r="I333" s="74"/>
      <c r="J333" s="76"/>
      <c r="K333" s="76"/>
    </row>
    <row r="334">
      <c r="A334" s="74"/>
      <c r="B334" s="74"/>
      <c r="C334" s="74"/>
      <c r="D334" s="74"/>
      <c r="E334" s="74"/>
      <c r="F334" s="74"/>
      <c r="G334" s="74"/>
      <c r="H334" s="74"/>
      <c r="I334" s="74"/>
      <c r="J334" s="76"/>
      <c r="K334" s="76"/>
    </row>
    <row r="335">
      <c r="A335" s="74"/>
      <c r="B335" s="74"/>
      <c r="C335" s="74"/>
      <c r="D335" s="74"/>
      <c r="E335" s="74"/>
      <c r="F335" s="74"/>
      <c r="G335" s="74"/>
      <c r="H335" s="74"/>
      <c r="I335" s="74"/>
      <c r="J335" s="76"/>
      <c r="K335" s="76"/>
    </row>
    <row r="336">
      <c r="A336" s="74"/>
      <c r="B336" s="74"/>
      <c r="C336" s="74"/>
      <c r="D336" s="74"/>
      <c r="E336" s="74"/>
      <c r="F336" s="74"/>
      <c r="G336" s="74"/>
      <c r="H336" s="74"/>
      <c r="I336" s="74"/>
      <c r="J336" s="76"/>
      <c r="K336" s="76"/>
    </row>
    <row r="337">
      <c r="A337" s="74"/>
      <c r="B337" s="74"/>
      <c r="C337" s="74"/>
      <c r="D337" s="74"/>
      <c r="E337" s="74"/>
      <c r="F337" s="74"/>
      <c r="G337" s="74"/>
      <c r="H337" s="74"/>
      <c r="I337" s="74"/>
      <c r="J337" s="76"/>
      <c r="K337" s="76"/>
    </row>
    <row r="338">
      <c r="A338" s="74"/>
      <c r="B338" s="74"/>
      <c r="C338" s="74"/>
      <c r="D338" s="74"/>
      <c r="E338" s="74"/>
      <c r="F338" s="74"/>
      <c r="G338" s="74"/>
      <c r="H338" s="74"/>
      <c r="I338" s="74"/>
      <c r="J338" s="76"/>
      <c r="K338" s="76"/>
    </row>
    <row r="339">
      <c r="A339" s="74"/>
      <c r="B339" s="74"/>
      <c r="C339" s="74"/>
      <c r="D339" s="74"/>
      <c r="E339" s="74"/>
      <c r="F339" s="74"/>
      <c r="G339" s="74"/>
      <c r="H339" s="74"/>
      <c r="I339" s="74"/>
      <c r="J339" s="76"/>
      <c r="K339" s="76"/>
    </row>
    <row r="340">
      <c r="A340" s="74"/>
      <c r="B340" s="74"/>
      <c r="C340" s="74"/>
      <c r="D340" s="74"/>
      <c r="E340" s="74"/>
      <c r="F340" s="74"/>
      <c r="G340" s="74"/>
      <c r="H340" s="74"/>
      <c r="I340" s="74"/>
      <c r="J340" s="76"/>
      <c r="K340" s="76"/>
    </row>
    <row r="341">
      <c r="A341" s="74"/>
      <c r="B341" s="74"/>
      <c r="C341" s="74"/>
      <c r="D341" s="74"/>
      <c r="E341" s="74"/>
      <c r="F341" s="74"/>
      <c r="G341" s="74"/>
      <c r="H341" s="74"/>
      <c r="I341" s="74"/>
      <c r="J341" s="76"/>
      <c r="K341" s="76"/>
    </row>
    <row r="342">
      <c r="A342" s="74"/>
      <c r="B342" s="74"/>
      <c r="C342" s="74"/>
      <c r="D342" s="74"/>
      <c r="E342" s="74"/>
      <c r="F342" s="74"/>
      <c r="G342" s="74"/>
      <c r="H342" s="74"/>
      <c r="I342" s="74"/>
      <c r="J342" s="76"/>
      <c r="K342" s="76"/>
    </row>
    <row r="343">
      <c r="A343" s="74"/>
      <c r="B343" s="74"/>
      <c r="C343" s="74"/>
      <c r="D343" s="74"/>
      <c r="E343" s="74"/>
      <c r="F343" s="74"/>
      <c r="G343" s="74"/>
      <c r="H343" s="74"/>
      <c r="I343" s="74"/>
      <c r="J343" s="76"/>
      <c r="K343" s="76"/>
    </row>
    <row r="344">
      <c r="A344" s="74"/>
      <c r="B344" s="74"/>
      <c r="C344" s="74"/>
      <c r="D344" s="74"/>
      <c r="E344" s="74"/>
      <c r="F344" s="74"/>
      <c r="G344" s="74"/>
      <c r="H344" s="74"/>
      <c r="I344" s="74"/>
      <c r="J344" s="76"/>
      <c r="K344" s="76"/>
    </row>
    <row r="345">
      <c r="A345" s="74"/>
      <c r="B345" s="74"/>
      <c r="C345" s="74"/>
      <c r="D345" s="74"/>
      <c r="E345" s="74"/>
      <c r="F345" s="74"/>
      <c r="G345" s="74"/>
      <c r="H345" s="74"/>
      <c r="I345" s="74"/>
      <c r="J345" s="76"/>
      <c r="K345" s="76"/>
    </row>
    <row r="346">
      <c r="A346" s="74"/>
      <c r="B346" s="74"/>
      <c r="C346" s="74"/>
      <c r="D346" s="74"/>
      <c r="E346" s="74"/>
      <c r="F346" s="74"/>
      <c r="G346" s="74"/>
      <c r="H346" s="74"/>
      <c r="I346" s="74"/>
      <c r="J346" s="76"/>
      <c r="K346" s="76"/>
    </row>
    <row r="347">
      <c r="A347" s="74"/>
      <c r="B347" s="74"/>
      <c r="C347" s="74"/>
      <c r="D347" s="74"/>
      <c r="E347" s="74"/>
      <c r="F347" s="74"/>
      <c r="G347" s="74"/>
      <c r="H347" s="74"/>
      <c r="I347" s="74"/>
      <c r="J347" s="76"/>
      <c r="K347" s="76"/>
    </row>
    <row r="348">
      <c r="A348" s="74"/>
      <c r="B348" s="74"/>
      <c r="C348" s="74"/>
      <c r="D348" s="74"/>
      <c r="E348" s="74"/>
      <c r="F348" s="74"/>
      <c r="G348" s="74"/>
      <c r="H348" s="74"/>
      <c r="I348" s="74"/>
      <c r="J348" s="76"/>
      <c r="K348" s="76"/>
    </row>
    <row r="349">
      <c r="A349" s="74"/>
      <c r="B349" s="74"/>
      <c r="C349" s="74"/>
      <c r="D349" s="74"/>
      <c r="E349" s="74"/>
      <c r="F349" s="74"/>
      <c r="G349" s="74"/>
      <c r="H349" s="74"/>
      <c r="I349" s="74"/>
      <c r="J349" s="76"/>
      <c r="K349" s="76"/>
    </row>
    <row r="350">
      <c r="A350" s="74"/>
      <c r="B350" s="74"/>
      <c r="C350" s="74"/>
      <c r="D350" s="74"/>
      <c r="E350" s="74"/>
      <c r="F350" s="74"/>
      <c r="G350" s="74"/>
      <c r="H350" s="74"/>
      <c r="I350" s="74"/>
      <c r="J350" s="76"/>
      <c r="K350" s="76"/>
    </row>
    <row r="351">
      <c r="A351" s="74"/>
      <c r="B351" s="74"/>
      <c r="C351" s="74"/>
      <c r="D351" s="74"/>
      <c r="E351" s="74"/>
      <c r="F351" s="74"/>
      <c r="G351" s="74"/>
      <c r="H351" s="74"/>
      <c r="I351" s="74"/>
      <c r="J351" s="76"/>
      <c r="K351" s="76"/>
    </row>
    <row r="352">
      <c r="A352" s="74"/>
      <c r="B352" s="74"/>
      <c r="C352" s="74"/>
      <c r="D352" s="74"/>
      <c r="E352" s="74"/>
      <c r="F352" s="74"/>
      <c r="G352" s="74"/>
      <c r="H352" s="74"/>
      <c r="I352" s="74"/>
      <c r="J352" s="76"/>
      <c r="K352" s="76"/>
    </row>
    <row r="353">
      <c r="A353" s="74"/>
      <c r="B353" s="74"/>
      <c r="C353" s="74"/>
      <c r="D353" s="74"/>
      <c r="E353" s="74"/>
      <c r="F353" s="74"/>
      <c r="G353" s="74"/>
      <c r="H353" s="74"/>
      <c r="I353" s="74"/>
      <c r="J353" s="76"/>
      <c r="K353" s="76"/>
    </row>
    <row r="354">
      <c r="A354" s="74"/>
      <c r="B354" s="74"/>
      <c r="C354" s="74"/>
      <c r="D354" s="74"/>
      <c r="E354" s="74"/>
      <c r="F354" s="74"/>
      <c r="G354" s="74"/>
      <c r="H354" s="74"/>
      <c r="I354" s="74"/>
      <c r="J354" s="76"/>
      <c r="K354" s="76"/>
    </row>
    <row r="355">
      <c r="A355" s="74"/>
      <c r="B355" s="74"/>
      <c r="C355" s="74"/>
      <c r="D355" s="74"/>
      <c r="E355" s="74"/>
      <c r="F355" s="74"/>
      <c r="G355" s="74"/>
      <c r="H355" s="74"/>
      <c r="I355" s="74"/>
      <c r="J355" s="76"/>
      <c r="K355" s="76"/>
    </row>
    <row r="356">
      <c r="A356" s="74"/>
      <c r="B356" s="74"/>
      <c r="C356" s="74"/>
      <c r="D356" s="74"/>
      <c r="E356" s="74"/>
      <c r="F356" s="74"/>
      <c r="G356" s="74"/>
      <c r="H356" s="74"/>
      <c r="I356" s="74"/>
      <c r="J356" s="76"/>
      <c r="K356" s="76"/>
    </row>
    <row r="357">
      <c r="A357" s="74"/>
      <c r="B357" s="74"/>
      <c r="C357" s="74"/>
      <c r="D357" s="74"/>
      <c r="E357" s="74"/>
      <c r="F357" s="74"/>
      <c r="G357" s="74"/>
      <c r="H357" s="74"/>
      <c r="I357" s="74"/>
      <c r="J357" s="76"/>
      <c r="K357" s="76"/>
    </row>
    <row r="358">
      <c r="A358" s="74"/>
      <c r="B358" s="74"/>
      <c r="C358" s="74"/>
      <c r="D358" s="74"/>
      <c r="E358" s="74"/>
      <c r="F358" s="74"/>
      <c r="G358" s="74"/>
      <c r="H358" s="74"/>
      <c r="I358" s="74"/>
      <c r="J358" s="76"/>
      <c r="K358" s="76"/>
    </row>
    <row r="359">
      <c r="A359" s="74"/>
      <c r="B359" s="74"/>
      <c r="C359" s="74"/>
      <c r="D359" s="74"/>
      <c r="E359" s="74"/>
      <c r="F359" s="74"/>
      <c r="G359" s="74"/>
      <c r="H359" s="74"/>
      <c r="I359" s="74"/>
      <c r="J359" s="76"/>
      <c r="K359" s="76"/>
    </row>
    <row r="360">
      <c r="A360" s="74"/>
      <c r="B360" s="74"/>
      <c r="C360" s="74"/>
      <c r="D360" s="74"/>
      <c r="E360" s="74"/>
      <c r="F360" s="74"/>
      <c r="G360" s="74"/>
      <c r="H360" s="74"/>
      <c r="I360" s="74"/>
      <c r="J360" s="76"/>
      <c r="K360" s="76"/>
    </row>
    <row r="361">
      <c r="A361" s="74"/>
      <c r="B361" s="74"/>
      <c r="C361" s="74"/>
      <c r="D361" s="74"/>
      <c r="E361" s="74"/>
      <c r="F361" s="74"/>
      <c r="G361" s="74"/>
      <c r="H361" s="74"/>
      <c r="I361" s="74"/>
      <c r="J361" s="76"/>
      <c r="K361" s="76"/>
    </row>
    <row r="362">
      <c r="A362" s="74"/>
      <c r="B362" s="74"/>
      <c r="C362" s="74"/>
      <c r="D362" s="74"/>
      <c r="E362" s="74"/>
      <c r="F362" s="74"/>
      <c r="G362" s="74"/>
      <c r="H362" s="74"/>
      <c r="I362" s="74"/>
      <c r="J362" s="76"/>
      <c r="K362" s="76"/>
    </row>
    <row r="363">
      <c r="A363" s="74"/>
      <c r="B363" s="74"/>
      <c r="C363" s="74"/>
      <c r="D363" s="74"/>
      <c r="E363" s="74"/>
      <c r="F363" s="74"/>
      <c r="G363" s="74"/>
      <c r="H363" s="74"/>
      <c r="I363" s="74"/>
      <c r="J363" s="76"/>
      <c r="K363" s="76"/>
    </row>
    <row r="364">
      <c r="A364" s="74"/>
      <c r="B364" s="74"/>
      <c r="C364" s="74"/>
      <c r="D364" s="74"/>
      <c r="E364" s="74"/>
      <c r="F364" s="74"/>
      <c r="G364" s="74"/>
      <c r="H364" s="74"/>
      <c r="I364" s="74"/>
      <c r="J364" s="76"/>
      <c r="K364" s="76"/>
    </row>
    <row r="365">
      <c r="A365" s="74"/>
      <c r="B365" s="74"/>
      <c r="C365" s="74"/>
      <c r="D365" s="74"/>
      <c r="E365" s="74"/>
      <c r="F365" s="74"/>
      <c r="G365" s="74"/>
      <c r="H365" s="74"/>
      <c r="I365" s="74"/>
      <c r="J365" s="76"/>
      <c r="K365" s="76"/>
    </row>
    <row r="366">
      <c r="A366" s="74"/>
      <c r="B366" s="74"/>
      <c r="C366" s="74"/>
      <c r="D366" s="74"/>
      <c r="E366" s="74"/>
      <c r="F366" s="74"/>
      <c r="G366" s="74"/>
      <c r="H366" s="74"/>
      <c r="I366" s="74"/>
      <c r="J366" s="76"/>
      <c r="K366" s="76"/>
    </row>
    <row r="367">
      <c r="A367" s="74"/>
      <c r="B367" s="74"/>
      <c r="C367" s="74"/>
      <c r="D367" s="74"/>
      <c r="E367" s="74"/>
      <c r="F367" s="74"/>
      <c r="G367" s="74"/>
      <c r="H367" s="74"/>
      <c r="I367" s="74"/>
      <c r="J367" s="76"/>
      <c r="K367" s="76"/>
    </row>
    <row r="368">
      <c r="A368" s="74"/>
      <c r="B368" s="74"/>
      <c r="C368" s="74"/>
      <c r="D368" s="74"/>
      <c r="E368" s="74"/>
      <c r="F368" s="74"/>
      <c r="G368" s="74"/>
      <c r="H368" s="74"/>
      <c r="I368" s="74"/>
      <c r="J368" s="76"/>
      <c r="K368" s="76"/>
    </row>
    <row r="369">
      <c r="A369" s="74"/>
      <c r="B369" s="74"/>
      <c r="C369" s="74"/>
      <c r="D369" s="74"/>
      <c r="E369" s="74"/>
      <c r="F369" s="74"/>
      <c r="G369" s="74"/>
      <c r="H369" s="74"/>
      <c r="I369" s="74"/>
      <c r="J369" s="76"/>
      <c r="K369" s="76"/>
    </row>
    <row r="370">
      <c r="A370" s="74"/>
      <c r="B370" s="74"/>
      <c r="C370" s="74"/>
      <c r="D370" s="74"/>
      <c r="E370" s="74"/>
      <c r="F370" s="74"/>
      <c r="G370" s="74"/>
      <c r="H370" s="74"/>
      <c r="I370" s="74"/>
      <c r="J370" s="76"/>
      <c r="K370" s="76"/>
    </row>
    <row r="371">
      <c r="A371" s="74"/>
      <c r="B371" s="74"/>
      <c r="C371" s="74"/>
      <c r="D371" s="74"/>
      <c r="E371" s="74"/>
      <c r="F371" s="74"/>
      <c r="G371" s="74"/>
      <c r="H371" s="74"/>
      <c r="I371" s="74"/>
      <c r="J371" s="76"/>
      <c r="K371" s="76"/>
    </row>
    <row r="372">
      <c r="A372" s="74"/>
      <c r="B372" s="74"/>
      <c r="C372" s="74"/>
      <c r="D372" s="74"/>
      <c r="E372" s="74"/>
      <c r="F372" s="74"/>
      <c r="G372" s="74"/>
      <c r="H372" s="74"/>
      <c r="I372" s="74"/>
      <c r="J372" s="76"/>
      <c r="K372" s="76"/>
    </row>
    <row r="373">
      <c r="A373" s="74"/>
      <c r="B373" s="74"/>
      <c r="C373" s="74"/>
      <c r="D373" s="74"/>
      <c r="E373" s="74"/>
      <c r="F373" s="74"/>
      <c r="G373" s="74"/>
      <c r="H373" s="74"/>
      <c r="I373" s="74"/>
      <c r="J373" s="76"/>
      <c r="K373" s="76"/>
    </row>
    <row r="374">
      <c r="A374" s="74"/>
      <c r="B374" s="74"/>
      <c r="C374" s="74"/>
      <c r="D374" s="74"/>
      <c r="E374" s="74"/>
      <c r="F374" s="74"/>
      <c r="G374" s="74"/>
      <c r="H374" s="74"/>
      <c r="I374" s="74"/>
      <c r="J374" s="76"/>
      <c r="K374" s="76"/>
    </row>
    <row r="375">
      <c r="A375" s="74"/>
      <c r="B375" s="74"/>
      <c r="C375" s="74"/>
      <c r="D375" s="74"/>
      <c r="E375" s="74"/>
      <c r="F375" s="74"/>
      <c r="G375" s="74"/>
      <c r="H375" s="74"/>
      <c r="I375" s="74"/>
      <c r="J375" s="76"/>
      <c r="K375" s="76"/>
    </row>
    <row r="376">
      <c r="A376" s="74"/>
      <c r="B376" s="74"/>
      <c r="C376" s="74"/>
      <c r="D376" s="74"/>
      <c r="E376" s="74"/>
      <c r="F376" s="74"/>
      <c r="G376" s="74"/>
      <c r="H376" s="74"/>
      <c r="I376" s="74"/>
      <c r="J376" s="76"/>
      <c r="K376" s="76"/>
    </row>
    <row r="377">
      <c r="A377" s="74"/>
      <c r="B377" s="74"/>
      <c r="C377" s="74"/>
      <c r="D377" s="74"/>
      <c r="E377" s="74"/>
      <c r="F377" s="74"/>
      <c r="G377" s="74"/>
      <c r="H377" s="74"/>
      <c r="I377" s="74"/>
      <c r="J377" s="76"/>
      <c r="K377" s="76"/>
    </row>
    <row r="378">
      <c r="A378" s="74"/>
      <c r="B378" s="74"/>
      <c r="C378" s="74"/>
      <c r="D378" s="74"/>
      <c r="E378" s="74"/>
      <c r="F378" s="74"/>
      <c r="G378" s="74"/>
      <c r="H378" s="74"/>
      <c r="I378" s="74"/>
      <c r="J378" s="76"/>
      <c r="K378" s="76"/>
    </row>
    <row r="379">
      <c r="A379" s="74"/>
      <c r="B379" s="74"/>
      <c r="C379" s="74"/>
      <c r="D379" s="74"/>
      <c r="E379" s="74"/>
      <c r="F379" s="74"/>
      <c r="G379" s="74"/>
      <c r="H379" s="74"/>
      <c r="I379" s="74"/>
      <c r="J379" s="76"/>
      <c r="K379" s="76"/>
    </row>
    <row r="380">
      <c r="A380" s="74"/>
      <c r="B380" s="74"/>
      <c r="C380" s="74"/>
      <c r="D380" s="74"/>
      <c r="E380" s="74"/>
      <c r="F380" s="74"/>
      <c r="G380" s="74"/>
      <c r="H380" s="74"/>
      <c r="I380" s="74"/>
      <c r="J380" s="76"/>
      <c r="K380" s="76"/>
    </row>
    <row r="381">
      <c r="A381" s="74"/>
      <c r="B381" s="74"/>
      <c r="C381" s="74"/>
      <c r="D381" s="74"/>
      <c r="E381" s="74"/>
      <c r="F381" s="74"/>
      <c r="G381" s="74"/>
      <c r="H381" s="74"/>
      <c r="I381" s="74"/>
      <c r="J381" s="76"/>
      <c r="K381" s="76"/>
    </row>
    <row r="382">
      <c r="A382" s="74"/>
      <c r="B382" s="74"/>
      <c r="C382" s="74"/>
      <c r="D382" s="74"/>
      <c r="E382" s="74"/>
      <c r="F382" s="74"/>
      <c r="G382" s="74"/>
      <c r="H382" s="74"/>
      <c r="I382" s="74"/>
      <c r="J382" s="76"/>
      <c r="K382" s="76"/>
    </row>
    <row r="383">
      <c r="A383" s="74"/>
      <c r="B383" s="74"/>
      <c r="C383" s="74"/>
      <c r="D383" s="74"/>
      <c r="E383" s="74"/>
      <c r="F383" s="74"/>
      <c r="G383" s="74"/>
      <c r="H383" s="74"/>
      <c r="I383" s="74"/>
      <c r="J383" s="76"/>
      <c r="K383" s="76"/>
    </row>
    <row r="384">
      <c r="A384" s="74"/>
      <c r="B384" s="74"/>
      <c r="C384" s="74"/>
      <c r="D384" s="74"/>
      <c r="E384" s="74"/>
      <c r="F384" s="74"/>
      <c r="G384" s="74"/>
      <c r="H384" s="74"/>
      <c r="I384" s="74"/>
      <c r="J384" s="76"/>
      <c r="K384" s="76"/>
    </row>
    <row r="385">
      <c r="A385" s="74"/>
      <c r="B385" s="74"/>
      <c r="C385" s="74"/>
      <c r="D385" s="74"/>
      <c r="E385" s="74"/>
      <c r="F385" s="74"/>
      <c r="G385" s="74"/>
      <c r="H385" s="74"/>
      <c r="I385" s="74"/>
      <c r="J385" s="76"/>
      <c r="K385" s="76"/>
    </row>
    <row r="386">
      <c r="A386" s="74"/>
      <c r="B386" s="74"/>
      <c r="C386" s="74"/>
      <c r="D386" s="74"/>
      <c r="E386" s="74"/>
      <c r="F386" s="74"/>
      <c r="G386" s="74"/>
      <c r="H386" s="74"/>
      <c r="I386" s="74"/>
      <c r="J386" s="76"/>
      <c r="K386" s="76"/>
    </row>
    <row r="387">
      <c r="A387" s="74"/>
      <c r="B387" s="74"/>
      <c r="C387" s="74"/>
      <c r="D387" s="74"/>
      <c r="E387" s="74"/>
      <c r="F387" s="74"/>
      <c r="G387" s="74"/>
      <c r="H387" s="74"/>
      <c r="I387" s="74"/>
      <c r="J387" s="76"/>
      <c r="K387" s="76"/>
    </row>
    <row r="388">
      <c r="A388" s="74"/>
      <c r="B388" s="74"/>
      <c r="C388" s="74"/>
      <c r="D388" s="74"/>
      <c r="E388" s="74"/>
      <c r="F388" s="74"/>
      <c r="G388" s="74"/>
      <c r="H388" s="74"/>
      <c r="I388" s="74"/>
      <c r="J388" s="76"/>
      <c r="K388" s="76"/>
    </row>
    <row r="389">
      <c r="A389" s="74"/>
      <c r="B389" s="74"/>
      <c r="C389" s="74"/>
      <c r="D389" s="74"/>
      <c r="E389" s="74"/>
      <c r="F389" s="74"/>
      <c r="G389" s="74"/>
      <c r="H389" s="74"/>
      <c r="I389" s="74"/>
      <c r="J389" s="76"/>
      <c r="K389" s="76"/>
    </row>
    <row r="390">
      <c r="A390" s="74"/>
      <c r="B390" s="74"/>
      <c r="C390" s="74"/>
      <c r="D390" s="74"/>
      <c r="E390" s="74"/>
      <c r="F390" s="74"/>
      <c r="G390" s="74"/>
      <c r="H390" s="74"/>
      <c r="I390" s="74"/>
      <c r="J390" s="76"/>
      <c r="K390" s="76"/>
    </row>
    <row r="391">
      <c r="A391" s="74"/>
      <c r="B391" s="74"/>
      <c r="C391" s="74"/>
      <c r="D391" s="74"/>
      <c r="E391" s="74"/>
      <c r="F391" s="74"/>
      <c r="G391" s="74"/>
      <c r="H391" s="74"/>
      <c r="I391" s="74"/>
      <c r="J391" s="76"/>
      <c r="K391" s="76"/>
    </row>
    <row r="392">
      <c r="A392" s="74"/>
      <c r="B392" s="74"/>
      <c r="C392" s="74"/>
      <c r="D392" s="74"/>
      <c r="E392" s="74"/>
      <c r="F392" s="74"/>
      <c r="G392" s="74"/>
      <c r="H392" s="74"/>
      <c r="I392" s="74"/>
      <c r="J392" s="76"/>
      <c r="K392" s="76"/>
    </row>
    <row r="393">
      <c r="A393" s="74"/>
      <c r="B393" s="74"/>
      <c r="C393" s="74"/>
      <c r="D393" s="74"/>
      <c r="E393" s="74"/>
      <c r="F393" s="74"/>
      <c r="G393" s="74"/>
      <c r="H393" s="74"/>
      <c r="I393" s="74"/>
      <c r="J393" s="76"/>
      <c r="K393" s="76"/>
    </row>
    <row r="394">
      <c r="A394" s="74"/>
      <c r="B394" s="74"/>
      <c r="C394" s="74"/>
      <c r="D394" s="74"/>
      <c r="E394" s="74"/>
      <c r="F394" s="74"/>
      <c r="G394" s="74"/>
      <c r="H394" s="74"/>
      <c r="I394" s="74"/>
      <c r="J394" s="76"/>
      <c r="K394" s="76"/>
    </row>
    <row r="395">
      <c r="A395" s="74"/>
      <c r="B395" s="74"/>
      <c r="C395" s="74"/>
      <c r="D395" s="74"/>
      <c r="E395" s="74"/>
      <c r="F395" s="74"/>
      <c r="G395" s="74"/>
      <c r="H395" s="74"/>
      <c r="I395" s="74"/>
      <c r="J395" s="76"/>
      <c r="K395" s="76"/>
    </row>
    <row r="396">
      <c r="A396" s="74"/>
      <c r="B396" s="74"/>
      <c r="C396" s="74"/>
      <c r="D396" s="74"/>
      <c r="E396" s="74"/>
      <c r="F396" s="74"/>
      <c r="G396" s="74"/>
      <c r="H396" s="74"/>
      <c r="I396" s="74"/>
      <c r="J396" s="76"/>
      <c r="K396" s="76"/>
    </row>
    <row r="397">
      <c r="A397" s="74"/>
      <c r="B397" s="74"/>
      <c r="C397" s="74"/>
      <c r="D397" s="74"/>
      <c r="E397" s="74"/>
      <c r="F397" s="74"/>
      <c r="G397" s="74"/>
      <c r="H397" s="74"/>
      <c r="I397" s="74"/>
      <c r="J397" s="76"/>
      <c r="K397" s="76"/>
    </row>
    <row r="398">
      <c r="A398" s="74"/>
      <c r="B398" s="74"/>
      <c r="C398" s="74"/>
      <c r="D398" s="74"/>
      <c r="E398" s="74"/>
      <c r="F398" s="74"/>
      <c r="G398" s="74"/>
      <c r="H398" s="74"/>
      <c r="I398" s="74"/>
      <c r="J398" s="76"/>
      <c r="K398" s="76"/>
    </row>
    <row r="399">
      <c r="A399" s="74"/>
      <c r="B399" s="74"/>
      <c r="C399" s="74"/>
      <c r="D399" s="74"/>
      <c r="E399" s="74"/>
      <c r="F399" s="74"/>
      <c r="G399" s="74"/>
      <c r="H399" s="74"/>
      <c r="I399" s="74"/>
      <c r="J399" s="76"/>
      <c r="K399" s="76"/>
    </row>
    <row r="400">
      <c r="A400" s="74"/>
      <c r="B400" s="74"/>
      <c r="C400" s="74"/>
      <c r="D400" s="74"/>
      <c r="E400" s="74"/>
      <c r="F400" s="74"/>
      <c r="G400" s="74"/>
      <c r="H400" s="74"/>
      <c r="I400" s="74"/>
      <c r="J400" s="76"/>
      <c r="K400" s="76"/>
    </row>
    <row r="401">
      <c r="A401" s="74"/>
      <c r="B401" s="74"/>
      <c r="C401" s="74"/>
      <c r="D401" s="74"/>
      <c r="E401" s="74"/>
      <c r="F401" s="74"/>
      <c r="G401" s="74"/>
      <c r="H401" s="74"/>
      <c r="I401" s="74"/>
      <c r="J401" s="76"/>
      <c r="K401" s="76"/>
    </row>
    <row r="402">
      <c r="A402" s="74"/>
      <c r="B402" s="74"/>
      <c r="C402" s="74"/>
      <c r="D402" s="74"/>
      <c r="E402" s="74"/>
      <c r="F402" s="74"/>
      <c r="G402" s="74"/>
      <c r="H402" s="74"/>
      <c r="I402" s="74"/>
      <c r="J402" s="76"/>
      <c r="K402" s="76"/>
    </row>
    <row r="403">
      <c r="A403" s="74"/>
      <c r="B403" s="74"/>
      <c r="C403" s="74"/>
      <c r="D403" s="74"/>
      <c r="E403" s="74"/>
      <c r="F403" s="74"/>
      <c r="G403" s="74"/>
      <c r="H403" s="74"/>
      <c r="I403" s="74"/>
      <c r="J403" s="76"/>
      <c r="K403" s="76"/>
    </row>
    <row r="404">
      <c r="A404" s="74"/>
      <c r="B404" s="74"/>
      <c r="C404" s="74"/>
      <c r="D404" s="74"/>
      <c r="E404" s="74"/>
      <c r="F404" s="74"/>
      <c r="G404" s="74"/>
      <c r="H404" s="74"/>
      <c r="I404" s="74"/>
      <c r="J404" s="76"/>
      <c r="K404" s="76"/>
    </row>
    <row r="405">
      <c r="A405" s="74"/>
      <c r="B405" s="74"/>
      <c r="C405" s="74"/>
      <c r="D405" s="74"/>
      <c r="E405" s="74"/>
      <c r="F405" s="74"/>
      <c r="G405" s="74"/>
      <c r="H405" s="74"/>
      <c r="I405" s="74"/>
      <c r="J405" s="76"/>
      <c r="K405" s="76"/>
    </row>
    <row r="406">
      <c r="A406" s="74"/>
      <c r="B406" s="74"/>
      <c r="C406" s="74"/>
      <c r="D406" s="74"/>
      <c r="E406" s="74"/>
      <c r="F406" s="74"/>
      <c r="G406" s="74"/>
      <c r="H406" s="74"/>
      <c r="I406" s="74"/>
      <c r="J406" s="76"/>
      <c r="K406" s="76"/>
    </row>
    <row r="407">
      <c r="A407" s="74"/>
      <c r="B407" s="74"/>
      <c r="C407" s="74"/>
      <c r="D407" s="74"/>
      <c r="E407" s="74"/>
      <c r="F407" s="74"/>
      <c r="G407" s="74"/>
      <c r="H407" s="74"/>
      <c r="I407" s="74"/>
      <c r="J407" s="76"/>
      <c r="K407" s="76"/>
    </row>
    <row r="408">
      <c r="A408" s="74"/>
      <c r="B408" s="74"/>
      <c r="C408" s="74"/>
      <c r="D408" s="74"/>
      <c r="E408" s="74"/>
      <c r="F408" s="74"/>
      <c r="G408" s="74"/>
      <c r="H408" s="74"/>
      <c r="I408" s="74"/>
      <c r="J408" s="76"/>
      <c r="K408" s="76"/>
    </row>
    <row r="409">
      <c r="A409" s="74"/>
      <c r="B409" s="74"/>
      <c r="C409" s="74"/>
      <c r="D409" s="74"/>
      <c r="E409" s="74"/>
      <c r="F409" s="74"/>
      <c r="G409" s="74"/>
      <c r="H409" s="74"/>
      <c r="I409" s="74"/>
      <c r="J409" s="76"/>
      <c r="K409" s="76"/>
    </row>
    <row r="410">
      <c r="A410" s="74"/>
      <c r="B410" s="74"/>
      <c r="C410" s="74"/>
      <c r="D410" s="74"/>
      <c r="E410" s="74"/>
      <c r="F410" s="74"/>
      <c r="G410" s="74"/>
      <c r="H410" s="74"/>
      <c r="I410" s="74"/>
      <c r="J410" s="76"/>
      <c r="K410" s="76"/>
    </row>
    <row r="411">
      <c r="A411" s="74"/>
      <c r="B411" s="74"/>
      <c r="C411" s="74"/>
      <c r="D411" s="74"/>
      <c r="E411" s="74"/>
      <c r="F411" s="74"/>
      <c r="G411" s="74"/>
      <c r="H411" s="74"/>
      <c r="I411" s="74"/>
      <c r="J411" s="76"/>
      <c r="K411" s="76"/>
    </row>
    <row r="412">
      <c r="A412" s="74"/>
      <c r="B412" s="74"/>
      <c r="C412" s="74"/>
      <c r="D412" s="74"/>
      <c r="E412" s="74"/>
      <c r="F412" s="74"/>
      <c r="G412" s="74"/>
      <c r="H412" s="74"/>
      <c r="I412" s="74"/>
      <c r="J412" s="76"/>
      <c r="K412" s="76"/>
    </row>
    <row r="413">
      <c r="A413" s="74"/>
      <c r="B413" s="74"/>
      <c r="C413" s="74"/>
      <c r="D413" s="74"/>
      <c r="E413" s="74"/>
      <c r="F413" s="74"/>
      <c r="G413" s="74"/>
      <c r="H413" s="74"/>
      <c r="I413" s="74"/>
      <c r="J413" s="76"/>
      <c r="K413" s="76"/>
    </row>
    <row r="414">
      <c r="A414" s="74"/>
      <c r="B414" s="74"/>
      <c r="C414" s="74"/>
      <c r="D414" s="74"/>
      <c r="E414" s="74"/>
      <c r="F414" s="74"/>
      <c r="G414" s="74"/>
      <c r="H414" s="74"/>
      <c r="I414" s="74"/>
      <c r="J414" s="76"/>
      <c r="K414" s="76"/>
    </row>
    <row r="415">
      <c r="A415" s="74"/>
      <c r="B415" s="74"/>
      <c r="C415" s="74"/>
      <c r="D415" s="74"/>
      <c r="E415" s="74"/>
      <c r="F415" s="74"/>
      <c r="G415" s="74"/>
      <c r="H415" s="74"/>
      <c r="I415" s="74"/>
      <c r="J415" s="76"/>
      <c r="K415" s="76"/>
    </row>
    <row r="416">
      <c r="A416" s="74"/>
      <c r="B416" s="74"/>
      <c r="C416" s="74"/>
      <c r="D416" s="74"/>
      <c r="E416" s="74"/>
      <c r="F416" s="74"/>
      <c r="G416" s="74"/>
      <c r="H416" s="74"/>
      <c r="I416" s="74"/>
      <c r="J416" s="76"/>
      <c r="K416" s="76"/>
    </row>
    <row r="417">
      <c r="A417" s="74"/>
      <c r="B417" s="74"/>
      <c r="C417" s="74"/>
      <c r="D417" s="74"/>
      <c r="E417" s="74"/>
      <c r="F417" s="74"/>
      <c r="G417" s="74"/>
      <c r="H417" s="74"/>
      <c r="I417" s="74"/>
      <c r="J417" s="76"/>
      <c r="K417" s="76"/>
    </row>
    <row r="418">
      <c r="A418" s="74"/>
      <c r="B418" s="74"/>
      <c r="C418" s="74"/>
      <c r="D418" s="74"/>
      <c r="E418" s="74"/>
      <c r="F418" s="74"/>
      <c r="G418" s="74"/>
      <c r="H418" s="74"/>
      <c r="I418" s="74"/>
      <c r="J418" s="76"/>
      <c r="K418" s="76"/>
    </row>
    <row r="419">
      <c r="A419" s="74"/>
      <c r="B419" s="74"/>
      <c r="C419" s="74"/>
      <c r="D419" s="74"/>
      <c r="E419" s="74"/>
      <c r="F419" s="74"/>
      <c r="G419" s="74"/>
      <c r="H419" s="74"/>
      <c r="I419" s="74"/>
      <c r="J419" s="76"/>
      <c r="K419" s="76"/>
    </row>
    <row r="420">
      <c r="A420" s="74"/>
      <c r="B420" s="74"/>
      <c r="C420" s="74"/>
      <c r="D420" s="74"/>
      <c r="E420" s="74"/>
      <c r="F420" s="74"/>
      <c r="G420" s="74"/>
      <c r="H420" s="74"/>
      <c r="I420" s="74"/>
      <c r="J420" s="76"/>
      <c r="K420" s="76"/>
    </row>
    <row r="421">
      <c r="A421" s="74"/>
      <c r="B421" s="74"/>
      <c r="C421" s="74"/>
      <c r="D421" s="74"/>
      <c r="E421" s="74"/>
      <c r="F421" s="74"/>
      <c r="G421" s="74"/>
      <c r="H421" s="74"/>
      <c r="I421" s="74"/>
      <c r="J421" s="76"/>
      <c r="K421" s="76"/>
    </row>
    <row r="422">
      <c r="A422" s="74"/>
      <c r="B422" s="74"/>
      <c r="C422" s="74"/>
      <c r="D422" s="74"/>
      <c r="E422" s="74"/>
      <c r="F422" s="74"/>
      <c r="G422" s="74"/>
      <c r="H422" s="74"/>
      <c r="I422" s="74"/>
      <c r="J422" s="76"/>
      <c r="K422" s="76"/>
    </row>
    <row r="423">
      <c r="A423" s="74"/>
      <c r="B423" s="74"/>
      <c r="C423" s="74"/>
      <c r="D423" s="74"/>
      <c r="E423" s="74"/>
      <c r="F423" s="74"/>
      <c r="G423" s="74"/>
      <c r="H423" s="74"/>
      <c r="I423" s="74"/>
      <c r="J423" s="76"/>
      <c r="K423" s="76"/>
    </row>
    <row r="424">
      <c r="A424" s="74"/>
      <c r="B424" s="74"/>
      <c r="C424" s="74"/>
      <c r="D424" s="74"/>
      <c r="E424" s="74"/>
      <c r="F424" s="74"/>
      <c r="G424" s="74"/>
      <c r="H424" s="74"/>
      <c r="I424" s="74"/>
      <c r="J424" s="76"/>
      <c r="K424" s="76"/>
    </row>
    <row r="425">
      <c r="A425" s="74"/>
      <c r="B425" s="74"/>
      <c r="C425" s="74"/>
      <c r="D425" s="74"/>
      <c r="E425" s="74"/>
      <c r="F425" s="74"/>
      <c r="G425" s="74"/>
      <c r="H425" s="74"/>
      <c r="I425" s="74"/>
      <c r="J425" s="76"/>
      <c r="K425" s="76"/>
    </row>
    <row r="426">
      <c r="A426" s="74"/>
      <c r="B426" s="74"/>
      <c r="C426" s="74"/>
      <c r="D426" s="74"/>
      <c r="E426" s="74"/>
      <c r="F426" s="74"/>
      <c r="G426" s="74"/>
      <c r="H426" s="74"/>
      <c r="I426" s="74"/>
      <c r="J426" s="76"/>
      <c r="K426" s="76"/>
    </row>
    <row r="427">
      <c r="A427" s="74"/>
      <c r="B427" s="74"/>
      <c r="C427" s="74"/>
      <c r="D427" s="74"/>
      <c r="E427" s="74"/>
      <c r="F427" s="74"/>
      <c r="G427" s="74"/>
      <c r="H427" s="74"/>
      <c r="I427" s="74"/>
      <c r="J427" s="76"/>
      <c r="K427" s="76"/>
    </row>
    <row r="428">
      <c r="A428" s="74"/>
      <c r="B428" s="74"/>
      <c r="C428" s="74"/>
      <c r="D428" s="74"/>
      <c r="E428" s="74"/>
      <c r="F428" s="74"/>
      <c r="G428" s="74"/>
      <c r="H428" s="74"/>
      <c r="I428" s="74"/>
      <c r="J428" s="76"/>
      <c r="K428" s="76"/>
    </row>
    <row r="429">
      <c r="A429" s="74"/>
      <c r="B429" s="74"/>
      <c r="C429" s="74"/>
      <c r="D429" s="74"/>
      <c r="E429" s="74"/>
      <c r="F429" s="74"/>
      <c r="G429" s="74"/>
      <c r="H429" s="74"/>
      <c r="I429" s="74"/>
      <c r="J429" s="76"/>
      <c r="K429" s="76"/>
    </row>
    <row r="430">
      <c r="A430" s="74"/>
      <c r="B430" s="74"/>
      <c r="C430" s="74"/>
      <c r="D430" s="74"/>
      <c r="E430" s="74"/>
      <c r="F430" s="74"/>
      <c r="G430" s="74"/>
      <c r="H430" s="74"/>
      <c r="I430" s="74"/>
      <c r="J430" s="76"/>
      <c r="K430" s="76"/>
    </row>
    <row r="431">
      <c r="A431" s="74"/>
      <c r="B431" s="74"/>
      <c r="C431" s="74"/>
      <c r="D431" s="74"/>
      <c r="E431" s="74"/>
      <c r="F431" s="74"/>
      <c r="G431" s="74"/>
      <c r="H431" s="74"/>
      <c r="I431" s="74"/>
      <c r="J431" s="76"/>
      <c r="K431" s="76"/>
    </row>
    <row r="432">
      <c r="A432" s="74"/>
      <c r="B432" s="74"/>
      <c r="C432" s="74"/>
      <c r="D432" s="74"/>
      <c r="E432" s="74"/>
      <c r="F432" s="74"/>
      <c r="G432" s="74"/>
      <c r="H432" s="74"/>
      <c r="I432" s="74"/>
      <c r="J432" s="76"/>
      <c r="K432" s="76"/>
    </row>
    <row r="433">
      <c r="A433" s="74"/>
      <c r="B433" s="74"/>
      <c r="C433" s="74"/>
      <c r="D433" s="74"/>
      <c r="E433" s="74"/>
      <c r="F433" s="74"/>
      <c r="G433" s="74"/>
      <c r="H433" s="74"/>
      <c r="I433" s="74"/>
      <c r="J433" s="76"/>
      <c r="K433" s="76"/>
    </row>
    <row r="434">
      <c r="A434" s="74"/>
      <c r="B434" s="74"/>
      <c r="C434" s="74"/>
      <c r="D434" s="74"/>
      <c r="E434" s="74"/>
      <c r="F434" s="74"/>
      <c r="G434" s="74"/>
      <c r="H434" s="74"/>
      <c r="I434" s="74"/>
      <c r="J434" s="76"/>
      <c r="K434" s="76"/>
    </row>
    <row r="435">
      <c r="A435" s="74"/>
      <c r="B435" s="74"/>
      <c r="C435" s="74"/>
      <c r="D435" s="74"/>
      <c r="E435" s="74"/>
      <c r="F435" s="74"/>
      <c r="G435" s="74"/>
      <c r="H435" s="74"/>
      <c r="I435" s="74"/>
      <c r="J435" s="76"/>
      <c r="K435" s="76"/>
    </row>
    <row r="436">
      <c r="A436" s="74"/>
      <c r="B436" s="74"/>
      <c r="C436" s="74"/>
      <c r="D436" s="74"/>
      <c r="E436" s="74"/>
      <c r="F436" s="74"/>
      <c r="G436" s="74"/>
      <c r="H436" s="74"/>
      <c r="I436" s="74"/>
      <c r="J436" s="76"/>
      <c r="K436" s="76"/>
    </row>
    <row r="437">
      <c r="A437" s="74"/>
      <c r="B437" s="74"/>
      <c r="C437" s="74"/>
      <c r="D437" s="74"/>
      <c r="E437" s="74"/>
      <c r="F437" s="74"/>
      <c r="G437" s="74"/>
      <c r="H437" s="74"/>
      <c r="I437" s="74"/>
      <c r="J437" s="76"/>
      <c r="K437" s="76"/>
    </row>
    <row r="438">
      <c r="A438" s="74"/>
      <c r="B438" s="74"/>
      <c r="C438" s="74"/>
      <c r="D438" s="74"/>
      <c r="E438" s="74"/>
      <c r="F438" s="74"/>
      <c r="G438" s="74"/>
      <c r="H438" s="74"/>
      <c r="I438" s="74"/>
      <c r="J438" s="76"/>
      <c r="K438" s="76"/>
    </row>
    <row r="439">
      <c r="A439" s="74"/>
      <c r="B439" s="74"/>
      <c r="C439" s="74"/>
      <c r="D439" s="74"/>
      <c r="E439" s="74"/>
      <c r="F439" s="74"/>
      <c r="G439" s="74"/>
      <c r="H439" s="74"/>
      <c r="I439" s="74"/>
      <c r="J439" s="76"/>
      <c r="K439" s="76"/>
    </row>
    <row r="440">
      <c r="A440" s="74"/>
      <c r="B440" s="74"/>
      <c r="C440" s="74"/>
      <c r="D440" s="74"/>
      <c r="E440" s="74"/>
      <c r="F440" s="74"/>
      <c r="G440" s="74"/>
      <c r="H440" s="74"/>
      <c r="I440" s="74"/>
      <c r="J440" s="76"/>
      <c r="K440" s="76"/>
    </row>
    <row r="441">
      <c r="A441" s="74"/>
      <c r="B441" s="74"/>
      <c r="C441" s="74"/>
      <c r="D441" s="74"/>
      <c r="E441" s="74"/>
      <c r="F441" s="74"/>
      <c r="G441" s="74"/>
      <c r="H441" s="74"/>
      <c r="I441" s="74"/>
      <c r="J441" s="76"/>
      <c r="K441" s="76"/>
    </row>
    <row r="442">
      <c r="A442" s="74"/>
      <c r="B442" s="74"/>
      <c r="C442" s="74"/>
      <c r="D442" s="74"/>
      <c r="E442" s="74"/>
      <c r="F442" s="74"/>
      <c r="G442" s="74"/>
      <c r="H442" s="74"/>
      <c r="I442" s="74"/>
      <c r="J442" s="76"/>
      <c r="K442" s="76"/>
    </row>
    <row r="443">
      <c r="A443" s="74"/>
      <c r="B443" s="74"/>
      <c r="C443" s="74"/>
      <c r="D443" s="74"/>
      <c r="E443" s="74"/>
      <c r="F443" s="74"/>
      <c r="G443" s="74"/>
      <c r="H443" s="74"/>
      <c r="I443" s="74"/>
      <c r="J443" s="76"/>
      <c r="K443" s="76"/>
    </row>
    <row r="444">
      <c r="A444" s="74"/>
      <c r="B444" s="74"/>
      <c r="C444" s="74"/>
      <c r="D444" s="74"/>
      <c r="E444" s="74"/>
      <c r="F444" s="74"/>
      <c r="G444" s="74"/>
      <c r="H444" s="74"/>
      <c r="I444" s="74"/>
      <c r="J444" s="76"/>
      <c r="K444" s="76"/>
    </row>
    <row r="445">
      <c r="A445" s="74"/>
      <c r="B445" s="74"/>
      <c r="C445" s="74"/>
      <c r="D445" s="74"/>
      <c r="E445" s="74"/>
      <c r="F445" s="74"/>
      <c r="G445" s="74"/>
      <c r="H445" s="74"/>
      <c r="I445" s="74"/>
      <c r="J445" s="76"/>
      <c r="K445" s="76"/>
    </row>
    <row r="446">
      <c r="A446" s="74"/>
      <c r="B446" s="74"/>
      <c r="C446" s="74"/>
      <c r="D446" s="74"/>
      <c r="E446" s="74"/>
      <c r="F446" s="74"/>
      <c r="G446" s="74"/>
      <c r="H446" s="74"/>
      <c r="I446" s="74"/>
      <c r="J446" s="76"/>
      <c r="K446" s="76"/>
    </row>
    <row r="447">
      <c r="A447" s="74"/>
      <c r="B447" s="74"/>
      <c r="C447" s="74"/>
      <c r="D447" s="74"/>
      <c r="E447" s="74"/>
      <c r="F447" s="74"/>
      <c r="G447" s="74"/>
      <c r="H447" s="74"/>
      <c r="I447" s="74"/>
      <c r="J447" s="76"/>
      <c r="K447" s="76"/>
    </row>
    <row r="448">
      <c r="A448" s="74"/>
      <c r="B448" s="74"/>
      <c r="C448" s="74"/>
      <c r="D448" s="74"/>
      <c r="E448" s="74"/>
      <c r="F448" s="74"/>
      <c r="G448" s="74"/>
      <c r="H448" s="74"/>
      <c r="I448" s="74"/>
      <c r="J448" s="76"/>
      <c r="K448" s="76"/>
    </row>
    <row r="449">
      <c r="A449" s="74"/>
      <c r="B449" s="74"/>
      <c r="C449" s="74"/>
      <c r="D449" s="74"/>
      <c r="E449" s="74"/>
      <c r="F449" s="74"/>
      <c r="G449" s="74"/>
      <c r="H449" s="74"/>
      <c r="I449" s="74"/>
      <c r="J449" s="76"/>
      <c r="K449" s="76"/>
    </row>
    <row r="450">
      <c r="A450" s="74"/>
      <c r="B450" s="74"/>
      <c r="C450" s="74"/>
      <c r="D450" s="74"/>
      <c r="E450" s="74"/>
      <c r="F450" s="74"/>
      <c r="G450" s="74"/>
      <c r="H450" s="74"/>
      <c r="I450" s="74"/>
      <c r="J450" s="76"/>
      <c r="K450" s="76"/>
    </row>
    <row r="451">
      <c r="A451" s="74"/>
      <c r="B451" s="74"/>
      <c r="C451" s="74"/>
      <c r="D451" s="74"/>
      <c r="E451" s="74"/>
      <c r="F451" s="74"/>
      <c r="G451" s="74"/>
      <c r="H451" s="74"/>
      <c r="I451" s="74"/>
      <c r="J451" s="76"/>
      <c r="K451" s="76"/>
    </row>
    <row r="452">
      <c r="A452" s="74"/>
      <c r="B452" s="74"/>
      <c r="C452" s="74"/>
      <c r="D452" s="74"/>
      <c r="E452" s="74"/>
      <c r="F452" s="74"/>
      <c r="G452" s="74"/>
      <c r="H452" s="74"/>
      <c r="I452" s="74"/>
      <c r="J452" s="76"/>
      <c r="K452" s="76"/>
    </row>
    <row r="453">
      <c r="A453" s="74"/>
      <c r="B453" s="74"/>
      <c r="C453" s="74"/>
      <c r="D453" s="74"/>
      <c r="E453" s="74"/>
      <c r="F453" s="74"/>
      <c r="G453" s="74"/>
      <c r="H453" s="74"/>
      <c r="I453" s="74"/>
      <c r="J453" s="76"/>
      <c r="K453" s="76"/>
    </row>
    <row r="454">
      <c r="A454" s="74"/>
      <c r="B454" s="74"/>
      <c r="C454" s="74"/>
      <c r="D454" s="74"/>
      <c r="E454" s="74"/>
      <c r="F454" s="74"/>
      <c r="G454" s="74"/>
      <c r="H454" s="74"/>
      <c r="I454" s="74"/>
      <c r="J454" s="76"/>
      <c r="K454" s="76"/>
    </row>
    <row r="455">
      <c r="A455" s="74"/>
      <c r="B455" s="74"/>
      <c r="C455" s="74"/>
      <c r="D455" s="74"/>
      <c r="E455" s="74"/>
      <c r="F455" s="74"/>
      <c r="G455" s="74"/>
      <c r="H455" s="74"/>
      <c r="I455" s="74"/>
      <c r="J455" s="76"/>
      <c r="K455" s="76"/>
    </row>
    <row r="456">
      <c r="A456" s="74"/>
      <c r="B456" s="74"/>
      <c r="C456" s="74"/>
      <c r="D456" s="74"/>
      <c r="E456" s="74"/>
      <c r="F456" s="74"/>
      <c r="G456" s="74"/>
      <c r="H456" s="74"/>
      <c r="I456" s="74"/>
      <c r="J456" s="76"/>
      <c r="K456" s="76"/>
    </row>
    <row r="457">
      <c r="A457" s="74"/>
      <c r="B457" s="74"/>
      <c r="C457" s="74"/>
      <c r="D457" s="74"/>
      <c r="E457" s="74"/>
      <c r="F457" s="74"/>
      <c r="G457" s="74"/>
      <c r="H457" s="74"/>
      <c r="I457" s="74"/>
      <c r="J457" s="76"/>
      <c r="K457" s="76"/>
    </row>
    <row r="458">
      <c r="A458" s="74"/>
      <c r="B458" s="74"/>
      <c r="C458" s="74"/>
      <c r="D458" s="74"/>
      <c r="E458" s="74"/>
      <c r="F458" s="74"/>
      <c r="G458" s="74"/>
      <c r="H458" s="74"/>
      <c r="I458" s="74"/>
      <c r="J458" s="76"/>
      <c r="K458" s="76"/>
    </row>
    <row r="459">
      <c r="A459" s="74"/>
      <c r="B459" s="74"/>
      <c r="C459" s="74"/>
      <c r="D459" s="74"/>
      <c r="E459" s="74"/>
      <c r="F459" s="74"/>
      <c r="G459" s="74"/>
      <c r="H459" s="74"/>
      <c r="I459" s="74"/>
      <c r="J459" s="76"/>
      <c r="K459" s="76"/>
    </row>
    <row r="460">
      <c r="A460" s="74"/>
      <c r="B460" s="74"/>
      <c r="C460" s="74"/>
      <c r="D460" s="74"/>
      <c r="E460" s="74"/>
      <c r="F460" s="74"/>
      <c r="G460" s="74"/>
      <c r="H460" s="74"/>
      <c r="I460" s="74"/>
      <c r="J460" s="76"/>
      <c r="K460" s="76"/>
    </row>
    <row r="461">
      <c r="A461" s="74"/>
      <c r="B461" s="74"/>
      <c r="C461" s="74"/>
      <c r="D461" s="74"/>
      <c r="E461" s="74"/>
      <c r="F461" s="74"/>
      <c r="G461" s="74"/>
      <c r="H461" s="74"/>
      <c r="I461" s="74"/>
      <c r="J461" s="76"/>
      <c r="K461" s="76"/>
    </row>
    <row r="462">
      <c r="A462" s="74"/>
      <c r="B462" s="74"/>
      <c r="C462" s="74"/>
      <c r="D462" s="74"/>
      <c r="E462" s="74"/>
      <c r="F462" s="74"/>
      <c r="G462" s="74"/>
      <c r="H462" s="74"/>
      <c r="I462" s="74"/>
      <c r="J462" s="76"/>
      <c r="K462" s="76"/>
    </row>
    <row r="463">
      <c r="A463" s="74"/>
      <c r="B463" s="74"/>
      <c r="C463" s="74"/>
      <c r="D463" s="74"/>
      <c r="E463" s="74"/>
      <c r="F463" s="74"/>
      <c r="G463" s="74"/>
      <c r="H463" s="74"/>
      <c r="I463" s="74"/>
      <c r="J463" s="76"/>
      <c r="K463" s="76"/>
    </row>
    <row r="464">
      <c r="A464" s="74"/>
      <c r="B464" s="74"/>
      <c r="C464" s="74"/>
      <c r="D464" s="74"/>
      <c r="E464" s="74"/>
      <c r="F464" s="74"/>
      <c r="G464" s="74"/>
      <c r="H464" s="74"/>
      <c r="I464" s="74"/>
      <c r="J464" s="76"/>
      <c r="K464" s="76"/>
    </row>
    <row r="465">
      <c r="A465" s="74"/>
      <c r="B465" s="74"/>
      <c r="C465" s="74"/>
      <c r="D465" s="74"/>
      <c r="E465" s="74"/>
      <c r="F465" s="74"/>
      <c r="G465" s="74"/>
      <c r="H465" s="74"/>
      <c r="I465" s="74"/>
      <c r="J465" s="76"/>
      <c r="K465" s="76"/>
    </row>
    <row r="466">
      <c r="A466" s="74"/>
      <c r="B466" s="74"/>
      <c r="C466" s="74"/>
      <c r="D466" s="74"/>
      <c r="E466" s="74"/>
      <c r="F466" s="74"/>
      <c r="G466" s="74"/>
      <c r="H466" s="74"/>
      <c r="I466" s="74"/>
      <c r="J466" s="76"/>
      <c r="K466" s="76"/>
    </row>
    <row r="467">
      <c r="A467" s="74"/>
      <c r="B467" s="74"/>
      <c r="C467" s="74"/>
      <c r="D467" s="74"/>
      <c r="E467" s="74"/>
      <c r="F467" s="74"/>
      <c r="G467" s="74"/>
      <c r="H467" s="74"/>
      <c r="I467" s="74"/>
      <c r="J467" s="76"/>
      <c r="K467" s="76"/>
    </row>
    <row r="468">
      <c r="A468" s="74"/>
      <c r="B468" s="74"/>
      <c r="C468" s="74"/>
      <c r="D468" s="74"/>
      <c r="E468" s="74"/>
      <c r="F468" s="74"/>
      <c r="G468" s="74"/>
      <c r="H468" s="74"/>
      <c r="I468" s="74"/>
      <c r="J468" s="76"/>
      <c r="K468" s="76"/>
    </row>
    <row r="469">
      <c r="A469" s="74"/>
      <c r="B469" s="74"/>
      <c r="C469" s="74"/>
      <c r="D469" s="74"/>
      <c r="E469" s="74"/>
      <c r="F469" s="74"/>
      <c r="G469" s="74"/>
      <c r="H469" s="74"/>
      <c r="I469" s="74"/>
      <c r="J469" s="76"/>
      <c r="K469" s="76"/>
    </row>
    <row r="470">
      <c r="A470" s="74"/>
      <c r="B470" s="74"/>
      <c r="C470" s="74"/>
      <c r="D470" s="74"/>
      <c r="E470" s="74"/>
      <c r="F470" s="74"/>
      <c r="G470" s="74"/>
      <c r="H470" s="74"/>
      <c r="I470" s="74"/>
      <c r="J470" s="76"/>
      <c r="K470" s="76"/>
    </row>
    <row r="471">
      <c r="A471" s="74"/>
      <c r="B471" s="74"/>
      <c r="C471" s="74"/>
      <c r="D471" s="74"/>
      <c r="E471" s="74"/>
      <c r="F471" s="74"/>
      <c r="G471" s="74"/>
      <c r="H471" s="74"/>
      <c r="I471" s="74"/>
      <c r="J471" s="76"/>
      <c r="K471" s="76"/>
    </row>
    <row r="472">
      <c r="A472" s="74"/>
      <c r="B472" s="74"/>
      <c r="C472" s="74"/>
      <c r="D472" s="74"/>
      <c r="E472" s="74"/>
      <c r="F472" s="74"/>
      <c r="G472" s="74"/>
      <c r="H472" s="74"/>
      <c r="I472" s="74"/>
      <c r="J472" s="76"/>
      <c r="K472" s="76"/>
    </row>
    <row r="473">
      <c r="A473" s="74"/>
      <c r="B473" s="74"/>
      <c r="C473" s="74"/>
      <c r="D473" s="74"/>
      <c r="E473" s="74"/>
      <c r="F473" s="74"/>
      <c r="G473" s="74"/>
      <c r="H473" s="74"/>
      <c r="I473" s="74"/>
      <c r="J473" s="76"/>
      <c r="K473" s="76"/>
    </row>
    <row r="474">
      <c r="A474" s="74"/>
      <c r="B474" s="74"/>
      <c r="C474" s="74"/>
      <c r="D474" s="74"/>
      <c r="E474" s="74"/>
      <c r="F474" s="74"/>
      <c r="G474" s="74"/>
      <c r="H474" s="74"/>
      <c r="I474" s="74"/>
      <c r="J474" s="76"/>
      <c r="K474" s="76"/>
    </row>
    <row r="475">
      <c r="A475" s="74"/>
      <c r="B475" s="74"/>
      <c r="C475" s="74"/>
      <c r="D475" s="74"/>
      <c r="E475" s="74"/>
      <c r="F475" s="74"/>
      <c r="G475" s="74"/>
      <c r="H475" s="74"/>
      <c r="I475" s="74"/>
      <c r="J475" s="76"/>
      <c r="K475" s="76"/>
    </row>
    <row r="476">
      <c r="A476" s="74"/>
      <c r="B476" s="74"/>
      <c r="C476" s="74"/>
      <c r="D476" s="74"/>
      <c r="E476" s="74"/>
      <c r="F476" s="74"/>
      <c r="G476" s="74"/>
      <c r="H476" s="74"/>
      <c r="I476" s="74"/>
      <c r="J476" s="76"/>
      <c r="K476" s="76"/>
    </row>
    <row r="477">
      <c r="A477" s="74"/>
      <c r="B477" s="74"/>
      <c r="C477" s="74"/>
      <c r="D477" s="74"/>
      <c r="E477" s="74"/>
      <c r="F477" s="74"/>
      <c r="G477" s="74"/>
      <c r="H477" s="74"/>
      <c r="I477" s="74"/>
      <c r="J477" s="76"/>
      <c r="K477" s="76"/>
    </row>
    <row r="478">
      <c r="A478" s="74"/>
      <c r="B478" s="74"/>
      <c r="C478" s="74"/>
      <c r="D478" s="74"/>
      <c r="E478" s="74"/>
      <c r="F478" s="74"/>
      <c r="G478" s="74"/>
      <c r="H478" s="74"/>
      <c r="I478" s="74"/>
      <c r="J478" s="76"/>
      <c r="K478" s="76"/>
    </row>
    <row r="479">
      <c r="A479" s="74"/>
      <c r="B479" s="74"/>
      <c r="C479" s="74"/>
      <c r="D479" s="74"/>
      <c r="E479" s="74"/>
      <c r="F479" s="74"/>
      <c r="G479" s="74"/>
      <c r="H479" s="74"/>
      <c r="I479" s="74"/>
      <c r="J479" s="76"/>
      <c r="K479" s="76"/>
    </row>
    <row r="480">
      <c r="A480" s="74"/>
      <c r="B480" s="74"/>
      <c r="C480" s="74"/>
      <c r="D480" s="74"/>
      <c r="E480" s="74"/>
      <c r="F480" s="74"/>
      <c r="G480" s="74"/>
      <c r="H480" s="74"/>
      <c r="I480" s="74"/>
      <c r="J480" s="76"/>
      <c r="K480" s="76"/>
    </row>
    <row r="481">
      <c r="A481" s="74"/>
      <c r="B481" s="74"/>
      <c r="C481" s="74"/>
      <c r="D481" s="74"/>
      <c r="E481" s="74"/>
      <c r="F481" s="74"/>
      <c r="G481" s="74"/>
      <c r="H481" s="74"/>
      <c r="I481" s="74"/>
      <c r="J481" s="76"/>
      <c r="K481" s="76"/>
    </row>
    <row r="482">
      <c r="A482" s="74"/>
      <c r="B482" s="74"/>
      <c r="C482" s="74"/>
      <c r="D482" s="74"/>
      <c r="E482" s="74"/>
      <c r="F482" s="74"/>
      <c r="G482" s="74"/>
      <c r="H482" s="74"/>
      <c r="I482" s="74"/>
      <c r="J482" s="76"/>
      <c r="K482" s="76"/>
    </row>
    <row r="483">
      <c r="A483" s="74"/>
      <c r="B483" s="74"/>
      <c r="C483" s="74"/>
      <c r="D483" s="74"/>
      <c r="E483" s="74"/>
      <c r="F483" s="74"/>
      <c r="G483" s="74"/>
      <c r="H483" s="74"/>
      <c r="I483" s="74"/>
      <c r="J483" s="76"/>
      <c r="K483" s="76"/>
    </row>
    <row r="484">
      <c r="A484" s="74"/>
      <c r="B484" s="74"/>
      <c r="C484" s="74"/>
      <c r="D484" s="74"/>
      <c r="E484" s="74"/>
      <c r="F484" s="74"/>
      <c r="G484" s="74"/>
      <c r="H484" s="74"/>
      <c r="I484" s="74"/>
      <c r="J484" s="76"/>
      <c r="K484" s="76"/>
    </row>
    <row r="485">
      <c r="A485" s="74"/>
      <c r="B485" s="74"/>
      <c r="C485" s="74"/>
      <c r="D485" s="74"/>
      <c r="E485" s="74"/>
      <c r="F485" s="74"/>
      <c r="G485" s="74"/>
      <c r="H485" s="74"/>
      <c r="I485" s="74"/>
      <c r="J485" s="76"/>
      <c r="K485" s="76"/>
    </row>
    <row r="486">
      <c r="A486" s="74"/>
      <c r="B486" s="74"/>
      <c r="C486" s="74"/>
      <c r="D486" s="74"/>
      <c r="E486" s="74"/>
      <c r="F486" s="74"/>
      <c r="G486" s="74"/>
      <c r="H486" s="74"/>
      <c r="I486" s="74"/>
      <c r="J486" s="76"/>
      <c r="K486" s="76"/>
    </row>
    <row r="487">
      <c r="A487" s="74"/>
      <c r="B487" s="74"/>
      <c r="C487" s="74"/>
      <c r="D487" s="74"/>
      <c r="E487" s="74"/>
      <c r="F487" s="74"/>
      <c r="G487" s="74"/>
      <c r="H487" s="74"/>
      <c r="I487" s="74"/>
      <c r="J487" s="76"/>
      <c r="K487" s="76"/>
    </row>
    <row r="488">
      <c r="A488" s="74"/>
      <c r="B488" s="74"/>
      <c r="C488" s="74"/>
      <c r="D488" s="74"/>
      <c r="E488" s="74"/>
      <c r="F488" s="74"/>
      <c r="G488" s="74"/>
      <c r="H488" s="74"/>
      <c r="I488" s="74"/>
      <c r="J488" s="76"/>
      <c r="K488" s="76"/>
    </row>
    <row r="489">
      <c r="A489" s="74"/>
      <c r="B489" s="74"/>
      <c r="C489" s="74"/>
      <c r="D489" s="74"/>
      <c r="E489" s="74"/>
      <c r="F489" s="74"/>
      <c r="G489" s="74"/>
      <c r="H489" s="74"/>
      <c r="I489" s="74"/>
      <c r="J489" s="76"/>
      <c r="K489" s="76"/>
    </row>
    <row r="490">
      <c r="A490" s="74"/>
      <c r="B490" s="74"/>
      <c r="C490" s="74"/>
      <c r="D490" s="74"/>
      <c r="E490" s="74"/>
      <c r="F490" s="74"/>
      <c r="G490" s="74"/>
      <c r="H490" s="74"/>
      <c r="I490" s="74"/>
      <c r="J490" s="76"/>
      <c r="K490" s="76"/>
    </row>
    <row r="491">
      <c r="A491" s="74"/>
      <c r="B491" s="74"/>
      <c r="C491" s="74"/>
      <c r="D491" s="74"/>
      <c r="E491" s="74"/>
      <c r="F491" s="74"/>
      <c r="G491" s="74"/>
      <c r="H491" s="74"/>
      <c r="I491" s="74"/>
      <c r="J491" s="76"/>
      <c r="K491" s="76"/>
    </row>
    <row r="492">
      <c r="A492" s="74"/>
      <c r="B492" s="74"/>
      <c r="C492" s="74"/>
      <c r="D492" s="74"/>
      <c r="E492" s="74"/>
      <c r="F492" s="74"/>
      <c r="G492" s="74"/>
      <c r="H492" s="74"/>
      <c r="I492" s="74"/>
      <c r="J492" s="76"/>
      <c r="K492" s="76"/>
    </row>
    <row r="493">
      <c r="A493" s="74"/>
      <c r="B493" s="74"/>
      <c r="C493" s="74"/>
      <c r="D493" s="74"/>
      <c r="E493" s="74"/>
      <c r="F493" s="74"/>
      <c r="G493" s="74"/>
      <c r="H493" s="74"/>
      <c r="I493" s="74"/>
      <c r="J493" s="76"/>
      <c r="K493" s="76"/>
    </row>
    <row r="494">
      <c r="A494" s="74"/>
      <c r="B494" s="74"/>
      <c r="C494" s="74"/>
      <c r="D494" s="74"/>
      <c r="E494" s="74"/>
      <c r="F494" s="74"/>
      <c r="G494" s="74"/>
      <c r="H494" s="74"/>
      <c r="I494" s="74"/>
      <c r="J494" s="76"/>
      <c r="K494" s="76"/>
    </row>
    <row r="495">
      <c r="A495" s="74"/>
      <c r="B495" s="74"/>
      <c r="C495" s="74"/>
      <c r="D495" s="74"/>
      <c r="E495" s="74"/>
      <c r="F495" s="74"/>
      <c r="G495" s="74"/>
      <c r="H495" s="74"/>
      <c r="I495" s="74"/>
      <c r="J495" s="76"/>
      <c r="K495" s="76"/>
    </row>
    <row r="496">
      <c r="A496" s="74"/>
      <c r="B496" s="74"/>
      <c r="C496" s="74"/>
      <c r="D496" s="74"/>
      <c r="E496" s="74"/>
      <c r="F496" s="74"/>
      <c r="G496" s="74"/>
      <c r="H496" s="74"/>
      <c r="I496" s="74"/>
      <c r="J496" s="76"/>
      <c r="K496" s="76"/>
    </row>
    <row r="497">
      <c r="A497" s="74"/>
      <c r="B497" s="74"/>
      <c r="C497" s="74"/>
      <c r="D497" s="74"/>
      <c r="E497" s="74"/>
      <c r="F497" s="74"/>
      <c r="G497" s="74"/>
      <c r="H497" s="74"/>
      <c r="I497" s="74"/>
      <c r="J497" s="76"/>
      <c r="K497" s="76"/>
    </row>
    <row r="498">
      <c r="A498" s="74"/>
      <c r="B498" s="74"/>
      <c r="C498" s="74"/>
      <c r="D498" s="74"/>
      <c r="E498" s="74"/>
      <c r="F498" s="74"/>
      <c r="G498" s="74"/>
      <c r="H498" s="74"/>
      <c r="I498" s="74"/>
      <c r="J498" s="76"/>
      <c r="K498" s="76"/>
    </row>
    <row r="499">
      <c r="A499" s="74"/>
      <c r="B499" s="74"/>
      <c r="C499" s="74"/>
      <c r="D499" s="74"/>
      <c r="E499" s="74"/>
      <c r="F499" s="74"/>
      <c r="G499" s="74"/>
      <c r="H499" s="74"/>
      <c r="I499" s="74"/>
      <c r="J499" s="76"/>
      <c r="K499" s="76"/>
    </row>
    <row r="500">
      <c r="A500" s="74"/>
      <c r="B500" s="74"/>
      <c r="C500" s="74"/>
      <c r="D500" s="74"/>
      <c r="E500" s="74"/>
      <c r="F500" s="74"/>
      <c r="G500" s="74"/>
      <c r="H500" s="74"/>
      <c r="I500" s="74"/>
      <c r="J500" s="76"/>
      <c r="K500" s="76"/>
    </row>
    <row r="501">
      <c r="A501" s="74"/>
      <c r="B501" s="74"/>
      <c r="C501" s="74"/>
      <c r="D501" s="74"/>
      <c r="E501" s="74"/>
      <c r="F501" s="74"/>
      <c r="G501" s="74"/>
      <c r="H501" s="74"/>
      <c r="I501" s="74"/>
      <c r="J501" s="76"/>
      <c r="K501" s="76"/>
    </row>
    <row r="502">
      <c r="A502" s="74"/>
      <c r="B502" s="74"/>
      <c r="C502" s="74"/>
      <c r="D502" s="74"/>
      <c r="E502" s="74"/>
      <c r="F502" s="74"/>
      <c r="G502" s="74"/>
      <c r="H502" s="74"/>
      <c r="I502" s="74"/>
      <c r="J502" s="76"/>
      <c r="K502" s="76"/>
    </row>
    <row r="503">
      <c r="A503" s="74"/>
      <c r="B503" s="74"/>
      <c r="C503" s="74"/>
      <c r="D503" s="74"/>
      <c r="E503" s="74"/>
      <c r="F503" s="74"/>
      <c r="G503" s="74"/>
      <c r="H503" s="74"/>
      <c r="I503" s="74"/>
      <c r="J503" s="76"/>
      <c r="K503" s="76"/>
    </row>
    <row r="504">
      <c r="A504" s="74"/>
      <c r="B504" s="74"/>
      <c r="C504" s="74"/>
      <c r="D504" s="74"/>
      <c r="E504" s="74"/>
      <c r="F504" s="74"/>
      <c r="G504" s="74"/>
      <c r="H504" s="74"/>
      <c r="I504" s="74"/>
      <c r="J504" s="76"/>
      <c r="K504" s="76"/>
    </row>
    <row r="505">
      <c r="A505" s="74"/>
      <c r="B505" s="74"/>
      <c r="C505" s="74"/>
      <c r="D505" s="74"/>
      <c r="E505" s="74"/>
      <c r="F505" s="74"/>
      <c r="G505" s="74"/>
      <c r="H505" s="74"/>
      <c r="I505" s="74"/>
      <c r="J505" s="76"/>
      <c r="K505" s="76"/>
    </row>
    <row r="506">
      <c r="A506" s="74"/>
      <c r="B506" s="74"/>
      <c r="C506" s="74"/>
      <c r="D506" s="74"/>
      <c r="E506" s="74"/>
      <c r="F506" s="74"/>
      <c r="G506" s="74"/>
      <c r="H506" s="74"/>
      <c r="I506" s="74"/>
      <c r="J506" s="76"/>
      <c r="K506" s="76"/>
    </row>
    <row r="507">
      <c r="A507" s="74"/>
      <c r="B507" s="74"/>
      <c r="C507" s="74"/>
      <c r="D507" s="74"/>
      <c r="E507" s="74"/>
      <c r="F507" s="74"/>
      <c r="G507" s="74"/>
      <c r="H507" s="74"/>
      <c r="I507" s="74"/>
      <c r="J507" s="76"/>
      <c r="K507" s="76"/>
    </row>
    <row r="508">
      <c r="A508" s="74"/>
      <c r="B508" s="74"/>
      <c r="C508" s="74"/>
      <c r="D508" s="74"/>
      <c r="E508" s="74"/>
      <c r="F508" s="74"/>
      <c r="G508" s="74"/>
      <c r="H508" s="74"/>
      <c r="I508" s="74"/>
      <c r="J508" s="76"/>
      <c r="K508" s="76"/>
    </row>
    <row r="509">
      <c r="A509" s="74"/>
      <c r="B509" s="74"/>
      <c r="C509" s="74"/>
      <c r="D509" s="74"/>
      <c r="E509" s="74"/>
      <c r="F509" s="74"/>
      <c r="G509" s="74"/>
      <c r="H509" s="74"/>
      <c r="I509" s="74"/>
      <c r="J509" s="76"/>
      <c r="K509" s="76"/>
    </row>
    <row r="510">
      <c r="A510" s="74"/>
      <c r="B510" s="74"/>
      <c r="C510" s="74"/>
      <c r="D510" s="74"/>
      <c r="E510" s="74"/>
      <c r="F510" s="74"/>
      <c r="G510" s="74"/>
      <c r="H510" s="74"/>
      <c r="I510" s="74"/>
      <c r="J510" s="76"/>
      <c r="K510" s="76"/>
    </row>
    <row r="511">
      <c r="A511" s="74"/>
      <c r="B511" s="74"/>
      <c r="C511" s="74"/>
      <c r="D511" s="74"/>
      <c r="E511" s="74"/>
      <c r="F511" s="74"/>
      <c r="G511" s="74"/>
      <c r="H511" s="74"/>
      <c r="I511" s="74"/>
      <c r="J511" s="76"/>
      <c r="K511" s="76"/>
    </row>
    <row r="512">
      <c r="A512" s="74"/>
      <c r="B512" s="74"/>
      <c r="C512" s="74"/>
      <c r="D512" s="74"/>
      <c r="E512" s="74"/>
      <c r="F512" s="74"/>
      <c r="G512" s="74"/>
      <c r="H512" s="74"/>
      <c r="I512" s="74"/>
      <c r="J512" s="76"/>
      <c r="K512" s="76"/>
    </row>
    <row r="513">
      <c r="A513" s="74"/>
      <c r="B513" s="74"/>
      <c r="C513" s="74"/>
      <c r="D513" s="74"/>
      <c r="E513" s="74"/>
      <c r="F513" s="74"/>
      <c r="G513" s="74"/>
      <c r="H513" s="74"/>
      <c r="I513" s="74"/>
      <c r="J513" s="76"/>
      <c r="K513" s="76"/>
    </row>
    <row r="514">
      <c r="A514" s="74"/>
      <c r="B514" s="74"/>
      <c r="C514" s="74"/>
      <c r="D514" s="74"/>
      <c r="E514" s="74"/>
      <c r="F514" s="74"/>
      <c r="G514" s="74"/>
      <c r="H514" s="74"/>
      <c r="I514" s="74"/>
      <c r="J514" s="76"/>
      <c r="K514" s="76"/>
    </row>
    <row r="515">
      <c r="A515" s="74"/>
      <c r="B515" s="74"/>
      <c r="C515" s="74"/>
      <c r="D515" s="74"/>
      <c r="E515" s="74"/>
      <c r="F515" s="74"/>
      <c r="G515" s="74"/>
      <c r="H515" s="74"/>
      <c r="I515" s="74"/>
      <c r="J515" s="76"/>
      <c r="K515" s="76"/>
    </row>
    <row r="516">
      <c r="A516" s="74"/>
      <c r="B516" s="74"/>
      <c r="C516" s="74"/>
      <c r="D516" s="74"/>
      <c r="E516" s="74"/>
      <c r="F516" s="74"/>
      <c r="G516" s="74"/>
      <c r="H516" s="74"/>
      <c r="I516" s="74"/>
      <c r="J516" s="76"/>
      <c r="K516" s="76"/>
    </row>
    <row r="517">
      <c r="A517" s="74"/>
      <c r="B517" s="74"/>
      <c r="C517" s="74"/>
      <c r="D517" s="74"/>
      <c r="E517" s="74"/>
      <c r="F517" s="74"/>
      <c r="G517" s="74"/>
      <c r="H517" s="74"/>
      <c r="I517" s="74"/>
      <c r="J517" s="76"/>
      <c r="K517" s="76"/>
    </row>
    <row r="518">
      <c r="A518" s="74"/>
      <c r="B518" s="74"/>
      <c r="C518" s="74"/>
      <c r="D518" s="74"/>
      <c r="E518" s="74"/>
      <c r="F518" s="74"/>
      <c r="G518" s="74"/>
      <c r="H518" s="74"/>
      <c r="I518" s="74"/>
      <c r="J518" s="76"/>
      <c r="K518" s="76"/>
    </row>
    <row r="519">
      <c r="A519" s="74"/>
      <c r="B519" s="74"/>
      <c r="C519" s="74"/>
      <c r="D519" s="74"/>
      <c r="E519" s="74"/>
      <c r="F519" s="74"/>
      <c r="G519" s="74"/>
      <c r="H519" s="74"/>
      <c r="I519" s="74"/>
      <c r="J519" s="76"/>
      <c r="K519" s="76"/>
    </row>
    <row r="520">
      <c r="A520" s="74"/>
      <c r="B520" s="74"/>
      <c r="C520" s="74"/>
      <c r="D520" s="74"/>
      <c r="E520" s="74"/>
      <c r="F520" s="74"/>
      <c r="G520" s="74"/>
      <c r="H520" s="74"/>
      <c r="I520" s="74"/>
      <c r="J520" s="76"/>
      <c r="K520" s="76"/>
    </row>
    <row r="521">
      <c r="A521" s="74"/>
      <c r="B521" s="74"/>
      <c r="C521" s="74"/>
      <c r="D521" s="74"/>
      <c r="E521" s="74"/>
      <c r="F521" s="74"/>
      <c r="G521" s="74"/>
      <c r="H521" s="74"/>
      <c r="I521" s="74"/>
      <c r="J521" s="76"/>
      <c r="K521" s="76"/>
    </row>
    <row r="522">
      <c r="A522" s="74"/>
      <c r="B522" s="74"/>
      <c r="C522" s="74"/>
      <c r="D522" s="74"/>
      <c r="E522" s="74"/>
      <c r="F522" s="74"/>
      <c r="G522" s="74"/>
      <c r="H522" s="74"/>
      <c r="I522" s="74"/>
      <c r="J522" s="76"/>
      <c r="K522" s="76"/>
    </row>
    <row r="523">
      <c r="A523" s="74"/>
      <c r="B523" s="74"/>
      <c r="C523" s="74"/>
      <c r="D523" s="74"/>
      <c r="E523" s="74"/>
      <c r="F523" s="74"/>
      <c r="G523" s="74"/>
      <c r="H523" s="74"/>
      <c r="I523" s="74"/>
      <c r="J523" s="76"/>
      <c r="K523" s="76"/>
    </row>
    <row r="524">
      <c r="A524" s="74"/>
      <c r="B524" s="74"/>
      <c r="C524" s="74"/>
      <c r="D524" s="74"/>
      <c r="E524" s="74"/>
      <c r="F524" s="74"/>
      <c r="G524" s="74"/>
      <c r="H524" s="74"/>
      <c r="I524" s="74"/>
      <c r="J524" s="76"/>
      <c r="K524" s="76"/>
    </row>
    <row r="525">
      <c r="A525" s="74"/>
      <c r="B525" s="74"/>
      <c r="C525" s="74"/>
      <c r="D525" s="74"/>
      <c r="E525" s="74"/>
      <c r="F525" s="74"/>
      <c r="G525" s="74"/>
      <c r="H525" s="74"/>
      <c r="I525" s="74"/>
      <c r="J525" s="76"/>
      <c r="K525" s="76"/>
    </row>
    <row r="526">
      <c r="A526" s="74"/>
      <c r="B526" s="74"/>
      <c r="C526" s="74"/>
      <c r="D526" s="74"/>
      <c r="E526" s="74"/>
      <c r="F526" s="74"/>
      <c r="G526" s="74"/>
      <c r="H526" s="74"/>
      <c r="I526" s="74"/>
      <c r="J526" s="76"/>
      <c r="K526" s="76"/>
    </row>
    <row r="527">
      <c r="A527" s="74"/>
      <c r="B527" s="74"/>
      <c r="C527" s="74"/>
      <c r="D527" s="74"/>
      <c r="E527" s="74"/>
      <c r="F527" s="74"/>
      <c r="G527" s="74"/>
      <c r="H527" s="74"/>
      <c r="I527" s="74"/>
      <c r="J527" s="76"/>
      <c r="K527" s="76"/>
    </row>
    <row r="528">
      <c r="A528" s="74"/>
      <c r="B528" s="74"/>
      <c r="C528" s="74"/>
      <c r="D528" s="74"/>
      <c r="E528" s="74"/>
      <c r="F528" s="74"/>
      <c r="G528" s="74"/>
      <c r="H528" s="74"/>
      <c r="I528" s="74"/>
      <c r="J528" s="76"/>
      <c r="K528" s="76"/>
    </row>
    <row r="529">
      <c r="A529" s="74"/>
      <c r="B529" s="74"/>
      <c r="C529" s="74"/>
      <c r="D529" s="74"/>
      <c r="E529" s="74"/>
      <c r="F529" s="74"/>
      <c r="G529" s="74"/>
      <c r="H529" s="74"/>
      <c r="I529" s="74"/>
      <c r="J529" s="76"/>
      <c r="K529" s="76"/>
    </row>
    <row r="530">
      <c r="A530" s="74"/>
      <c r="B530" s="74"/>
      <c r="C530" s="74"/>
      <c r="D530" s="74"/>
      <c r="E530" s="74"/>
      <c r="F530" s="74"/>
      <c r="G530" s="74"/>
      <c r="H530" s="74"/>
      <c r="I530" s="74"/>
      <c r="J530" s="76"/>
      <c r="K530" s="76"/>
    </row>
    <row r="531">
      <c r="A531" s="74"/>
      <c r="B531" s="74"/>
      <c r="C531" s="74"/>
      <c r="D531" s="74"/>
      <c r="E531" s="74"/>
      <c r="F531" s="74"/>
      <c r="G531" s="74"/>
      <c r="H531" s="74"/>
      <c r="I531" s="74"/>
      <c r="J531" s="76"/>
      <c r="K531" s="76"/>
    </row>
    <row r="532">
      <c r="A532" s="74"/>
      <c r="B532" s="74"/>
      <c r="C532" s="74"/>
      <c r="D532" s="74"/>
      <c r="E532" s="74"/>
      <c r="F532" s="74"/>
      <c r="G532" s="74"/>
      <c r="H532" s="74"/>
      <c r="I532" s="74"/>
      <c r="J532" s="76"/>
      <c r="K532" s="76"/>
    </row>
    <row r="533">
      <c r="A533" s="74"/>
      <c r="B533" s="74"/>
      <c r="C533" s="74"/>
      <c r="D533" s="74"/>
      <c r="E533" s="74"/>
      <c r="F533" s="74"/>
      <c r="G533" s="74"/>
      <c r="H533" s="74"/>
      <c r="I533" s="74"/>
      <c r="J533" s="76"/>
      <c r="K533" s="76"/>
    </row>
    <row r="534">
      <c r="A534" s="74"/>
      <c r="B534" s="74"/>
      <c r="C534" s="74"/>
      <c r="D534" s="74"/>
      <c r="E534" s="74"/>
      <c r="F534" s="74"/>
      <c r="G534" s="74"/>
      <c r="H534" s="74"/>
      <c r="I534" s="74"/>
      <c r="J534" s="76"/>
      <c r="K534" s="76"/>
    </row>
    <row r="535">
      <c r="A535" s="74"/>
      <c r="B535" s="74"/>
      <c r="C535" s="74"/>
      <c r="D535" s="74"/>
      <c r="E535" s="74"/>
      <c r="F535" s="74"/>
      <c r="G535" s="74"/>
      <c r="H535" s="74"/>
      <c r="I535" s="74"/>
      <c r="J535" s="76"/>
      <c r="K535" s="76"/>
    </row>
    <row r="536">
      <c r="A536" s="74"/>
      <c r="B536" s="74"/>
      <c r="C536" s="74"/>
      <c r="D536" s="74"/>
      <c r="E536" s="74"/>
      <c r="F536" s="74"/>
      <c r="G536" s="74"/>
      <c r="H536" s="74"/>
      <c r="I536" s="74"/>
      <c r="J536" s="76"/>
      <c r="K536" s="76"/>
    </row>
    <row r="537">
      <c r="A537" s="74"/>
      <c r="B537" s="74"/>
      <c r="C537" s="74"/>
      <c r="D537" s="74"/>
      <c r="E537" s="74"/>
      <c r="F537" s="74"/>
      <c r="G537" s="74"/>
      <c r="H537" s="74"/>
      <c r="I537" s="74"/>
      <c r="J537" s="76"/>
      <c r="K537" s="76"/>
    </row>
    <row r="538">
      <c r="A538" s="74"/>
      <c r="B538" s="74"/>
      <c r="C538" s="74"/>
      <c r="D538" s="74"/>
      <c r="E538" s="74"/>
      <c r="F538" s="74"/>
      <c r="G538" s="74"/>
      <c r="H538" s="74"/>
      <c r="I538" s="74"/>
      <c r="J538" s="76"/>
      <c r="K538" s="76"/>
    </row>
    <row r="539">
      <c r="A539" s="74"/>
      <c r="B539" s="74"/>
      <c r="C539" s="74"/>
      <c r="D539" s="74"/>
      <c r="E539" s="74"/>
      <c r="F539" s="74"/>
      <c r="G539" s="74"/>
      <c r="H539" s="74"/>
      <c r="I539" s="74"/>
      <c r="J539" s="76"/>
      <c r="K539" s="76"/>
    </row>
    <row r="540">
      <c r="A540" s="74"/>
      <c r="B540" s="74"/>
      <c r="C540" s="74"/>
      <c r="D540" s="74"/>
      <c r="E540" s="74"/>
      <c r="F540" s="74"/>
      <c r="G540" s="74"/>
      <c r="H540" s="74"/>
      <c r="I540" s="74"/>
      <c r="J540" s="76"/>
      <c r="K540" s="76"/>
    </row>
    <row r="541">
      <c r="A541" s="74"/>
      <c r="B541" s="74"/>
      <c r="C541" s="74"/>
      <c r="D541" s="74"/>
      <c r="E541" s="74"/>
      <c r="F541" s="74"/>
      <c r="G541" s="74"/>
      <c r="H541" s="74"/>
      <c r="I541" s="74"/>
      <c r="J541" s="76"/>
      <c r="K541" s="76"/>
    </row>
    <row r="542">
      <c r="A542" s="74"/>
      <c r="B542" s="74"/>
      <c r="C542" s="74"/>
      <c r="D542" s="74"/>
      <c r="E542" s="74"/>
      <c r="F542" s="74"/>
      <c r="G542" s="74"/>
      <c r="H542" s="74"/>
      <c r="I542" s="74"/>
      <c r="J542" s="76"/>
      <c r="K542" s="76"/>
    </row>
    <row r="543">
      <c r="A543" s="74"/>
      <c r="B543" s="74"/>
      <c r="C543" s="74"/>
      <c r="D543" s="74"/>
      <c r="E543" s="74"/>
      <c r="F543" s="74"/>
      <c r="G543" s="74"/>
      <c r="H543" s="74"/>
      <c r="I543" s="74"/>
      <c r="J543" s="76"/>
      <c r="K543" s="76"/>
    </row>
    <row r="544">
      <c r="A544" s="74"/>
      <c r="B544" s="74"/>
      <c r="C544" s="74"/>
      <c r="D544" s="74"/>
      <c r="E544" s="74"/>
      <c r="F544" s="74"/>
      <c r="G544" s="74"/>
      <c r="H544" s="74"/>
      <c r="I544" s="74"/>
      <c r="J544" s="76"/>
      <c r="K544" s="76"/>
    </row>
    <row r="545">
      <c r="A545" s="74"/>
      <c r="B545" s="74"/>
      <c r="C545" s="74"/>
      <c r="D545" s="74"/>
      <c r="E545" s="74"/>
      <c r="F545" s="74"/>
      <c r="G545" s="74"/>
      <c r="H545" s="74"/>
      <c r="I545" s="74"/>
      <c r="J545" s="76"/>
      <c r="K545" s="76"/>
    </row>
    <row r="546">
      <c r="A546" s="74"/>
      <c r="B546" s="74"/>
      <c r="C546" s="74"/>
      <c r="D546" s="74"/>
      <c r="E546" s="74"/>
      <c r="F546" s="74"/>
      <c r="G546" s="74"/>
      <c r="H546" s="74"/>
      <c r="I546" s="74"/>
      <c r="J546" s="76"/>
      <c r="K546" s="76"/>
    </row>
    <row r="547">
      <c r="A547" s="74"/>
      <c r="B547" s="74"/>
      <c r="C547" s="74"/>
      <c r="D547" s="74"/>
      <c r="E547" s="74"/>
      <c r="F547" s="74"/>
      <c r="G547" s="74"/>
      <c r="H547" s="74"/>
      <c r="I547" s="74"/>
      <c r="J547" s="76"/>
      <c r="K547" s="76"/>
    </row>
    <row r="548">
      <c r="A548" s="74"/>
      <c r="B548" s="74"/>
      <c r="C548" s="74"/>
      <c r="D548" s="74"/>
      <c r="E548" s="74"/>
      <c r="F548" s="74"/>
      <c r="G548" s="74"/>
      <c r="H548" s="74"/>
      <c r="I548" s="74"/>
      <c r="J548" s="76"/>
      <c r="K548" s="76"/>
    </row>
    <row r="549">
      <c r="A549" s="74"/>
      <c r="B549" s="74"/>
      <c r="C549" s="74"/>
      <c r="D549" s="74"/>
      <c r="E549" s="74"/>
      <c r="F549" s="74"/>
      <c r="G549" s="74"/>
      <c r="H549" s="74"/>
      <c r="I549" s="74"/>
      <c r="J549" s="76"/>
      <c r="K549" s="76"/>
    </row>
    <row r="550">
      <c r="A550" s="74"/>
      <c r="B550" s="74"/>
      <c r="C550" s="74"/>
      <c r="D550" s="74"/>
      <c r="E550" s="74"/>
      <c r="F550" s="74"/>
      <c r="G550" s="74"/>
      <c r="H550" s="74"/>
      <c r="I550" s="74"/>
      <c r="J550" s="76"/>
      <c r="K550" s="76"/>
    </row>
    <row r="551">
      <c r="A551" s="74"/>
      <c r="B551" s="74"/>
      <c r="C551" s="74"/>
      <c r="D551" s="74"/>
      <c r="E551" s="74"/>
      <c r="F551" s="74"/>
      <c r="G551" s="74"/>
      <c r="H551" s="74"/>
      <c r="I551" s="74"/>
      <c r="J551" s="76"/>
      <c r="K551" s="76"/>
    </row>
    <row r="552">
      <c r="A552" s="74"/>
      <c r="B552" s="74"/>
      <c r="C552" s="74"/>
      <c r="D552" s="74"/>
      <c r="E552" s="74"/>
      <c r="F552" s="74"/>
      <c r="G552" s="74"/>
      <c r="H552" s="74"/>
      <c r="I552" s="74"/>
      <c r="J552" s="76"/>
      <c r="K552" s="76"/>
    </row>
    <row r="553">
      <c r="A553" s="74"/>
      <c r="B553" s="74"/>
      <c r="C553" s="74"/>
      <c r="D553" s="74"/>
      <c r="E553" s="74"/>
      <c r="F553" s="74"/>
      <c r="G553" s="74"/>
      <c r="H553" s="74"/>
      <c r="I553" s="74"/>
      <c r="J553" s="76"/>
      <c r="K553" s="76"/>
    </row>
    <row r="554">
      <c r="A554" s="74"/>
      <c r="B554" s="74"/>
      <c r="C554" s="74"/>
      <c r="D554" s="74"/>
      <c r="E554" s="74"/>
      <c r="F554" s="74"/>
      <c r="G554" s="74"/>
      <c r="H554" s="74"/>
      <c r="I554" s="74"/>
      <c r="J554" s="76"/>
      <c r="K554" s="76"/>
    </row>
    <row r="555">
      <c r="A555" s="74"/>
      <c r="B555" s="74"/>
      <c r="C555" s="74"/>
      <c r="D555" s="74"/>
      <c r="E555" s="74"/>
      <c r="F555" s="74"/>
      <c r="G555" s="74"/>
      <c r="H555" s="74"/>
      <c r="I555" s="74"/>
      <c r="J555" s="76"/>
      <c r="K555" s="76"/>
    </row>
    <row r="556">
      <c r="A556" s="74"/>
      <c r="B556" s="74"/>
      <c r="C556" s="74"/>
      <c r="D556" s="74"/>
      <c r="E556" s="74"/>
      <c r="F556" s="74"/>
      <c r="G556" s="74"/>
      <c r="H556" s="74"/>
      <c r="I556" s="74"/>
      <c r="J556" s="76"/>
      <c r="K556" s="76"/>
    </row>
    <row r="557">
      <c r="A557" s="74"/>
      <c r="B557" s="74"/>
      <c r="C557" s="74"/>
      <c r="D557" s="74"/>
      <c r="E557" s="74"/>
      <c r="F557" s="74"/>
      <c r="G557" s="74"/>
      <c r="H557" s="74"/>
      <c r="I557" s="74"/>
      <c r="J557" s="76"/>
      <c r="K557" s="76"/>
    </row>
    <row r="558">
      <c r="A558" s="74"/>
      <c r="B558" s="74"/>
      <c r="C558" s="74"/>
      <c r="D558" s="74"/>
      <c r="E558" s="74"/>
      <c r="F558" s="74"/>
      <c r="G558" s="74"/>
      <c r="H558" s="74"/>
      <c r="I558" s="74"/>
      <c r="J558" s="76"/>
      <c r="K558" s="76"/>
    </row>
    <row r="559">
      <c r="A559" s="74"/>
      <c r="B559" s="74"/>
      <c r="C559" s="74"/>
      <c r="D559" s="74"/>
      <c r="E559" s="74"/>
      <c r="F559" s="74"/>
      <c r="G559" s="74"/>
      <c r="H559" s="74"/>
      <c r="I559" s="74"/>
      <c r="J559" s="76"/>
      <c r="K559" s="76"/>
    </row>
    <row r="560">
      <c r="A560" s="74"/>
      <c r="B560" s="74"/>
      <c r="C560" s="74"/>
      <c r="D560" s="74"/>
      <c r="E560" s="74"/>
      <c r="F560" s="74"/>
      <c r="G560" s="74"/>
      <c r="H560" s="74"/>
      <c r="I560" s="74"/>
      <c r="J560" s="76"/>
      <c r="K560" s="76"/>
    </row>
    <row r="561">
      <c r="A561" s="74"/>
      <c r="B561" s="74"/>
      <c r="C561" s="74"/>
      <c r="D561" s="74"/>
      <c r="E561" s="74"/>
      <c r="F561" s="74"/>
      <c r="G561" s="74"/>
      <c r="H561" s="74"/>
      <c r="I561" s="74"/>
      <c r="J561" s="76"/>
      <c r="K561" s="76"/>
    </row>
    <row r="562">
      <c r="A562" s="74"/>
      <c r="B562" s="74"/>
      <c r="C562" s="74"/>
      <c r="D562" s="74"/>
      <c r="E562" s="74"/>
      <c r="F562" s="74"/>
      <c r="G562" s="74"/>
      <c r="H562" s="74"/>
      <c r="I562" s="74"/>
      <c r="J562" s="76"/>
      <c r="K562" s="76"/>
    </row>
    <row r="563">
      <c r="A563" s="74"/>
      <c r="B563" s="74"/>
      <c r="C563" s="74"/>
      <c r="D563" s="74"/>
      <c r="E563" s="74"/>
      <c r="F563" s="74"/>
      <c r="G563" s="74"/>
      <c r="H563" s="74"/>
      <c r="I563" s="74"/>
      <c r="J563" s="76"/>
      <c r="K563" s="76"/>
    </row>
    <row r="564">
      <c r="A564" s="74"/>
      <c r="B564" s="74"/>
      <c r="C564" s="74"/>
      <c r="D564" s="74"/>
      <c r="E564" s="74"/>
      <c r="F564" s="74"/>
      <c r="G564" s="74"/>
      <c r="H564" s="74"/>
      <c r="I564" s="74"/>
      <c r="J564" s="76"/>
      <c r="K564" s="76"/>
    </row>
    <row r="565">
      <c r="A565" s="74"/>
      <c r="B565" s="74"/>
      <c r="C565" s="74"/>
      <c r="D565" s="74"/>
      <c r="E565" s="74"/>
      <c r="F565" s="74"/>
      <c r="G565" s="74"/>
      <c r="H565" s="74"/>
      <c r="I565" s="74"/>
      <c r="J565" s="76"/>
      <c r="K565" s="76"/>
    </row>
    <row r="566">
      <c r="A566" s="74"/>
      <c r="B566" s="74"/>
      <c r="C566" s="74"/>
      <c r="D566" s="74"/>
      <c r="E566" s="74"/>
      <c r="F566" s="74"/>
      <c r="G566" s="74"/>
      <c r="H566" s="74"/>
      <c r="I566" s="74"/>
      <c r="J566" s="76"/>
      <c r="K566" s="76"/>
    </row>
    <row r="567">
      <c r="A567" s="74"/>
      <c r="B567" s="74"/>
      <c r="C567" s="74"/>
      <c r="D567" s="74"/>
      <c r="E567" s="74"/>
      <c r="F567" s="74"/>
      <c r="G567" s="74"/>
      <c r="H567" s="74"/>
      <c r="I567" s="74"/>
      <c r="J567" s="76"/>
      <c r="K567" s="76"/>
    </row>
    <row r="568">
      <c r="A568" s="74"/>
      <c r="B568" s="74"/>
      <c r="C568" s="74"/>
      <c r="D568" s="74"/>
      <c r="E568" s="74"/>
      <c r="F568" s="74"/>
      <c r="G568" s="74"/>
      <c r="H568" s="74"/>
      <c r="I568" s="74"/>
      <c r="J568" s="76"/>
      <c r="K568" s="76"/>
    </row>
    <row r="569">
      <c r="A569" s="74"/>
      <c r="B569" s="74"/>
      <c r="C569" s="74"/>
      <c r="D569" s="74"/>
      <c r="E569" s="74"/>
      <c r="F569" s="74"/>
      <c r="G569" s="74"/>
      <c r="H569" s="74"/>
      <c r="I569" s="74"/>
      <c r="J569" s="76"/>
      <c r="K569" s="76"/>
    </row>
    <row r="570">
      <c r="A570" s="74"/>
      <c r="B570" s="74"/>
      <c r="C570" s="74"/>
      <c r="D570" s="74"/>
      <c r="E570" s="74"/>
      <c r="F570" s="74"/>
      <c r="G570" s="74"/>
      <c r="H570" s="74"/>
      <c r="I570" s="74"/>
      <c r="J570" s="76"/>
      <c r="K570" s="76"/>
    </row>
    <row r="571">
      <c r="A571" s="74"/>
      <c r="B571" s="74"/>
      <c r="C571" s="74"/>
      <c r="D571" s="74"/>
      <c r="E571" s="74"/>
      <c r="F571" s="74"/>
      <c r="G571" s="74"/>
      <c r="H571" s="74"/>
      <c r="I571" s="74"/>
      <c r="J571" s="76"/>
      <c r="K571" s="76"/>
    </row>
    <row r="572">
      <c r="A572" s="74"/>
      <c r="B572" s="74"/>
      <c r="C572" s="74"/>
      <c r="D572" s="74"/>
      <c r="E572" s="74"/>
      <c r="F572" s="74"/>
      <c r="G572" s="74"/>
      <c r="H572" s="74"/>
      <c r="I572" s="74"/>
      <c r="J572" s="76"/>
      <c r="K572" s="76"/>
    </row>
    <row r="573">
      <c r="A573" s="74"/>
      <c r="B573" s="74"/>
      <c r="C573" s="74"/>
      <c r="D573" s="74"/>
      <c r="E573" s="74"/>
      <c r="F573" s="74"/>
      <c r="G573" s="74"/>
      <c r="H573" s="74"/>
      <c r="I573" s="74"/>
      <c r="J573" s="76"/>
      <c r="K573" s="76"/>
    </row>
    <row r="574">
      <c r="A574" s="74"/>
      <c r="B574" s="74"/>
      <c r="C574" s="74"/>
      <c r="D574" s="74"/>
      <c r="E574" s="74"/>
      <c r="F574" s="74"/>
      <c r="G574" s="74"/>
      <c r="H574" s="74"/>
      <c r="I574" s="74"/>
      <c r="J574" s="76"/>
      <c r="K574" s="76"/>
    </row>
    <row r="575">
      <c r="A575" s="74"/>
      <c r="B575" s="74"/>
      <c r="C575" s="74"/>
      <c r="D575" s="74"/>
      <c r="E575" s="74"/>
      <c r="F575" s="74"/>
      <c r="G575" s="74"/>
      <c r="H575" s="74"/>
      <c r="I575" s="74"/>
      <c r="J575" s="76"/>
      <c r="K575" s="76"/>
    </row>
    <row r="576">
      <c r="A576" s="74"/>
      <c r="B576" s="74"/>
      <c r="C576" s="74"/>
      <c r="D576" s="74"/>
      <c r="E576" s="74"/>
      <c r="F576" s="74"/>
      <c r="G576" s="74"/>
      <c r="H576" s="74"/>
      <c r="I576" s="74"/>
      <c r="J576" s="76"/>
      <c r="K576" s="76"/>
    </row>
    <row r="577">
      <c r="A577" s="74"/>
      <c r="B577" s="74"/>
      <c r="C577" s="74"/>
      <c r="D577" s="74"/>
      <c r="E577" s="74"/>
      <c r="F577" s="74"/>
      <c r="G577" s="74"/>
      <c r="H577" s="74"/>
      <c r="I577" s="74"/>
      <c r="J577" s="76"/>
      <c r="K577" s="76"/>
    </row>
    <row r="578">
      <c r="A578" s="74"/>
      <c r="B578" s="74"/>
      <c r="C578" s="74"/>
      <c r="D578" s="74"/>
      <c r="E578" s="74"/>
      <c r="F578" s="74"/>
      <c r="G578" s="74"/>
      <c r="H578" s="74"/>
      <c r="I578" s="74"/>
      <c r="J578" s="76"/>
      <c r="K578" s="76"/>
    </row>
    <row r="579">
      <c r="A579" s="74"/>
      <c r="B579" s="74"/>
      <c r="C579" s="74"/>
      <c r="D579" s="74"/>
      <c r="E579" s="74"/>
      <c r="F579" s="74"/>
      <c r="G579" s="74"/>
      <c r="H579" s="74"/>
      <c r="I579" s="74"/>
      <c r="J579" s="76"/>
      <c r="K579" s="76"/>
    </row>
    <row r="580">
      <c r="A580" s="74"/>
      <c r="B580" s="74"/>
      <c r="C580" s="74"/>
      <c r="D580" s="74"/>
      <c r="E580" s="74"/>
      <c r="F580" s="74"/>
      <c r="G580" s="74"/>
      <c r="H580" s="74"/>
      <c r="I580" s="74"/>
      <c r="J580" s="76"/>
      <c r="K580" s="76"/>
    </row>
    <row r="581">
      <c r="A581" s="74"/>
      <c r="B581" s="74"/>
      <c r="C581" s="74"/>
      <c r="D581" s="74"/>
      <c r="E581" s="74"/>
      <c r="F581" s="74"/>
      <c r="G581" s="74"/>
      <c r="H581" s="74"/>
      <c r="I581" s="74"/>
      <c r="J581" s="76"/>
      <c r="K581" s="76"/>
    </row>
    <row r="582">
      <c r="A582" s="74"/>
      <c r="B582" s="74"/>
      <c r="C582" s="74"/>
      <c r="D582" s="74"/>
      <c r="E582" s="74"/>
      <c r="F582" s="74"/>
      <c r="G582" s="74"/>
      <c r="H582" s="74"/>
      <c r="I582" s="74"/>
      <c r="J582" s="76"/>
      <c r="K582" s="76"/>
    </row>
    <row r="583">
      <c r="A583" s="74"/>
      <c r="B583" s="74"/>
      <c r="C583" s="74"/>
      <c r="D583" s="74"/>
      <c r="E583" s="74"/>
      <c r="F583" s="74"/>
      <c r="G583" s="74"/>
      <c r="H583" s="74"/>
      <c r="I583" s="74"/>
      <c r="J583" s="76"/>
      <c r="K583" s="76"/>
    </row>
    <row r="584">
      <c r="A584" s="74"/>
      <c r="B584" s="74"/>
      <c r="C584" s="74"/>
      <c r="D584" s="74"/>
      <c r="E584" s="74"/>
      <c r="F584" s="74"/>
      <c r="G584" s="74"/>
      <c r="H584" s="74"/>
      <c r="I584" s="74"/>
      <c r="J584" s="76"/>
      <c r="K584" s="76"/>
    </row>
    <row r="585">
      <c r="A585" s="74"/>
      <c r="B585" s="74"/>
      <c r="C585" s="74"/>
      <c r="D585" s="74"/>
      <c r="E585" s="74"/>
      <c r="F585" s="74"/>
      <c r="G585" s="74"/>
      <c r="H585" s="74"/>
      <c r="I585" s="74"/>
      <c r="J585" s="76"/>
      <c r="K585" s="76"/>
    </row>
    <row r="586">
      <c r="A586" s="74"/>
      <c r="B586" s="74"/>
      <c r="C586" s="74"/>
      <c r="D586" s="74"/>
      <c r="E586" s="74"/>
      <c r="F586" s="74"/>
      <c r="G586" s="74"/>
      <c r="H586" s="74"/>
      <c r="I586" s="74"/>
      <c r="J586" s="76"/>
      <c r="K586" s="76"/>
    </row>
    <row r="587">
      <c r="A587" s="74"/>
      <c r="B587" s="74"/>
      <c r="C587" s="74"/>
      <c r="D587" s="74"/>
      <c r="E587" s="74"/>
      <c r="F587" s="74"/>
      <c r="G587" s="74"/>
      <c r="H587" s="74"/>
      <c r="I587" s="74"/>
      <c r="J587" s="76"/>
      <c r="K587" s="76"/>
    </row>
    <row r="588">
      <c r="A588" s="74"/>
      <c r="B588" s="74"/>
      <c r="C588" s="74"/>
      <c r="D588" s="74"/>
      <c r="E588" s="74"/>
      <c r="F588" s="74"/>
      <c r="G588" s="74"/>
      <c r="H588" s="74"/>
      <c r="I588" s="74"/>
      <c r="J588" s="76"/>
      <c r="K588" s="76"/>
    </row>
    <row r="589">
      <c r="A589" s="74"/>
      <c r="B589" s="74"/>
      <c r="C589" s="74"/>
      <c r="D589" s="74"/>
      <c r="E589" s="74"/>
      <c r="F589" s="74"/>
      <c r="G589" s="74"/>
      <c r="H589" s="74"/>
      <c r="I589" s="74"/>
      <c r="J589" s="76"/>
      <c r="K589" s="76"/>
    </row>
    <row r="590">
      <c r="A590" s="74"/>
      <c r="B590" s="74"/>
      <c r="C590" s="74"/>
      <c r="D590" s="74"/>
      <c r="E590" s="74"/>
      <c r="F590" s="74"/>
      <c r="G590" s="74"/>
      <c r="H590" s="74"/>
      <c r="I590" s="74"/>
      <c r="J590" s="76"/>
      <c r="K590" s="76"/>
    </row>
    <row r="591">
      <c r="A591" s="74"/>
      <c r="B591" s="74"/>
      <c r="C591" s="74"/>
      <c r="D591" s="74"/>
      <c r="E591" s="74"/>
      <c r="F591" s="74"/>
      <c r="G591" s="74"/>
      <c r="H591" s="74"/>
      <c r="I591" s="74"/>
      <c r="J591" s="76"/>
      <c r="K591" s="76"/>
    </row>
    <row r="592">
      <c r="A592" s="74"/>
      <c r="B592" s="74"/>
      <c r="C592" s="74"/>
      <c r="D592" s="74"/>
      <c r="E592" s="74"/>
      <c r="F592" s="74"/>
      <c r="G592" s="74"/>
      <c r="H592" s="74"/>
      <c r="I592" s="74"/>
      <c r="J592" s="76"/>
      <c r="K592" s="76"/>
    </row>
    <row r="593">
      <c r="A593" s="74"/>
      <c r="B593" s="74"/>
      <c r="C593" s="74"/>
      <c r="D593" s="74"/>
      <c r="E593" s="74"/>
      <c r="F593" s="74"/>
      <c r="G593" s="74"/>
      <c r="H593" s="74"/>
      <c r="I593" s="74"/>
      <c r="J593" s="76"/>
      <c r="K593" s="76"/>
    </row>
    <row r="594">
      <c r="A594" s="74"/>
      <c r="B594" s="74"/>
      <c r="C594" s="74"/>
      <c r="D594" s="74"/>
      <c r="E594" s="74"/>
      <c r="F594" s="74"/>
      <c r="G594" s="74"/>
      <c r="H594" s="74"/>
      <c r="I594" s="74"/>
      <c r="J594" s="76"/>
      <c r="K594" s="76"/>
    </row>
    <row r="595">
      <c r="A595" s="74"/>
      <c r="B595" s="74"/>
      <c r="C595" s="74"/>
      <c r="D595" s="74"/>
      <c r="E595" s="74"/>
      <c r="F595" s="74"/>
      <c r="G595" s="74"/>
      <c r="H595" s="74"/>
      <c r="I595" s="74"/>
      <c r="J595" s="76"/>
      <c r="K595" s="76"/>
    </row>
    <row r="596">
      <c r="A596" s="74"/>
      <c r="B596" s="74"/>
      <c r="C596" s="74"/>
      <c r="D596" s="74"/>
      <c r="E596" s="74"/>
      <c r="F596" s="74"/>
      <c r="G596" s="74"/>
      <c r="H596" s="74"/>
      <c r="I596" s="74"/>
      <c r="J596" s="76"/>
      <c r="K596" s="76"/>
    </row>
    <row r="597">
      <c r="A597" s="74"/>
      <c r="B597" s="74"/>
      <c r="C597" s="74"/>
      <c r="D597" s="74"/>
      <c r="E597" s="74"/>
      <c r="F597" s="74"/>
      <c r="G597" s="74"/>
      <c r="H597" s="74"/>
      <c r="I597" s="74"/>
      <c r="J597" s="76"/>
      <c r="K597" s="76"/>
    </row>
    <row r="598">
      <c r="A598" s="74"/>
      <c r="B598" s="74"/>
      <c r="C598" s="74"/>
      <c r="D598" s="74"/>
      <c r="E598" s="74"/>
      <c r="F598" s="74"/>
      <c r="G598" s="74"/>
      <c r="H598" s="74"/>
      <c r="I598" s="74"/>
      <c r="J598" s="76"/>
      <c r="K598" s="76"/>
    </row>
    <row r="599">
      <c r="A599" s="74"/>
      <c r="B599" s="74"/>
      <c r="C599" s="74"/>
      <c r="D599" s="74"/>
      <c r="E599" s="74"/>
      <c r="F599" s="74"/>
      <c r="G599" s="74"/>
      <c r="H599" s="74"/>
      <c r="I599" s="74"/>
      <c r="J599" s="76"/>
      <c r="K599" s="76"/>
    </row>
    <row r="600">
      <c r="A600" s="74"/>
      <c r="B600" s="74"/>
      <c r="C600" s="74"/>
      <c r="D600" s="74"/>
      <c r="E600" s="74"/>
      <c r="F600" s="74"/>
      <c r="G600" s="74"/>
      <c r="H600" s="74"/>
      <c r="I600" s="74"/>
      <c r="J600" s="76"/>
      <c r="K600" s="76"/>
    </row>
    <row r="601">
      <c r="A601" s="74"/>
      <c r="B601" s="74"/>
      <c r="C601" s="74"/>
      <c r="D601" s="74"/>
      <c r="E601" s="74"/>
      <c r="F601" s="74"/>
      <c r="G601" s="74"/>
      <c r="H601" s="74"/>
      <c r="I601" s="74"/>
      <c r="J601" s="76"/>
      <c r="K601" s="76"/>
    </row>
    <row r="602">
      <c r="A602" s="74"/>
      <c r="B602" s="74"/>
      <c r="C602" s="74"/>
      <c r="D602" s="74"/>
      <c r="E602" s="74"/>
      <c r="F602" s="74"/>
      <c r="G602" s="74"/>
      <c r="H602" s="74"/>
      <c r="I602" s="74"/>
      <c r="J602" s="76"/>
      <c r="K602" s="76"/>
    </row>
    <row r="603">
      <c r="A603" s="74"/>
      <c r="B603" s="74"/>
      <c r="C603" s="74"/>
      <c r="D603" s="74"/>
      <c r="E603" s="74"/>
      <c r="F603" s="74"/>
      <c r="G603" s="74"/>
      <c r="H603" s="74"/>
      <c r="I603" s="74"/>
      <c r="J603" s="76"/>
      <c r="K603" s="76"/>
    </row>
    <row r="604">
      <c r="A604" s="74"/>
      <c r="B604" s="74"/>
      <c r="C604" s="74"/>
      <c r="D604" s="74"/>
      <c r="E604" s="74"/>
      <c r="F604" s="74"/>
      <c r="G604" s="74"/>
      <c r="H604" s="74"/>
      <c r="I604" s="74"/>
      <c r="J604" s="76"/>
      <c r="K604" s="76"/>
    </row>
    <row r="605">
      <c r="A605" s="74"/>
      <c r="B605" s="74"/>
      <c r="C605" s="74"/>
      <c r="D605" s="74"/>
      <c r="E605" s="74"/>
      <c r="F605" s="74"/>
      <c r="G605" s="74"/>
      <c r="H605" s="74"/>
      <c r="I605" s="74"/>
      <c r="J605" s="76"/>
      <c r="K605" s="76"/>
    </row>
    <row r="606">
      <c r="A606" s="74"/>
      <c r="B606" s="74"/>
      <c r="C606" s="74"/>
      <c r="D606" s="74"/>
      <c r="E606" s="74"/>
      <c r="F606" s="74"/>
      <c r="G606" s="74"/>
      <c r="H606" s="74"/>
      <c r="I606" s="74"/>
      <c r="J606" s="76"/>
      <c r="K606" s="76"/>
    </row>
    <row r="607">
      <c r="A607" s="74"/>
      <c r="B607" s="74"/>
      <c r="C607" s="74"/>
      <c r="D607" s="74"/>
      <c r="E607" s="74"/>
      <c r="F607" s="74"/>
      <c r="G607" s="74"/>
      <c r="H607" s="74"/>
      <c r="I607" s="74"/>
      <c r="J607" s="76"/>
      <c r="K607" s="76"/>
    </row>
    <row r="608">
      <c r="A608" s="74"/>
      <c r="B608" s="74"/>
      <c r="C608" s="74"/>
      <c r="D608" s="74"/>
      <c r="E608" s="74"/>
      <c r="F608" s="74"/>
      <c r="G608" s="74"/>
      <c r="H608" s="74"/>
      <c r="I608" s="74"/>
      <c r="J608" s="76"/>
      <c r="K608" s="76"/>
    </row>
    <row r="609">
      <c r="A609" s="74"/>
      <c r="B609" s="74"/>
      <c r="C609" s="74"/>
      <c r="D609" s="74"/>
      <c r="E609" s="74"/>
      <c r="F609" s="74"/>
      <c r="G609" s="74"/>
      <c r="H609" s="74"/>
      <c r="I609" s="74"/>
      <c r="J609" s="76"/>
      <c r="K609" s="76"/>
    </row>
    <row r="610">
      <c r="A610" s="74"/>
      <c r="B610" s="74"/>
      <c r="C610" s="74"/>
      <c r="D610" s="74"/>
      <c r="E610" s="74"/>
      <c r="F610" s="74"/>
      <c r="G610" s="74"/>
      <c r="H610" s="74"/>
      <c r="I610" s="74"/>
      <c r="J610" s="76"/>
      <c r="K610" s="76"/>
    </row>
    <row r="611">
      <c r="A611" s="74"/>
      <c r="B611" s="74"/>
      <c r="C611" s="74"/>
      <c r="D611" s="74"/>
      <c r="E611" s="74"/>
      <c r="F611" s="74"/>
      <c r="G611" s="74"/>
      <c r="H611" s="74"/>
      <c r="I611" s="74"/>
      <c r="J611" s="76"/>
      <c r="K611" s="76"/>
    </row>
    <row r="612">
      <c r="A612" s="74"/>
      <c r="B612" s="74"/>
      <c r="C612" s="74"/>
      <c r="D612" s="74"/>
      <c r="E612" s="74"/>
      <c r="F612" s="74"/>
      <c r="G612" s="74"/>
      <c r="H612" s="74"/>
      <c r="I612" s="74"/>
      <c r="J612" s="76"/>
      <c r="K612" s="76"/>
    </row>
    <row r="613">
      <c r="A613" s="74"/>
      <c r="B613" s="74"/>
      <c r="C613" s="74"/>
      <c r="D613" s="74"/>
      <c r="E613" s="74"/>
      <c r="F613" s="74"/>
      <c r="G613" s="74"/>
      <c r="H613" s="74"/>
      <c r="I613" s="74"/>
      <c r="J613" s="76"/>
      <c r="K613" s="76"/>
    </row>
    <row r="614">
      <c r="A614" s="74"/>
      <c r="B614" s="74"/>
      <c r="C614" s="74"/>
      <c r="D614" s="74"/>
      <c r="E614" s="74"/>
      <c r="F614" s="74"/>
      <c r="G614" s="74"/>
      <c r="H614" s="74"/>
      <c r="I614" s="74"/>
      <c r="J614" s="76"/>
      <c r="K614" s="76"/>
    </row>
    <row r="615">
      <c r="A615" s="74"/>
      <c r="B615" s="74"/>
      <c r="C615" s="74"/>
      <c r="D615" s="74"/>
      <c r="E615" s="74"/>
      <c r="F615" s="74"/>
      <c r="G615" s="74"/>
      <c r="H615" s="74"/>
      <c r="I615" s="74"/>
      <c r="J615" s="76"/>
      <c r="K615" s="76"/>
    </row>
    <row r="616">
      <c r="A616" s="74"/>
      <c r="B616" s="74"/>
      <c r="C616" s="74"/>
      <c r="D616" s="74"/>
      <c r="E616" s="74"/>
      <c r="F616" s="74"/>
      <c r="G616" s="74"/>
      <c r="H616" s="74"/>
      <c r="I616" s="74"/>
      <c r="J616" s="76"/>
      <c r="K616" s="76"/>
    </row>
    <row r="617">
      <c r="A617" s="74"/>
      <c r="B617" s="74"/>
      <c r="C617" s="74"/>
      <c r="D617" s="74"/>
      <c r="E617" s="74"/>
      <c r="F617" s="74"/>
      <c r="G617" s="74"/>
      <c r="H617" s="74"/>
      <c r="I617" s="74"/>
      <c r="J617" s="76"/>
      <c r="K617" s="76"/>
    </row>
    <row r="618">
      <c r="A618" s="74"/>
      <c r="B618" s="74"/>
      <c r="C618" s="74"/>
      <c r="D618" s="74"/>
      <c r="E618" s="74"/>
      <c r="F618" s="74"/>
      <c r="G618" s="74"/>
      <c r="H618" s="74"/>
      <c r="I618" s="74"/>
      <c r="J618" s="76"/>
      <c r="K618" s="76"/>
    </row>
    <row r="619">
      <c r="A619" s="74"/>
      <c r="B619" s="74"/>
      <c r="C619" s="74"/>
      <c r="D619" s="74"/>
      <c r="E619" s="74"/>
      <c r="F619" s="74"/>
      <c r="G619" s="74"/>
      <c r="H619" s="74"/>
      <c r="I619" s="74"/>
      <c r="J619" s="76"/>
      <c r="K619" s="76"/>
    </row>
    <row r="620">
      <c r="A620" s="74"/>
      <c r="B620" s="74"/>
      <c r="C620" s="74"/>
      <c r="D620" s="74"/>
      <c r="E620" s="74"/>
      <c r="F620" s="74"/>
      <c r="G620" s="74"/>
      <c r="H620" s="74"/>
      <c r="I620" s="74"/>
      <c r="J620" s="76"/>
      <c r="K620" s="76"/>
    </row>
    <row r="621">
      <c r="A621" s="74"/>
      <c r="B621" s="74"/>
      <c r="C621" s="74"/>
      <c r="D621" s="74"/>
      <c r="E621" s="74"/>
      <c r="F621" s="74"/>
      <c r="G621" s="74"/>
      <c r="H621" s="74"/>
      <c r="I621" s="74"/>
      <c r="J621" s="76"/>
      <c r="K621" s="76"/>
    </row>
    <row r="622">
      <c r="A622" s="74"/>
      <c r="B622" s="74"/>
      <c r="C622" s="74"/>
      <c r="D622" s="74"/>
      <c r="E622" s="74"/>
      <c r="F622" s="74"/>
      <c r="G622" s="74"/>
      <c r="H622" s="74"/>
      <c r="I622" s="74"/>
      <c r="J622" s="76"/>
      <c r="K622" s="76"/>
    </row>
    <row r="623">
      <c r="A623" s="74"/>
      <c r="B623" s="74"/>
      <c r="C623" s="74"/>
      <c r="D623" s="74"/>
      <c r="E623" s="74"/>
      <c r="F623" s="74"/>
      <c r="G623" s="74"/>
      <c r="H623" s="74"/>
      <c r="I623" s="74"/>
      <c r="J623" s="76"/>
      <c r="K623" s="76"/>
    </row>
    <row r="624">
      <c r="A624" s="74"/>
      <c r="B624" s="74"/>
      <c r="C624" s="74"/>
      <c r="D624" s="74"/>
      <c r="E624" s="74"/>
      <c r="F624" s="74"/>
      <c r="G624" s="74"/>
      <c r="H624" s="74"/>
      <c r="I624" s="74"/>
      <c r="J624" s="76"/>
      <c r="K624" s="76"/>
    </row>
    <row r="625">
      <c r="A625" s="74"/>
      <c r="B625" s="74"/>
      <c r="C625" s="74"/>
      <c r="D625" s="74"/>
      <c r="E625" s="74"/>
      <c r="F625" s="74"/>
      <c r="G625" s="74"/>
      <c r="H625" s="74"/>
      <c r="I625" s="74"/>
      <c r="J625" s="76"/>
      <c r="K625" s="76"/>
    </row>
    <row r="626">
      <c r="A626" s="74"/>
      <c r="B626" s="74"/>
      <c r="C626" s="74"/>
      <c r="D626" s="74"/>
      <c r="E626" s="74"/>
      <c r="F626" s="74"/>
      <c r="G626" s="74"/>
      <c r="H626" s="74"/>
      <c r="I626" s="74"/>
      <c r="J626" s="76"/>
      <c r="K626" s="76"/>
    </row>
    <row r="627">
      <c r="A627" s="74"/>
      <c r="B627" s="74"/>
      <c r="C627" s="74"/>
      <c r="D627" s="74"/>
      <c r="E627" s="74"/>
      <c r="F627" s="74"/>
      <c r="G627" s="74"/>
      <c r="H627" s="74"/>
      <c r="I627" s="74"/>
      <c r="J627" s="76"/>
      <c r="K627" s="76"/>
    </row>
    <row r="628">
      <c r="A628" s="74"/>
      <c r="B628" s="74"/>
      <c r="C628" s="74"/>
      <c r="D628" s="74"/>
      <c r="E628" s="74"/>
      <c r="F628" s="74"/>
      <c r="G628" s="74"/>
      <c r="H628" s="74"/>
      <c r="I628" s="74"/>
      <c r="J628" s="76"/>
      <c r="K628" s="76"/>
    </row>
    <row r="629">
      <c r="A629" s="74"/>
      <c r="B629" s="74"/>
      <c r="C629" s="74"/>
      <c r="D629" s="74"/>
      <c r="E629" s="74"/>
      <c r="F629" s="74"/>
      <c r="G629" s="74"/>
      <c r="H629" s="74"/>
      <c r="I629" s="74"/>
      <c r="J629" s="76"/>
      <c r="K629" s="76"/>
    </row>
    <row r="630">
      <c r="A630" s="74"/>
      <c r="B630" s="74"/>
      <c r="C630" s="74"/>
      <c r="D630" s="74"/>
      <c r="E630" s="74"/>
      <c r="F630" s="74"/>
      <c r="G630" s="74"/>
      <c r="H630" s="74"/>
      <c r="I630" s="74"/>
      <c r="J630" s="76"/>
      <c r="K630" s="76"/>
    </row>
    <row r="631">
      <c r="A631" s="74"/>
      <c r="B631" s="74"/>
      <c r="C631" s="74"/>
      <c r="D631" s="74"/>
      <c r="E631" s="74"/>
      <c r="F631" s="74"/>
      <c r="G631" s="74"/>
      <c r="H631" s="74"/>
      <c r="I631" s="74"/>
      <c r="J631" s="76"/>
      <c r="K631" s="76"/>
    </row>
    <row r="632">
      <c r="A632" s="74"/>
      <c r="B632" s="74"/>
      <c r="C632" s="74"/>
      <c r="D632" s="74"/>
      <c r="E632" s="74"/>
      <c r="F632" s="74"/>
      <c r="G632" s="74"/>
      <c r="H632" s="74"/>
      <c r="I632" s="74"/>
      <c r="J632" s="76"/>
      <c r="K632" s="76"/>
    </row>
    <row r="633">
      <c r="A633" s="74"/>
      <c r="B633" s="74"/>
      <c r="C633" s="74"/>
      <c r="D633" s="74"/>
      <c r="E633" s="74"/>
      <c r="F633" s="74"/>
      <c r="G633" s="74"/>
      <c r="H633" s="74"/>
      <c r="I633" s="74"/>
      <c r="J633" s="76"/>
      <c r="K633" s="76"/>
    </row>
    <row r="634">
      <c r="A634" s="74"/>
      <c r="B634" s="74"/>
      <c r="C634" s="74"/>
      <c r="D634" s="74"/>
      <c r="E634" s="74"/>
      <c r="F634" s="74"/>
      <c r="G634" s="74"/>
      <c r="H634" s="74"/>
      <c r="I634" s="74"/>
      <c r="J634" s="76"/>
      <c r="K634" s="76"/>
    </row>
    <row r="635">
      <c r="A635" s="74"/>
      <c r="B635" s="74"/>
      <c r="C635" s="74"/>
      <c r="D635" s="74"/>
      <c r="E635" s="74"/>
      <c r="F635" s="74"/>
      <c r="G635" s="74"/>
      <c r="H635" s="74"/>
      <c r="I635" s="74"/>
      <c r="J635" s="76"/>
      <c r="K635" s="76"/>
    </row>
    <row r="636">
      <c r="A636" s="74"/>
      <c r="B636" s="74"/>
      <c r="C636" s="74"/>
      <c r="D636" s="74"/>
      <c r="E636" s="74"/>
      <c r="F636" s="74"/>
      <c r="G636" s="74"/>
      <c r="H636" s="74"/>
      <c r="I636" s="74"/>
      <c r="J636" s="76"/>
      <c r="K636" s="76"/>
    </row>
    <row r="637">
      <c r="A637" s="74"/>
      <c r="B637" s="74"/>
      <c r="C637" s="74"/>
      <c r="D637" s="74"/>
      <c r="E637" s="74"/>
      <c r="F637" s="74"/>
      <c r="G637" s="74"/>
      <c r="H637" s="74"/>
      <c r="I637" s="74"/>
      <c r="J637" s="76"/>
      <c r="K637" s="76"/>
    </row>
    <row r="638">
      <c r="A638" s="74"/>
      <c r="B638" s="74"/>
      <c r="C638" s="74"/>
      <c r="D638" s="74"/>
      <c r="E638" s="74"/>
      <c r="F638" s="74"/>
      <c r="G638" s="74"/>
      <c r="H638" s="74"/>
      <c r="I638" s="74"/>
      <c r="J638" s="76"/>
      <c r="K638" s="76"/>
    </row>
    <row r="639">
      <c r="A639" s="74"/>
      <c r="B639" s="74"/>
      <c r="C639" s="74"/>
      <c r="D639" s="74"/>
      <c r="E639" s="74"/>
      <c r="F639" s="74"/>
      <c r="G639" s="74"/>
      <c r="H639" s="74"/>
      <c r="I639" s="74"/>
      <c r="J639" s="76"/>
      <c r="K639" s="76"/>
    </row>
    <row r="640">
      <c r="A640" s="74"/>
      <c r="B640" s="74"/>
      <c r="C640" s="74"/>
      <c r="D640" s="74"/>
      <c r="E640" s="74"/>
      <c r="F640" s="74"/>
      <c r="G640" s="74"/>
      <c r="H640" s="74"/>
      <c r="I640" s="74"/>
      <c r="J640" s="76"/>
      <c r="K640" s="76"/>
    </row>
    <row r="641">
      <c r="A641" s="74"/>
      <c r="B641" s="74"/>
      <c r="C641" s="74"/>
      <c r="D641" s="74"/>
      <c r="E641" s="74"/>
      <c r="F641" s="74"/>
      <c r="G641" s="74"/>
      <c r="H641" s="74"/>
      <c r="I641" s="74"/>
      <c r="J641" s="76"/>
      <c r="K641" s="76"/>
    </row>
    <row r="642">
      <c r="A642" s="74"/>
      <c r="B642" s="74"/>
      <c r="C642" s="74"/>
      <c r="D642" s="74"/>
      <c r="E642" s="74"/>
      <c r="F642" s="74"/>
      <c r="G642" s="74"/>
      <c r="H642" s="74"/>
      <c r="I642" s="74"/>
      <c r="J642" s="76"/>
      <c r="K642" s="76"/>
    </row>
    <row r="643">
      <c r="A643" s="74"/>
      <c r="B643" s="74"/>
      <c r="C643" s="74"/>
      <c r="D643" s="74"/>
      <c r="E643" s="74"/>
      <c r="F643" s="74"/>
      <c r="G643" s="74"/>
      <c r="H643" s="74"/>
      <c r="I643" s="74"/>
      <c r="J643" s="76"/>
      <c r="K643" s="76"/>
    </row>
    <row r="644">
      <c r="A644" s="74"/>
      <c r="B644" s="74"/>
      <c r="C644" s="74"/>
      <c r="D644" s="74"/>
      <c r="E644" s="74"/>
      <c r="F644" s="74"/>
      <c r="G644" s="74"/>
      <c r="H644" s="74"/>
      <c r="I644" s="74"/>
      <c r="J644" s="76"/>
      <c r="K644" s="76"/>
    </row>
    <row r="645">
      <c r="A645" s="74"/>
      <c r="B645" s="74"/>
      <c r="C645" s="74"/>
      <c r="D645" s="74"/>
      <c r="E645" s="74"/>
      <c r="F645" s="74"/>
      <c r="G645" s="74"/>
      <c r="H645" s="74"/>
      <c r="I645" s="74"/>
      <c r="J645" s="76"/>
      <c r="K645" s="76"/>
    </row>
    <row r="646">
      <c r="A646" s="74"/>
      <c r="B646" s="74"/>
      <c r="C646" s="74"/>
      <c r="D646" s="74"/>
      <c r="E646" s="74"/>
      <c r="F646" s="74"/>
      <c r="G646" s="74"/>
      <c r="H646" s="74"/>
      <c r="I646" s="74"/>
      <c r="J646" s="76"/>
      <c r="K646" s="76"/>
    </row>
    <row r="647">
      <c r="A647" s="74"/>
      <c r="B647" s="74"/>
      <c r="C647" s="74"/>
      <c r="D647" s="74"/>
      <c r="E647" s="74"/>
      <c r="F647" s="74"/>
      <c r="G647" s="74"/>
      <c r="H647" s="74"/>
      <c r="I647" s="74"/>
      <c r="J647" s="76"/>
      <c r="K647" s="76"/>
    </row>
    <row r="648">
      <c r="A648" s="74"/>
      <c r="B648" s="74"/>
      <c r="C648" s="74"/>
      <c r="D648" s="74"/>
      <c r="E648" s="74"/>
      <c r="F648" s="74"/>
      <c r="G648" s="74"/>
      <c r="H648" s="74"/>
      <c r="I648" s="74"/>
      <c r="J648" s="76"/>
      <c r="K648" s="76"/>
    </row>
    <row r="649">
      <c r="A649" s="74"/>
      <c r="B649" s="74"/>
      <c r="C649" s="74"/>
      <c r="D649" s="74"/>
      <c r="E649" s="74"/>
      <c r="F649" s="74"/>
      <c r="G649" s="74"/>
      <c r="H649" s="74"/>
      <c r="I649" s="74"/>
      <c r="J649" s="76"/>
      <c r="K649" s="76"/>
    </row>
    <row r="650">
      <c r="A650" s="74"/>
      <c r="B650" s="74"/>
      <c r="C650" s="74"/>
      <c r="D650" s="74"/>
      <c r="E650" s="74"/>
      <c r="F650" s="74"/>
      <c r="G650" s="74"/>
      <c r="H650" s="74"/>
      <c r="I650" s="74"/>
      <c r="J650" s="76"/>
      <c r="K650" s="76"/>
    </row>
    <row r="651">
      <c r="A651" s="74"/>
      <c r="B651" s="74"/>
      <c r="C651" s="74"/>
      <c r="D651" s="74"/>
      <c r="E651" s="74"/>
      <c r="F651" s="74"/>
      <c r="G651" s="74"/>
      <c r="H651" s="74"/>
      <c r="I651" s="74"/>
      <c r="J651" s="76"/>
      <c r="K651" s="76"/>
    </row>
    <row r="652">
      <c r="A652" s="74"/>
      <c r="B652" s="74"/>
      <c r="C652" s="74"/>
      <c r="D652" s="74"/>
      <c r="E652" s="74"/>
      <c r="F652" s="74"/>
      <c r="G652" s="74"/>
      <c r="H652" s="74"/>
      <c r="I652" s="74"/>
      <c r="J652" s="76"/>
      <c r="K652" s="76"/>
    </row>
    <row r="653">
      <c r="A653" s="74"/>
      <c r="B653" s="74"/>
      <c r="C653" s="74"/>
      <c r="D653" s="74"/>
      <c r="E653" s="74"/>
      <c r="F653" s="74"/>
      <c r="G653" s="74"/>
      <c r="H653" s="74"/>
      <c r="I653" s="74"/>
      <c r="J653" s="76"/>
      <c r="K653" s="76"/>
    </row>
    <row r="654">
      <c r="A654" s="74"/>
      <c r="B654" s="74"/>
      <c r="C654" s="74"/>
      <c r="D654" s="74"/>
      <c r="E654" s="74"/>
      <c r="F654" s="74"/>
      <c r="G654" s="74"/>
      <c r="H654" s="74"/>
      <c r="I654" s="74"/>
      <c r="J654" s="76"/>
      <c r="K654" s="76"/>
    </row>
    <row r="655">
      <c r="A655" s="74"/>
      <c r="B655" s="74"/>
      <c r="C655" s="74"/>
      <c r="D655" s="74"/>
      <c r="E655" s="74"/>
      <c r="F655" s="74"/>
      <c r="G655" s="74"/>
      <c r="H655" s="74"/>
      <c r="I655" s="74"/>
      <c r="J655" s="76"/>
      <c r="K655" s="76"/>
    </row>
    <row r="656">
      <c r="A656" s="74"/>
      <c r="B656" s="74"/>
      <c r="C656" s="74"/>
      <c r="D656" s="74"/>
      <c r="E656" s="74"/>
      <c r="F656" s="74"/>
      <c r="G656" s="74"/>
      <c r="H656" s="74"/>
      <c r="I656" s="74"/>
      <c r="J656" s="76"/>
      <c r="K656" s="76"/>
    </row>
    <row r="657">
      <c r="A657" s="74"/>
      <c r="B657" s="74"/>
      <c r="C657" s="74"/>
      <c r="D657" s="74"/>
      <c r="E657" s="74"/>
      <c r="F657" s="74"/>
      <c r="G657" s="74"/>
      <c r="H657" s="74"/>
      <c r="I657" s="74"/>
      <c r="J657" s="76"/>
      <c r="K657" s="76"/>
    </row>
    <row r="658">
      <c r="A658" s="74"/>
      <c r="B658" s="74"/>
      <c r="C658" s="74"/>
      <c r="D658" s="74"/>
      <c r="E658" s="74"/>
      <c r="F658" s="74"/>
      <c r="G658" s="74"/>
      <c r="H658" s="74"/>
      <c r="I658" s="74"/>
      <c r="J658" s="76"/>
      <c r="K658" s="76"/>
    </row>
    <row r="659">
      <c r="A659" s="74"/>
      <c r="B659" s="74"/>
      <c r="C659" s="74"/>
      <c r="D659" s="74"/>
      <c r="E659" s="74"/>
      <c r="F659" s="74"/>
      <c r="G659" s="74"/>
      <c r="H659" s="74"/>
      <c r="I659" s="74"/>
      <c r="J659" s="76"/>
      <c r="K659" s="76"/>
    </row>
    <row r="660">
      <c r="A660" s="74"/>
      <c r="B660" s="74"/>
      <c r="C660" s="74"/>
      <c r="D660" s="74"/>
      <c r="E660" s="74"/>
      <c r="F660" s="74"/>
      <c r="G660" s="74"/>
      <c r="H660" s="74"/>
      <c r="I660" s="74"/>
      <c r="J660" s="76"/>
      <c r="K660" s="76"/>
    </row>
    <row r="661">
      <c r="A661" s="74"/>
      <c r="B661" s="74"/>
      <c r="C661" s="74"/>
      <c r="D661" s="74"/>
      <c r="E661" s="74"/>
      <c r="F661" s="74"/>
      <c r="G661" s="74"/>
      <c r="H661" s="74"/>
      <c r="I661" s="74"/>
      <c r="J661" s="76"/>
      <c r="K661" s="76"/>
    </row>
    <row r="662">
      <c r="A662" s="74"/>
      <c r="B662" s="74"/>
      <c r="C662" s="74"/>
      <c r="D662" s="74"/>
      <c r="E662" s="74"/>
      <c r="F662" s="74"/>
      <c r="G662" s="74"/>
      <c r="H662" s="74"/>
      <c r="I662" s="74"/>
      <c r="J662" s="76"/>
      <c r="K662" s="76"/>
    </row>
    <row r="663">
      <c r="A663" s="74"/>
      <c r="B663" s="74"/>
      <c r="C663" s="74"/>
      <c r="D663" s="74"/>
      <c r="E663" s="74"/>
      <c r="F663" s="74"/>
      <c r="G663" s="74"/>
      <c r="H663" s="74"/>
      <c r="I663" s="74"/>
      <c r="J663" s="76"/>
      <c r="K663" s="76"/>
    </row>
    <row r="664">
      <c r="A664" s="74"/>
      <c r="B664" s="74"/>
      <c r="C664" s="74"/>
      <c r="D664" s="74"/>
      <c r="E664" s="74"/>
      <c r="F664" s="74"/>
      <c r="G664" s="74"/>
      <c r="H664" s="74"/>
      <c r="I664" s="74"/>
      <c r="J664" s="76"/>
      <c r="K664" s="76"/>
    </row>
    <row r="665">
      <c r="A665" s="74"/>
      <c r="B665" s="74"/>
      <c r="C665" s="74"/>
      <c r="D665" s="74"/>
      <c r="E665" s="74"/>
      <c r="F665" s="74"/>
      <c r="G665" s="74"/>
      <c r="H665" s="74"/>
      <c r="I665" s="74"/>
      <c r="J665" s="76"/>
      <c r="K665" s="76"/>
    </row>
    <row r="666">
      <c r="A666" s="74"/>
      <c r="B666" s="74"/>
      <c r="C666" s="74"/>
      <c r="D666" s="74"/>
      <c r="E666" s="74"/>
      <c r="F666" s="74"/>
      <c r="G666" s="74"/>
      <c r="H666" s="74"/>
      <c r="I666" s="74"/>
      <c r="J666" s="76"/>
      <c r="K666" s="76"/>
    </row>
    <row r="667">
      <c r="A667" s="74"/>
      <c r="B667" s="74"/>
      <c r="C667" s="74"/>
      <c r="D667" s="74"/>
      <c r="E667" s="74"/>
      <c r="F667" s="74"/>
      <c r="G667" s="74"/>
      <c r="H667" s="74"/>
      <c r="I667" s="74"/>
      <c r="J667" s="76"/>
      <c r="K667" s="76"/>
    </row>
    <row r="668">
      <c r="A668" s="74"/>
      <c r="B668" s="74"/>
      <c r="C668" s="74"/>
      <c r="D668" s="74"/>
      <c r="E668" s="74"/>
      <c r="F668" s="74"/>
      <c r="G668" s="74"/>
      <c r="H668" s="74"/>
      <c r="I668" s="74"/>
      <c r="J668" s="76"/>
      <c r="K668" s="76"/>
    </row>
    <row r="669">
      <c r="A669" s="74"/>
      <c r="B669" s="74"/>
      <c r="C669" s="74"/>
      <c r="D669" s="74"/>
      <c r="E669" s="74"/>
      <c r="F669" s="74"/>
      <c r="G669" s="74"/>
      <c r="H669" s="74"/>
      <c r="I669" s="74"/>
      <c r="J669" s="76"/>
      <c r="K669" s="76"/>
    </row>
    <row r="670">
      <c r="A670" s="74"/>
      <c r="B670" s="74"/>
      <c r="C670" s="74"/>
      <c r="D670" s="74"/>
      <c r="E670" s="74"/>
      <c r="F670" s="74"/>
      <c r="G670" s="74"/>
      <c r="H670" s="74"/>
      <c r="I670" s="74"/>
      <c r="J670" s="76"/>
      <c r="K670" s="76"/>
    </row>
    <row r="671">
      <c r="A671" s="74"/>
      <c r="B671" s="74"/>
      <c r="C671" s="74"/>
      <c r="D671" s="74"/>
      <c r="E671" s="74"/>
      <c r="F671" s="74"/>
      <c r="G671" s="74"/>
      <c r="H671" s="74"/>
      <c r="I671" s="74"/>
      <c r="J671" s="76"/>
      <c r="K671" s="76"/>
    </row>
    <row r="672">
      <c r="A672" s="74"/>
      <c r="B672" s="74"/>
      <c r="C672" s="74"/>
      <c r="D672" s="74"/>
      <c r="E672" s="74"/>
      <c r="F672" s="74"/>
      <c r="G672" s="74"/>
      <c r="H672" s="74"/>
      <c r="I672" s="74"/>
      <c r="J672" s="76"/>
      <c r="K672" s="76"/>
    </row>
    <row r="673">
      <c r="A673" s="74"/>
      <c r="B673" s="74"/>
      <c r="C673" s="74"/>
      <c r="D673" s="74"/>
      <c r="E673" s="74"/>
      <c r="F673" s="74"/>
      <c r="G673" s="74"/>
      <c r="H673" s="74"/>
      <c r="I673" s="74"/>
      <c r="J673" s="76"/>
      <c r="K673" s="76"/>
    </row>
    <row r="674">
      <c r="A674" s="74"/>
      <c r="B674" s="74"/>
      <c r="C674" s="74"/>
      <c r="D674" s="74"/>
      <c r="E674" s="74"/>
      <c r="F674" s="74"/>
      <c r="G674" s="74"/>
      <c r="H674" s="74"/>
      <c r="I674" s="74"/>
      <c r="J674" s="76"/>
      <c r="K674" s="76"/>
    </row>
    <row r="675">
      <c r="A675" s="74"/>
      <c r="B675" s="74"/>
      <c r="C675" s="74"/>
      <c r="D675" s="74"/>
      <c r="E675" s="74"/>
      <c r="F675" s="74"/>
      <c r="G675" s="74"/>
      <c r="H675" s="74"/>
      <c r="I675" s="74"/>
      <c r="J675" s="76"/>
      <c r="K675" s="76"/>
    </row>
    <row r="676">
      <c r="A676" s="74"/>
      <c r="B676" s="74"/>
      <c r="C676" s="74"/>
      <c r="D676" s="74"/>
      <c r="E676" s="74"/>
      <c r="F676" s="74"/>
      <c r="G676" s="74"/>
      <c r="H676" s="74"/>
      <c r="I676" s="74"/>
      <c r="J676" s="76"/>
      <c r="K676" s="76"/>
    </row>
    <row r="677">
      <c r="A677" s="74"/>
      <c r="B677" s="74"/>
      <c r="C677" s="74"/>
      <c r="D677" s="74"/>
      <c r="E677" s="74"/>
      <c r="F677" s="74"/>
      <c r="G677" s="74"/>
      <c r="H677" s="74"/>
      <c r="I677" s="74"/>
      <c r="J677" s="76"/>
      <c r="K677" s="76"/>
    </row>
    <row r="678">
      <c r="A678" s="74"/>
      <c r="B678" s="74"/>
      <c r="C678" s="74"/>
      <c r="D678" s="74"/>
      <c r="E678" s="74"/>
      <c r="F678" s="74"/>
      <c r="G678" s="74"/>
      <c r="H678" s="74"/>
      <c r="I678" s="74"/>
      <c r="J678" s="76"/>
      <c r="K678" s="76"/>
    </row>
    <row r="679">
      <c r="A679" s="74"/>
      <c r="B679" s="74"/>
      <c r="C679" s="74"/>
      <c r="D679" s="74"/>
      <c r="E679" s="74"/>
      <c r="F679" s="74"/>
      <c r="G679" s="74"/>
      <c r="H679" s="74"/>
      <c r="I679" s="74"/>
      <c r="J679" s="76"/>
      <c r="K679" s="76"/>
    </row>
    <row r="680">
      <c r="A680" s="74"/>
      <c r="B680" s="74"/>
      <c r="C680" s="74"/>
      <c r="D680" s="74"/>
      <c r="E680" s="74"/>
      <c r="F680" s="74"/>
      <c r="G680" s="74"/>
      <c r="H680" s="74"/>
      <c r="I680" s="74"/>
      <c r="J680" s="76"/>
      <c r="K680" s="76"/>
    </row>
    <row r="681">
      <c r="A681" s="74"/>
      <c r="B681" s="74"/>
      <c r="C681" s="74"/>
      <c r="D681" s="74"/>
      <c r="E681" s="74"/>
      <c r="F681" s="74"/>
      <c r="G681" s="74"/>
      <c r="H681" s="74"/>
      <c r="I681" s="74"/>
      <c r="J681" s="76"/>
      <c r="K681" s="76"/>
    </row>
    <row r="682">
      <c r="A682" s="74"/>
      <c r="B682" s="74"/>
      <c r="C682" s="74"/>
      <c r="D682" s="74"/>
      <c r="E682" s="74"/>
      <c r="F682" s="74"/>
      <c r="G682" s="74"/>
      <c r="H682" s="74"/>
      <c r="I682" s="74"/>
      <c r="J682" s="76"/>
      <c r="K682" s="76"/>
    </row>
    <row r="683">
      <c r="A683" s="74"/>
      <c r="B683" s="74"/>
      <c r="C683" s="74"/>
      <c r="D683" s="74"/>
      <c r="E683" s="74"/>
      <c r="F683" s="74"/>
      <c r="G683" s="74"/>
      <c r="H683" s="74"/>
      <c r="I683" s="74"/>
      <c r="J683" s="76"/>
      <c r="K683" s="76"/>
    </row>
    <row r="684">
      <c r="A684" s="74"/>
      <c r="B684" s="74"/>
      <c r="C684" s="74"/>
      <c r="D684" s="74"/>
      <c r="E684" s="74"/>
      <c r="F684" s="74"/>
      <c r="G684" s="74"/>
      <c r="H684" s="74"/>
      <c r="I684" s="74"/>
      <c r="J684" s="76"/>
      <c r="K684" s="76"/>
    </row>
    <row r="685">
      <c r="A685" s="74"/>
      <c r="B685" s="74"/>
      <c r="C685" s="74"/>
      <c r="D685" s="74"/>
      <c r="E685" s="74"/>
      <c r="F685" s="74"/>
      <c r="G685" s="74"/>
      <c r="H685" s="74"/>
      <c r="I685" s="74"/>
      <c r="J685" s="76"/>
      <c r="K685" s="76"/>
    </row>
    <row r="686">
      <c r="A686" s="74"/>
      <c r="B686" s="74"/>
      <c r="C686" s="74"/>
      <c r="D686" s="74"/>
      <c r="E686" s="74"/>
      <c r="F686" s="74"/>
      <c r="G686" s="74"/>
      <c r="H686" s="74"/>
      <c r="I686" s="74"/>
      <c r="J686" s="76"/>
      <c r="K686" s="76"/>
    </row>
    <row r="687">
      <c r="A687" s="74"/>
      <c r="B687" s="74"/>
      <c r="C687" s="74"/>
      <c r="D687" s="74"/>
      <c r="E687" s="74"/>
      <c r="F687" s="74"/>
      <c r="G687" s="74"/>
      <c r="H687" s="74"/>
      <c r="I687" s="74"/>
      <c r="J687" s="76"/>
      <c r="K687" s="76"/>
    </row>
    <row r="688">
      <c r="A688" s="74"/>
      <c r="B688" s="74"/>
      <c r="C688" s="74"/>
      <c r="D688" s="74"/>
      <c r="E688" s="74"/>
      <c r="F688" s="74"/>
      <c r="G688" s="74"/>
      <c r="H688" s="74"/>
      <c r="I688" s="74"/>
      <c r="J688" s="76"/>
      <c r="K688" s="76"/>
    </row>
    <row r="689">
      <c r="A689" s="74"/>
      <c r="B689" s="74"/>
      <c r="C689" s="74"/>
      <c r="D689" s="74"/>
      <c r="E689" s="74"/>
      <c r="F689" s="74"/>
      <c r="G689" s="74"/>
      <c r="H689" s="74"/>
      <c r="I689" s="74"/>
      <c r="J689" s="76"/>
      <c r="K689" s="76"/>
    </row>
    <row r="690">
      <c r="A690" s="74"/>
      <c r="B690" s="74"/>
      <c r="C690" s="74"/>
      <c r="D690" s="74"/>
      <c r="E690" s="74"/>
      <c r="F690" s="74"/>
      <c r="G690" s="74"/>
      <c r="H690" s="74"/>
      <c r="I690" s="74"/>
      <c r="J690" s="76"/>
      <c r="K690" s="76"/>
    </row>
    <row r="691">
      <c r="A691" s="74"/>
      <c r="B691" s="74"/>
      <c r="C691" s="74"/>
      <c r="D691" s="74"/>
      <c r="E691" s="74"/>
      <c r="F691" s="74"/>
      <c r="G691" s="74"/>
      <c r="H691" s="74"/>
      <c r="I691" s="74"/>
      <c r="J691" s="76"/>
      <c r="K691" s="76"/>
    </row>
    <row r="692">
      <c r="A692" s="74"/>
      <c r="B692" s="74"/>
      <c r="C692" s="74"/>
      <c r="D692" s="74"/>
      <c r="E692" s="74"/>
      <c r="F692" s="74"/>
      <c r="G692" s="74"/>
      <c r="H692" s="74"/>
      <c r="I692" s="74"/>
      <c r="J692" s="76"/>
      <c r="K692" s="76"/>
    </row>
    <row r="693">
      <c r="A693" s="74"/>
      <c r="B693" s="74"/>
      <c r="C693" s="74"/>
      <c r="D693" s="74"/>
      <c r="E693" s="74"/>
      <c r="F693" s="74"/>
      <c r="G693" s="74"/>
      <c r="H693" s="74"/>
      <c r="I693" s="74"/>
      <c r="J693" s="76"/>
      <c r="K693" s="76"/>
    </row>
    <row r="694">
      <c r="A694" s="74"/>
      <c r="B694" s="74"/>
      <c r="C694" s="74"/>
      <c r="D694" s="74"/>
      <c r="E694" s="74"/>
      <c r="F694" s="74"/>
      <c r="G694" s="74"/>
      <c r="H694" s="74"/>
      <c r="I694" s="74"/>
      <c r="J694" s="76"/>
      <c r="K694" s="76"/>
    </row>
    <row r="695">
      <c r="A695" s="74"/>
      <c r="B695" s="74"/>
      <c r="C695" s="74"/>
      <c r="D695" s="74"/>
      <c r="E695" s="74"/>
      <c r="F695" s="74"/>
      <c r="G695" s="74"/>
      <c r="H695" s="74"/>
      <c r="I695" s="74"/>
      <c r="J695" s="76"/>
      <c r="K695" s="76"/>
    </row>
    <row r="696">
      <c r="A696" s="74"/>
      <c r="B696" s="74"/>
      <c r="C696" s="74"/>
      <c r="D696" s="74"/>
      <c r="E696" s="74"/>
      <c r="F696" s="74"/>
      <c r="G696" s="74"/>
      <c r="H696" s="74"/>
      <c r="I696" s="74"/>
      <c r="J696" s="76"/>
      <c r="K696" s="76"/>
    </row>
    <row r="697">
      <c r="A697" s="74"/>
      <c r="B697" s="74"/>
      <c r="C697" s="74"/>
      <c r="D697" s="74"/>
      <c r="E697" s="74"/>
      <c r="F697" s="74"/>
      <c r="G697" s="74"/>
      <c r="H697" s="74"/>
      <c r="I697" s="74"/>
      <c r="J697" s="76"/>
      <c r="K697" s="76"/>
    </row>
    <row r="698">
      <c r="A698" s="74"/>
      <c r="B698" s="74"/>
      <c r="C698" s="74"/>
      <c r="D698" s="74"/>
      <c r="E698" s="74"/>
      <c r="F698" s="74"/>
      <c r="G698" s="74"/>
      <c r="H698" s="74"/>
      <c r="I698" s="74"/>
      <c r="J698" s="76"/>
      <c r="K698" s="76"/>
    </row>
    <row r="699">
      <c r="A699" s="74"/>
      <c r="B699" s="74"/>
      <c r="C699" s="74"/>
      <c r="D699" s="74"/>
      <c r="E699" s="74"/>
      <c r="F699" s="74"/>
      <c r="G699" s="74"/>
      <c r="H699" s="74"/>
      <c r="I699" s="74"/>
      <c r="J699" s="76"/>
      <c r="K699" s="76"/>
    </row>
    <row r="700">
      <c r="A700" s="74"/>
      <c r="B700" s="74"/>
      <c r="C700" s="74"/>
      <c r="D700" s="74"/>
      <c r="E700" s="74"/>
      <c r="F700" s="74"/>
      <c r="G700" s="74"/>
      <c r="H700" s="74"/>
      <c r="I700" s="74"/>
      <c r="J700" s="76"/>
      <c r="K700" s="76"/>
    </row>
    <row r="701">
      <c r="A701" s="74"/>
      <c r="B701" s="74"/>
      <c r="C701" s="74"/>
      <c r="D701" s="74"/>
      <c r="E701" s="74"/>
      <c r="F701" s="74"/>
      <c r="G701" s="74"/>
      <c r="H701" s="74"/>
      <c r="I701" s="74"/>
      <c r="J701" s="76"/>
      <c r="K701" s="76"/>
    </row>
    <row r="702">
      <c r="A702" s="74"/>
      <c r="B702" s="74"/>
      <c r="C702" s="74"/>
      <c r="D702" s="74"/>
      <c r="E702" s="74"/>
      <c r="F702" s="74"/>
      <c r="G702" s="74"/>
      <c r="H702" s="74"/>
      <c r="I702" s="74"/>
      <c r="J702" s="76"/>
      <c r="K702" s="76"/>
    </row>
    <row r="703">
      <c r="A703" s="74"/>
      <c r="B703" s="74"/>
      <c r="C703" s="74"/>
      <c r="D703" s="74"/>
      <c r="E703" s="74"/>
      <c r="F703" s="74"/>
      <c r="G703" s="74"/>
      <c r="H703" s="74"/>
      <c r="I703" s="74"/>
      <c r="J703" s="76"/>
      <c r="K703" s="76"/>
    </row>
    <row r="704">
      <c r="A704" s="74"/>
      <c r="B704" s="74"/>
      <c r="C704" s="74"/>
      <c r="D704" s="74"/>
      <c r="E704" s="74"/>
      <c r="F704" s="74"/>
      <c r="G704" s="74"/>
      <c r="H704" s="74"/>
      <c r="I704" s="74"/>
      <c r="J704" s="76"/>
      <c r="K704" s="76"/>
    </row>
    <row r="705">
      <c r="A705" s="74"/>
      <c r="B705" s="74"/>
      <c r="C705" s="74"/>
      <c r="D705" s="74"/>
      <c r="E705" s="74"/>
      <c r="F705" s="74"/>
      <c r="G705" s="74"/>
      <c r="H705" s="74"/>
      <c r="I705" s="74"/>
      <c r="J705" s="76"/>
      <c r="K705" s="76"/>
    </row>
    <row r="706">
      <c r="A706" s="74"/>
      <c r="B706" s="74"/>
      <c r="C706" s="74"/>
      <c r="D706" s="74"/>
      <c r="E706" s="74"/>
      <c r="F706" s="74"/>
      <c r="G706" s="74"/>
      <c r="H706" s="74"/>
      <c r="I706" s="74"/>
      <c r="J706" s="76"/>
      <c r="K706" s="76"/>
    </row>
    <row r="707">
      <c r="A707" s="74"/>
      <c r="B707" s="74"/>
      <c r="C707" s="74"/>
      <c r="D707" s="74"/>
      <c r="E707" s="74"/>
      <c r="F707" s="74"/>
      <c r="G707" s="74"/>
      <c r="H707" s="74"/>
      <c r="I707" s="74"/>
      <c r="J707" s="76"/>
      <c r="K707" s="76"/>
    </row>
    <row r="708">
      <c r="A708" s="74"/>
      <c r="B708" s="74"/>
      <c r="C708" s="74"/>
      <c r="D708" s="74"/>
      <c r="E708" s="74"/>
      <c r="F708" s="74"/>
      <c r="G708" s="74"/>
      <c r="H708" s="74"/>
      <c r="I708" s="74"/>
      <c r="J708" s="76"/>
      <c r="K708" s="76"/>
    </row>
    <row r="709">
      <c r="A709" s="74"/>
      <c r="B709" s="74"/>
      <c r="C709" s="74"/>
      <c r="D709" s="74"/>
      <c r="E709" s="74"/>
      <c r="F709" s="74"/>
      <c r="G709" s="74"/>
      <c r="H709" s="74"/>
      <c r="I709" s="74"/>
      <c r="J709" s="76"/>
      <c r="K709" s="76"/>
    </row>
    <row r="710">
      <c r="A710" s="74"/>
      <c r="B710" s="74"/>
      <c r="C710" s="74"/>
      <c r="D710" s="74"/>
      <c r="E710" s="74"/>
      <c r="F710" s="74"/>
      <c r="G710" s="74"/>
      <c r="H710" s="74"/>
      <c r="I710" s="74"/>
      <c r="J710" s="76"/>
      <c r="K710" s="76"/>
    </row>
    <row r="711">
      <c r="A711" s="74"/>
      <c r="B711" s="74"/>
      <c r="C711" s="74"/>
      <c r="D711" s="74"/>
      <c r="E711" s="74"/>
      <c r="F711" s="74"/>
      <c r="G711" s="74"/>
      <c r="H711" s="74"/>
      <c r="I711" s="74"/>
      <c r="J711" s="76"/>
      <c r="K711" s="76"/>
    </row>
    <row r="712">
      <c r="A712" s="74"/>
      <c r="B712" s="74"/>
      <c r="C712" s="74"/>
      <c r="D712" s="74"/>
      <c r="E712" s="74"/>
      <c r="F712" s="74"/>
      <c r="G712" s="74"/>
      <c r="H712" s="74"/>
      <c r="I712" s="74"/>
      <c r="J712" s="76"/>
      <c r="K712" s="76"/>
    </row>
    <row r="713">
      <c r="A713" s="74"/>
      <c r="B713" s="74"/>
      <c r="C713" s="74"/>
      <c r="D713" s="74"/>
      <c r="E713" s="74"/>
      <c r="F713" s="74"/>
      <c r="G713" s="74"/>
      <c r="H713" s="74"/>
      <c r="I713" s="74"/>
      <c r="J713" s="76"/>
      <c r="K713" s="76"/>
    </row>
    <row r="714">
      <c r="A714" s="74"/>
      <c r="B714" s="74"/>
      <c r="C714" s="74"/>
      <c r="D714" s="74"/>
      <c r="E714" s="74"/>
      <c r="F714" s="74"/>
      <c r="G714" s="74"/>
      <c r="H714" s="74"/>
      <c r="I714" s="74"/>
      <c r="J714" s="76"/>
      <c r="K714" s="76"/>
    </row>
    <row r="715">
      <c r="A715" s="74"/>
      <c r="B715" s="74"/>
      <c r="C715" s="74"/>
      <c r="D715" s="74"/>
      <c r="E715" s="74"/>
      <c r="F715" s="74"/>
      <c r="G715" s="74"/>
      <c r="H715" s="74"/>
      <c r="I715" s="74"/>
      <c r="J715" s="76"/>
      <c r="K715" s="76"/>
    </row>
    <row r="716">
      <c r="A716" s="74"/>
      <c r="B716" s="74"/>
      <c r="C716" s="74"/>
      <c r="D716" s="74"/>
      <c r="E716" s="74"/>
      <c r="F716" s="74"/>
      <c r="G716" s="74"/>
      <c r="H716" s="74"/>
      <c r="I716" s="74"/>
      <c r="J716" s="76"/>
      <c r="K716" s="76"/>
    </row>
    <row r="717">
      <c r="A717" s="74"/>
      <c r="B717" s="74"/>
      <c r="C717" s="74"/>
      <c r="D717" s="74"/>
      <c r="E717" s="74"/>
      <c r="F717" s="74"/>
      <c r="G717" s="74"/>
      <c r="H717" s="74"/>
      <c r="I717" s="74"/>
      <c r="J717" s="76"/>
      <c r="K717" s="76"/>
    </row>
    <row r="718">
      <c r="A718" s="74"/>
      <c r="B718" s="74"/>
      <c r="C718" s="74"/>
      <c r="D718" s="74"/>
      <c r="E718" s="74"/>
      <c r="F718" s="74"/>
      <c r="G718" s="74"/>
      <c r="H718" s="74"/>
      <c r="I718" s="74"/>
      <c r="J718" s="76"/>
      <c r="K718" s="76"/>
    </row>
    <row r="719">
      <c r="A719" s="74"/>
      <c r="B719" s="74"/>
      <c r="C719" s="74"/>
      <c r="D719" s="74"/>
      <c r="E719" s="74"/>
      <c r="F719" s="74"/>
      <c r="G719" s="74"/>
      <c r="H719" s="74"/>
      <c r="I719" s="74"/>
      <c r="J719" s="76"/>
      <c r="K719" s="76"/>
    </row>
    <row r="720">
      <c r="A720" s="74"/>
      <c r="B720" s="74"/>
      <c r="C720" s="74"/>
      <c r="D720" s="74"/>
      <c r="E720" s="74"/>
      <c r="F720" s="74"/>
      <c r="G720" s="74"/>
      <c r="H720" s="74"/>
      <c r="I720" s="74"/>
      <c r="J720" s="76"/>
      <c r="K720" s="76"/>
    </row>
    <row r="721">
      <c r="A721" s="74"/>
      <c r="B721" s="74"/>
      <c r="C721" s="74"/>
      <c r="D721" s="74"/>
      <c r="E721" s="74"/>
      <c r="F721" s="74"/>
      <c r="G721" s="74"/>
      <c r="H721" s="74"/>
      <c r="I721" s="74"/>
      <c r="J721" s="76"/>
      <c r="K721" s="76"/>
    </row>
    <row r="722">
      <c r="A722" s="74"/>
      <c r="B722" s="74"/>
      <c r="C722" s="74"/>
      <c r="D722" s="74"/>
      <c r="E722" s="74"/>
      <c r="F722" s="74"/>
      <c r="G722" s="74"/>
      <c r="H722" s="74"/>
      <c r="I722" s="74"/>
      <c r="J722" s="76"/>
      <c r="K722" s="76"/>
    </row>
    <row r="723">
      <c r="A723" s="74"/>
      <c r="B723" s="74"/>
      <c r="C723" s="74"/>
      <c r="D723" s="74"/>
      <c r="E723" s="74"/>
      <c r="F723" s="74"/>
      <c r="G723" s="74"/>
      <c r="H723" s="74"/>
      <c r="I723" s="74"/>
      <c r="J723" s="76"/>
      <c r="K723" s="76"/>
    </row>
    <row r="724">
      <c r="A724" s="74"/>
      <c r="B724" s="74"/>
      <c r="C724" s="74"/>
      <c r="D724" s="74"/>
      <c r="E724" s="74"/>
      <c r="F724" s="74"/>
      <c r="G724" s="74"/>
      <c r="H724" s="74"/>
      <c r="I724" s="74"/>
      <c r="J724" s="76"/>
      <c r="K724" s="76"/>
    </row>
    <row r="725">
      <c r="A725" s="74"/>
      <c r="B725" s="74"/>
      <c r="C725" s="74"/>
      <c r="D725" s="74"/>
      <c r="E725" s="74"/>
      <c r="F725" s="74"/>
      <c r="G725" s="74"/>
      <c r="H725" s="74"/>
      <c r="I725" s="74"/>
      <c r="J725" s="76"/>
      <c r="K725" s="76"/>
    </row>
    <row r="726">
      <c r="A726" s="74"/>
      <c r="B726" s="74"/>
      <c r="C726" s="74"/>
      <c r="D726" s="74"/>
      <c r="E726" s="74"/>
      <c r="F726" s="74"/>
      <c r="G726" s="74"/>
      <c r="H726" s="74"/>
      <c r="I726" s="74"/>
      <c r="J726" s="76"/>
      <c r="K726" s="76"/>
    </row>
    <row r="727">
      <c r="A727" s="74"/>
      <c r="B727" s="74"/>
      <c r="C727" s="74"/>
      <c r="D727" s="74"/>
      <c r="E727" s="74"/>
      <c r="F727" s="74"/>
      <c r="G727" s="74"/>
      <c r="H727" s="74"/>
      <c r="I727" s="74"/>
      <c r="J727" s="76"/>
      <c r="K727" s="76"/>
    </row>
    <row r="728">
      <c r="A728" s="74"/>
      <c r="B728" s="74"/>
      <c r="C728" s="74"/>
      <c r="D728" s="74"/>
      <c r="E728" s="74"/>
      <c r="F728" s="74"/>
      <c r="G728" s="74"/>
      <c r="H728" s="74"/>
      <c r="I728" s="74"/>
      <c r="J728" s="76"/>
      <c r="K728" s="76"/>
    </row>
    <row r="729">
      <c r="A729" s="74"/>
      <c r="B729" s="74"/>
      <c r="C729" s="74"/>
      <c r="D729" s="74"/>
      <c r="E729" s="74"/>
      <c r="F729" s="74"/>
      <c r="G729" s="74"/>
      <c r="H729" s="74"/>
      <c r="I729" s="74"/>
      <c r="J729" s="76"/>
      <c r="K729" s="76"/>
    </row>
    <row r="730">
      <c r="A730" s="74"/>
      <c r="B730" s="74"/>
      <c r="C730" s="74"/>
      <c r="D730" s="74"/>
      <c r="E730" s="74"/>
      <c r="F730" s="74"/>
      <c r="G730" s="74"/>
      <c r="H730" s="74"/>
      <c r="I730" s="74"/>
      <c r="J730" s="76"/>
      <c r="K730" s="76"/>
    </row>
    <row r="731">
      <c r="A731" s="74"/>
      <c r="B731" s="74"/>
      <c r="C731" s="74"/>
      <c r="D731" s="74"/>
      <c r="E731" s="74"/>
      <c r="F731" s="74"/>
      <c r="G731" s="74"/>
      <c r="H731" s="74"/>
      <c r="I731" s="74"/>
      <c r="J731" s="76"/>
      <c r="K731" s="76"/>
    </row>
    <row r="732">
      <c r="A732" s="74"/>
      <c r="B732" s="74"/>
      <c r="C732" s="74"/>
      <c r="D732" s="74"/>
      <c r="E732" s="74"/>
      <c r="F732" s="74"/>
      <c r="G732" s="74"/>
      <c r="H732" s="74"/>
      <c r="I732" s="74"/>
      <c r="J732" s="76"/>
      <c r="K732" s="76"/>
    </row>
    <row r="733">
      <c r="A733" s="74"/>
      <c r="B733" s="74"/>
      <c r="C733" s="74"/>
      <c r="D733" s="74"/>
      <c r="E733" s="74"/>
      <c r="F733" s="74"/>
      <c r="G733" s="74"/>
      <c r="H733" s="74"/>
      <c r="I733" s="74"/>
      <c r="J733" s="76"/>
      <c r="K733" s="76"/>
    </row>
    <row r="734">
      <c r="A734" s="74"/>
      <c r="B734" s="74"/>
      <c r="C734" s="74"/>
      <c r="D734" s="74"/>
      <c r="E734" s="74"/>
      <c r="F734" s="74"/>
      <c r="G734" s="74"/>
      <c r="H734" s="74"/>
      <c r="I734" s="74"/>
      <c r="J734" s="76"/>
      <c r="K734" s="76"/>
    </row>
    <row r="735">
      <c r="A735" s="74"/>
      <c r="B735" s="74"/>
      <c r="C735" s="74"/>
      <c r="D735" s="74"/>
      <c r="E735" s="74"/>
      <c r="F735" s="74"/>
      <c r="G735" s="74"/>
      <c r="H735" s="74"/>
      <c r="I735" s="74"/>
      <c r="J735" s="76"/>
      <c r="K735" s="76"/>
    </row>
    <row r="736">
      <c r="A736" s="74"/>
      <c r="B736" s="74"/>
      <c r="C736" s="74"/>
      <c r="D736" s="74"/>
      <c r="E736" s="74"/>
      <c r="F736" s="74"/>
      <c r="G736" s="74"/>
      <c r="H736" s="74"/>
      <c r="I736" s="74"/>
      <c r="J736" s="76"/>
      <c r="K736" s="76"/>
    </row>
    <row r="737">
      <c r="A737" s="74"/>
      <c r="B737" s="74"/>
      <c r="C737" s="74"/>
      <c r="D737" s="74"/>
      <c r="E737" s="74"/>
      <c r="F737" s="74"/>
      <c r="G737" s="74"/>
      <c r="H737" s="74"/>
      <c r="I737" s="74"/>
      <c r="J737" s="76"/>
      <c r="K737" s="76"/>
    </row>
    <row r="738">
      <c r="A738" s="74"/>
      <c r="B738" s="74"/>
      <c r="C738" s="74"/>
      <c r="D738" s="74"/>
      <c r="E738" s="74"/>
      <c r="F738" s="74"/>
      <c r="G738" s="74"/>
      <c r="H738" s="74"/>
      <c r="I738" s="74"/>
      <c r="J738" s="76"/>
      <c r="K738" s="76"/>
    </row>
    <row r="739">
      <c r="A739" s="74"/>
      <c r="B739" s="74"/>
      <c r="C739" s="74"/>
      <c r="D739" s="74"/>
      <c r="E739" s="74"/>
      <c r="F739" s="74"/>
      <c r="G739" s="74"/>
      <c r="H739" s="74"/>
      <c r="I739" s="74"/>
      <c r="J739" s="76"/>
      <c r="K739" s="76"/>
    </row>
    <row r="740">
      <c r="A740" s="74"/>
      <c r="B740" s="74"/>
      <c r="C740" s="74"/>
      <c r="D740" s="74"/>
      <c r="E740" s="74"/>
      <c r="F740" s="74"/>
      <c r="G740" s="74"/>
      <c r="H740" s="74"/>
      <c r="I740" s="74"/>
      <c r="J740" s="76"/>
      <c r="K740" s="76"/>
    </row>
    <row r="741">
      <c r="A741" s="74"/>
      <c r="B741" s="74"/>
      <c r="C741" s="74"/>
      <c r="D741" s="74"/>
      <c r="E741" s="74"/>
      <c r="F741" s="74"/>
      <c r="G741" s="74"/>
      <c r="H741" s="74"/>
      <c r="I741" s="74"/>
      <c r="J741" s="76"/>
      <c r="K741" s="76"/>
    </row>
    <row r="742">
      <c r="A742" s="74"/>
      <c r="B742" s="74"/>
      <c r="C742" s="74"/>
      <c r="D742" s="74"/>
      <c r="E742" s="74"/>
      <c r="F742" s="74"/>
      <c r="G742" s="74"/>
      <c r="H742" s="74"/>
      <c r="I742" s="74"/>
      <c r="J742" s="76"/>
      <c r="K742" s="76"/>
    </row>
    <row r="743">
      <c r="A743" s="74"/>
      <c r="B743" s="74"/>
      <c r="C743" s="74"/>
      <c r="D743" s="74"/>
      <c r="E743" s="74"/>
      <c r="F743" s="74"/>
      <c r="G743" s="74"/>
      <c r="H743" s="74"/>
      <c r="I743" s="74"/>
      <c r="J743" s="76"/>
      <c r="K743" s="76"/>
    </row>
    <row r="744">
      <c r="A744" s="74"/>
      <c r="B744" s="74"/>
      <c r="C744" s="74"/>
      <c r="D744" s="74"/>
      <c r="E744" s="74"/>
      <c r="F744" s="74"/>
      <c r="G744" s="74"/>
      <c r="H744" s="74"/>
      <c r="I744" s="74"/>
      <c r="J744" s="76"/>
      <c r="K744" s="76"/>
    </row>
    <row r="745">
      <c r="A745" s="74"/>
      <c r="B745" s="74"/>
      <c r="C745" s="74"/>
      <c r="D745" s="74"/>
      <c r="E745" s="74"/>
      <c r="F745" s="74"/>
      <c r="G745" s="74"/>
      <c r="H745" s="74"/>
      <c r="I745" s="74"/>
      <c r="J745" s="76"/>
      <c r="K745" s="76"/>
    </row>
    <row r="746">
      <c r="A746" s="74"/>
      <c r="B746" s="74"/>
      <c r="C746" s="74"/>
      <c r="D746" s="74"/>
      <c r="E746" s="74"/>
      <c r="F746" s="74"/>
      <c r="G746" s="74"/>
      <c r="H746" s="74"/>
      <c r="I746" s="74"/>
      <c r="J746" s="76"/>
      <c r="K746" s="76"/>
    </row>
    <row r="747">
      <c r="A747" s="74"/>
      <c r="B747" s="74"/>
      <c r="C747" s="74"/>
      <c r="D747" s="74"/>
      <c r="E747" s="74"/>
      <c r="F747" s="74"/>
      <c r="G747" s="74"/>
      <c r="H747" s="74"/>
      <c r="I747" s="74"/>
      <c r="J747" s="76"/>
      <c r="K747" s="76"/>
    </row>
    <row r="748">
      <c r="A748" s="74"/>
      <c r="B748" s="74"/>
      <c r="C748" s="74"/>
      <c r="D748" s="74"/>
      <c r="E748" s="74"/>
      <c r="F748" s="74"/>
      <c r="G748" s="74"/>
      <c r="H748" s="74"/>
      <c r="I748" s="74"/>
      <c r="J748" s="76"/>
      <c r="K748" s="76"/>
    </row>
    <row r="749">
      <c r="A749" s="74"/>
      <c r="B749" s="74"/>
      <c r="C749" s="74"/>
      <c r="D749" s="74"/>
      <c r="E749" s="74"/>
      <c r="F749" s="74"/>
      <c r="G749" s="74"/>
      <c r="H749" s="74"/>
      <c r="I749" s="74"/>
      <c r="J749" s="76"/>
      <c r="K749" s="76"/>
    </row>
    <row r="750">
      <c r="A750" s="74"/>
      <c r="B750" s="74"/>
      <c r="C750" s="74"/>
      <c r="D750" s="74"/>
      <c r="E750" s="74"/>
      <c r="F750" s="74"/>
      <c r="G750" s="74"/>
      <c r="H750" s="74"/>
      <c r="I750" s="74"/>
      <c r="J750" s="76"/>
      <c r="K750" s="76"/>
    </row>
    <row r="751">
      <c r="A751" s="74"/>
      <c r="B751" s="74"/>
      <c r="C751" s="74"/>
      <c r="D751" s="74"/>
      <c r="E751" s="74"/>
      <c r="F751" s="74"/>
      <c r="G751" s="74"/>
      <c r="H751" s="74"/>
      <c r="I751" s="74"/>
      <c r="J751" s="76"/>
      <c r="K751" s="76"/>
    </row>
    <row r="752">
      <c r="A752" s="74"/>
      <c r="B752" s="74"/>
      <c r="C752" s="74"/>
      <c r="D752" s="74"/>
      <c r="E752" s="74"/>
      <c r="F752" s="74"/>
      <c r="G752" s="74"/>
      <c r="H752" s="74"/>
      <c r="I752" s="74"/>
      <c r="J752" s="76"/>
      <c r="K752" s="76"/>
    </row>
    <row r="753">
      <c r="A753" s="74"/>
      <c r="B753" s="74"/>
      <c r="C753" s="74"/>
      <c r="D753" s="74"/>
      <c r="E753" s="74"/>
      <c r="F753" s="74"/>
      <c r="G753" s="74"/>
      <c r="H753" s="74"/>
      <c r="I753" s="74"/>
      <c r="J753" s="76"/>
      <c r="K753" s="76"/>
    </row>
    <row r="754">
      <c r="A754" s="74"/>
      <c r="B754" s="74"/>
      <c r="C754" s="74"/>
      <c r="D754" s="74"/>
      <c r="E754" s="74"/>
      <c r="F754" s="74"/>
      <c r="G754" s="74"/>
      <c r="H754" s="74"/>
      <c r="I754" s="74"/>
      <c r="J754" s="76"/>
      <c r="K754" s="76"/>
    </row>
    <row r="755">
      <c r="A755" s="74"/>
      <c r="B755" s="74"/>
      <c r="C755" s="74"/>
      <c r="D755" s="74"/>
      <c r="E755" s="74"/>
      <c r="F755" s="74"/>
      <c r="G755" s="74"/>
      <c r="H755" s="74"/>
      <c r="I755" s="74"/>
      <c r="J755" s="76"/>
      <c r="K755" s="76"/>
    </row>
    <row r="756">
      <c r="A756" s="74"/>
      <c r="B756" s="74"/>
      <c r="C756" s="74"/>
      <c r="D756" s="74"/>
      <c r="E756" s="74"/>
      <c r="F756" s="74"/>
      <c r="G756" s="74"/>
      <c r="H756" s="74"/>
      <c r="I756" s="74"/>
      <c r="J756" s="76"/>
      <c r="K756" s="76"/>
    </row>
    <row r="757">
      <c r="A757" s="74"/>
      <c r="B757" s="74"/>
      <c r="C757" s="74"/>
      <c r="D757" s="74"/>
      <c r="E757" s="74"/>
      <c r="F757" s="74"/>
      <c r="G757" s="74"/>
      <c r="H757" s="74"/>
      <c r="I757" s="74"/>
      <c r="J757" s="76"/>
      <c r="K757" s="76"/>
    </row>
    <row r="758">
      <c r="A758" s="74"/>
      <c r="B758" s="74"/>
      <c r="C758" s="74"/>
      <c r="D758" s="74"/>
      <c r="E758" s="74"/>
      <c r="F758" s="74"/>
      <c r="G758" s="74"/>
      <c r="H758" s="74"/>
      <c r="I758" s="74"/>
      <c r="J758" s="76"/>
      <c r="K758" s="76"/>
    </row>
    <row r="759">
      <c r="A759" s="74"/>
      <c r="B759" s="74"/>
      <c r="C759" s="74"/>
      <c r="D759" s="74"/>
      <c r="E759" s="74"/>
      <c r="F759" s="74"/>
      <c r="G759" s="74"/>
      <c r="H759" s="74"/>
      <c r="I759" s="74"/>
      <c r="J759" s="76"/>
      <c r="K759" s="76"/>
    </row>
    <row r="760">
      <c r="A760" s="74"/>
      <c r="B760" s="74"/>
      <c r="C760" s="74"/>
      <c r="D760" s="74"/>
      <c r="E760" s="74"/>
      <c r="F760" s="74"/>
      <c r="G760" s="74"/>
      <c r="H760" s="74"/>
      <c r="I760" s="74"/>
      <c r="J760" s="76"/>
      <c r="K760" s="76"/>
    </row>
    <row r="761">
      <c r="A761" s="74"/>
      <c r="B761" s="74"/>
      <c r="C761" s="74"/>
      <c r="D761" s="74"/>
      <c r="E761" s="74"/>
      <c r="F761" s="74"/>
      <c r="G761" s="74"/>
      <c r="H761" s="74"/>
      <c r="I761" s="74"/>
      <c r="J761" s="76"/>
      <c r="K761" s="76"/>
    </row>
    <row r="762">
      <c r="A762" s="74"/>
      <c r="B762" s="74"/>
      <c r="C762" s="74"/>
      <c r="D762" s="74"/>
      <c r="E762" s="74"/>
      <c r="F762" s="74"/>
      <c r="G762" s="74"/>
      <c r="H762" s="74"/>
      <c r="I762" s="74"/>
      <c r="J762" s="76"/>
      <c r="K762" s="76"/>
    </row>
    <row r="763">
      <c r="A763" s="74"/>
      <c r="B763" s="74"/>
      <c r="C763" s="74"/>
      <c r="D763" s="74"/>
      <c r="E763" s="74"/>
      <c r="F763" s="74"/>
      <c r="G763" s="74"/>
      <c r="H763" s="74"/>
      <c r="I763" s="74"/>
      <c r="J763" s="76"/>
      <c r="K763" s="76"/>
    </row>
    <row r="764">
      <c r="A764" s="74"/>
      <c r="B764" s="74"/>
      <c r="C764" s="74"/>
      <c r="D764" s="74"/>
      <c r="E764" s="74"/>
      <c r="F764" s="74"/>
      <c r="G764" s="74"/>
      <c r="H764" s="74"/>
      <c r="I764" s="74"/>
      <c r="J764" s="76"/>
      <c r="K764" s="76"/>
    </row>
    <row r="765">
      <c r="A765" s="74"/>
      <c r="B765" s="74"/>
      <c r="C765" s="74"/>
      <c r="D765" s="74"/>
      <c r="E765" s="74"/>
      <c r="F765" s="74"/>
      <c r="G765" s="74"/>
      <c r="H765" s="74"/>
      <c r="I765" s="74"/>
      <c r="J765" s="76"/>
      <c r="K765" s="76"/>
    </row>
    <row r="766">
      <c r="A766" s="74"/>
      <c r="B766" s="74"/>
      <c r="C766" s="74"/>
      <c r="D766" s="74"/>
      <c r="E766" s="74"/>
      <c r="F766" s="74"/>
      <c r="G766" s="74"/>
      <c r="H766" s="74"/>
      <c r="I766" s="74"/>
      <c r="J766" s="76"/>
      <c r="K766" s="76"/>
    </row>
    <row r="767">
      <c r="A767" s="74"/>
      <c r="B767" s="74"/>
      <c r="C767" s="74"/>
      <c r="D767" s="74"/>
      <c r="E767" s="74"/>
      <c r="F767" s="74"/>
      <c r="G767" s="74"/>
      <c r="H767" s="74"/>
      <c r="I767" s="74"/>
      <c r="J767" s="76"/>
      <c r="K767" s="76"/>
    </row>
    <row r="768">
      <c r="A768" s="74"/>
      <c r="B768" s="74"/>
      <c r="C768" s="74"/>
      <c r="D768" s="74"/>
      <c r="E768" s="74"/>
      <c r="F768" s="74"/>
      <c r="G768" s="74"/>
      <c r="H768" s="74"/>
      <c r="I768" s="74"/>
      <c r="J768" s="76"/>
      <c r="K768" s="76"/>
    </row>
    <row r="769">
      <c r="A769" s="74"/>
      <c r="B769" s="74"/>
      <c r="C769" s="74"/>
      <c r="D769" s="74"/>
      <c r="E769" s="74"/>
      <c r="F769" s="74"/>
      <c r="G769" s="74"/>
      <c r="H769" s="74"/>
      <c r="I769" s="74"/>
      <c r="J769" s="76"/>
      <c r="K769" s="76"/>
    </row>
    <row r="770">
      <c r="A770" s="74"/>
      <c r="B770" s="74"/>
      <c r="C770" s="74"/>
      <c r="D770" s="74"/>
      <c r="E770" s="74"/>
      <c r="F770" s="74"/>
      <c r="G770" s="74"/>
      <c r="H770" s="74"/>
      <c r="I770" s="74"/>
      <c r="J770" s="76"/>
      <c r="K770" s="76"/>
    </row>
    <row r="771">
      <c r="A771" s="74"/>
      <c r="B771" s="74"/>
      <c r="C771" s="74"/>
      <c r="D771" s="74"/>
      <c r="E771" s="74"/>
      <c r="F771" s="74"/>
      <c r="G771" s="74"/>
      <c r="H771" s="74"/>
      <c r="I771" s="74"/>
      <c r="J771" s="76"/>
      <c r="K771" s="76"/>
    </row>
    <row r="772">
      <c r="A772" s="74"/>
      <c r="B772" s="74"/>
      <c r="C772" s="74"/>
      <c r="D772" s="74"/>
      <c r="E772" s="74"/>
      <c r="F772" s="74"/>
      <c r="G772" s="74"/>
      <c r="H772" s="74"/>
      <c r="I772" s="74"/>
      <c r="J772" s="76"/>
      <c r="K772" s="76"/>
    </row>
    <row r="773">
      <c r="A773" s="74"/>
      <c r="B773" s="74"/>
      <c r="C773" s="74"/>
      <c r="D773" s="74"/>
      <c r="E773" s="74"/>
      <c r="F773" s="74"/>
      <c r="G773" s="74"/>
      <c r="H773" s="74"/>
      <c r="I773" s="74"/>
      <c r="J773" s="76"/>
      <c r="K773" s="76"/>
    </row>
    <row r="774">
      <c r="A774" s="74"/>
      <c r="B774" s="74"/>
      <c r="C774" s="74"/>
      <c r="D774" s="74"/>
      <c r="E774" s="74"/>
      <c r="F774" s="74"/>
      <c r="G774" s="74"/>
      <c r="H774" s="74"/>
      <c r="I774" s="74"/>
      <c r="J774" s="76"/>
      <c r="K774" s="76"/>
    </row>
    <row r="775">
      <c r="A775" s="74"/>
      <c r="B775" s="74"/>
      <c r="C775" s="74"/>
      <c r="D775" s="74"/>
      <c r="E775" s="74"/>
      <c r="F775" s="74"/>
      <c r="G775" s="74"/>
      <c r="H775" s="74"/>
      <c r="I775" s="74"/>
      <c r="J775" s="76"/>
      <c r="K775" s="76"/>
    </row>
    <row r="776">
      <c r="A776" s="74"/>
      <c r="B776" s="74"/>
      <c r="C776" s="74"/>
      <c r="D776" s="74"/>
      <c r="E776" s="74"/>
      <c r="F776" s="74"/>
      <c r="G776" s="74"/>
      <c r="H776" s="74"/>
      <c r="I776" s="74"/>
      <c r="J776" s="76"/>
      <c r="K776" s="76"/>
    </row>
    <row r="777">
      <c r="A777" s="74"/>
      <c r="B777" s="74"/>
      <c r="C777" s="74"/>
      <c r="D777" s="74"/>
      <c r="E777" s="74"/>
      <c r="F777" s="74"/>
      <c r="G777" s="74"/>
      <c r="H777" s="74"/>
      <c r="I777" s="74"/>
      <c r="J777" s="76"/>
      <c r="K777" s="76"/>
    </row>
    <row r="778">
      <c r="A778" s="74"/>
      <c r="B778" s="74"/>
      <c r="C778" s="74"/>
      <c r="D778" s="74"/>
      <c r="E778" s="74"/>
      <c r="F778" s="74"/>
      <c r="G778" s="74"/>
      <c r="H778" s="74"/>
      <c r="I778" s="74"/>
      <c r="J778" s="76"/>
      <c r="K778" s="76"/>
    </row>
    <row r="779">
      <c r="A779" s="74"/>
      <c r="B779" s="74"/>
      <c r="C779" s="74"/>
      <c r="D779" s="74"/>
      <c r="E779" s="74"/>
      <c r="F779" s="74"/>
      <c r="G779" s="74"/>
      <c r="H779" s="74"/>
      <c r="I779" s="74"/>
      <c r="J779" s="76"/>
      <c r="K779" s="76"/>
    </row>
    <row r="780">
      <c r="A780" s="74"/>
      <c r="B780" s="74"/>
      <c r="C780" s="74"/>
      <c r="D780" s="74"/>
      <c r="E780" s="74"/>
      <c r="F780" s="74"/>
      <c r="G780" s="74"/>
      <c r="H780" s="74"/>
      <c r="I780" s="74"/>
      <c r="J780" s="76"/>
      <c r="K780" s="76"/>
    </row>
    <row r="781">
      <c r="A781" s="74"/>
      <c r="B781" s="74"/>
      <c r="C781" s="74"/>
      <c r="D781" s="74"/>
      <c r="E781" s="74"/>
      <c r="F781" s="74"/>
      <c r="G781" s="74"/>
      <c r="H781" s="74"/>
      <c r="I781" s="74"/>
      <c r="J781" s="76"/>
      <c r="K781" s="76"/>
    </row>
    <row r="782">
      <c r="A782" s="74"/>
      <c r="B782" s="74"/>
      <c r="C782" s="74"/>
      <c r="D782" s="74"/>
      <c r="E782" s="74"/>
      <c r="F782" s="74"/>
      <c r="G782" s="74"/>
      <c r="H782" s="74"/>
      <c r="I782" s="74"/>
      <c r="J782" s="76"/>
      <c r="K782" s="76"/>
    </row>
    <row r="783">
      <c r="A783" s="74"/>
      <c r="B783" s="74"/>
      <c r="C783" s="74"/>
      <c r="D783" s="74"/>
      <c r="E783" s="74"/>
      <c r="F783" s="74"/>
      <c r="G783" s="74"/>
      <c r="H783" s="74"/>
      <c r="I783" s="74"/>
      <c r="J783" s="76"/>
      <c r="K783" s="76"/>
    </row>
    <row r="784">
      <c r="A784" s="74"/>
      <c r="B784" s="74"/>
      <c r="C784" s="74"/>
      <c r="D784" s="74"/>
      <c r="E784" s="74"/>
      <c r="F784" s="74"/>
      <c r="G784" s="74"/>
      <c r="H784" s="74"/>
      <c r="I784" s="74"/>
      <c r="J784" s="76"/>
      <c r="K784" s="76"/>
    </row>
    <row r="785">
      <c r="A785" s="74"/>
      <c r="B785" s="74"/>
      <c r="C785" s="74"/>
      <c r="D785" s="74"/>
      <c r="E785" s="74"/>
      <c r="F785" s="74"/>
      <c r="G785" s="74"/>
      <c r="H785" s="74"/>
      <c r="I785" s="74"/>
      <c r="J785" s="76"/>
      <c r="K785" s="76"/>
    </row>
    <row r="786">
      <c r="A786" s="74"/>
      <c r="B786" s="74"/>
      <c r="C786" s="74"/>
      <c r="D786" s="74"/>
      <c r="E786" s="74"/>
      <c r="F786" s="74"/>
      <c r="G786" s="74"/>
      <c r="H786" s="74"/>
      <c r="I786" s="74"/>
      <c r="J786" s="76"/>
      <c r="K786" s="76"/>
    </row>
    <row r="787">
      <c r="A787" s="74"/>
      <c r="B787" s="74"/>
      <c r="C787" s="74"/>
      <c r="D787" s="74"/>
      <c r="E787" s="74"/>
      <c r="F787" s="74"/>
      <c r="G787" s="74"/>
      <c r="H787" s="74"/>
      <c r="I787" s="74"/>
      <c r="J787" s="76"/>
      <c r="K787" s="76"/>
    </row>
    <row r="788">
      <c r="A788" s="74"/>
      <c r="B788" s="74"/>
      <c r="C788" s="74"/>
      <c r="D788" s="74"/>
      <c r="E788" s="74"/>
      <c r="F788" s="74"/>
      <c r="G788" s="74"/>
      <c r="H788" s="74"/>
      <c r="I788" s="74"/>
      <c r="J788" s="76"/>
      <c r="K788" s="76"/>
    </row>
    <row r="789">
      <c r="A789" s="74"/>
      <c r="B789" s="74"/>
      <c r="C789" s="74"/>
      <c r="D789" s="74"/>
      <c r="E789" s="74"/>
      <c r="F789" s="74"/>
      <c r="G789" s="74"/>
      <c r="H789" s="74"/>
      <c r="I789" s="74"/>
      <c r="J789" s="76"/>
      <c r="K789" s="76"/>
    </row>
    <row r="790">
      <c r="A790" s="74"/>
      <c r="B790" s="74"/>
      <c r="C790" s="74"/>
      <c r="D790" s="74"/>
      <c r="E790" s="74"/>
      <c r="F790" s="74"/>
      <c r="G790" s="74"/>
      <c r="H790" s="74"/>
      <c r="I790" s="74"/>
      <c r="J790" s="76"/>
      <c r="K790" s="76"/>
    </row>
    <row r="791">
      <c r="A791" s="74"/>
      <c r="B791" s="74"/>
      <c r="C791" s="74"/>
      <c r="D791" s="74"/>
      <c r="E791" s="74"/>
      <c r="F791" s="74"/>
      <c r="G791" s="74"/>
      <c r="H791" s="74"/>
      <c r="I791" s="74"/>
      <c r="J791" s="76"/>
      <c r="K791" s="76"/>
    </row>
    <row r="792">
      <c r="A792" s="74"/>
      <c r="B792" s="74"/>
      <c r="C792" s="74"/>
      <c r="D792" s="74"/>
      <c r="E792" s="74"/>
      <c r="F792" s="74"/>
      <c r="G792" s="74"/>
      <c r="H792" s="74"/>
      <c r="I792" s="74"/>
      <c r="J792" s="76"/>
      <c r="K792" s="76"/>
    </row>
    <row r="793">
      <c r="A793" s="74"/>
      <c r="B793" s="74"/>
      <c r="C793" s="74"/>
      <c r="D793" s="74"/>
      <c r="E793" s="74"/>
      <c r="F793" s="74"/>
      <c r="G793" s="74"/>
      <c r="H793" s="74"/>
      <c r="I793" s="74"/>
      <c r="J793" s="76"/>
      <c r="K793" s="76"/>
    </row>
    <row r="794">
      <c r="A794" s="74"/>
      <c r="B794" s="74"/>
      <c r="C794" s="74"/>
      <c r="D794" s="74"/>
      <c r="E794" s="74"/>
      <c r="F794" s="74"/>
      <c r="G794" s="74"/>
      <c r="H794" s="74"/>
      <c r="I794" s="74"/>
      <c r="J794" s="76"/>
      <c r="K794" s="76"/>
    </row>
    <row r="795">
      <c r="A795" s="74"/>
      <c r="B795" s="74"/>
      <c r="C795" s="74"/>
      <c r="D795" s="74"/>
      <c r="E795" s="74"/>
      <c r="F795" s="74"/>
      <c r="G795" s="74"/>
      <c r="H795" s="74"/>
      <c r="I795" s="74"/>
      <c r="J795" s="76"/>
      <c r="K795" s="76"/>
    </row>
    <row r="796">
      <c r="A796" s="74"/>
      <c r="B796" s="74"/>
      <c r="C796" s="74"/>
      <c r="D796" s="74"/>
      <c r="E796" s="74"/>
      <c r="F796" s="74"/>
      <c r="G796" s="74"/>
      <c r="H796" s="74"/>
      <c r="I796" s="74"/>
      <c r="J796" s="76"/>
      <c r="K796" s="76"/>
    </row>
    <row r="797">
      <c r="A797" s="74"/>
      <c r="B797" s="74"/>
      <c r="C797" s="74"/>
      <c r="D797" s="74"/>
      <c r="E797" s="74"/>
      <c r="F797" s="74"/>
      <c r="G797" s="74"/>
      <c r="H797" s="74"/>
      <c r="I797" s="74"/>
      <c r="J797" s="76"/>
      <c r="K797" s="76"/>
    </row>
    <row r="798">
      <c r="A798" s="74"/>
      <c r="B798" s="74"/>
      <c r="C798" s="74"/>
      <c r="D798" s="74"/>
      <c r="E798" s="74"/>
      <c r="F798" s="74"/>
      <c r="G798" s="74"/>
      <c r="H798" s="74"/>
      <c r="I798" s="74"/>
      <c r="J798" s="76"/>
      <c r="K798" s="76"/>
    </row>
    <row r="799">
      <c r="A799" s="74"/>
      <c r="B799" s="74"/>
      <c r="C799" s="74"/>
      <c r="D799" s="74"/>
      <c r="E799" s="74"/>
      <c r="F799" s="74"/>
      <c r="G799" s="74"/>
      <c r="H799" s="74"/>
      <c r="I799" s="74"/>
      <c r="J799" s="76"/>
      <c r="K799" s="76"/>
    </row>
    <row r="800">
      <c r="A800" s="74"/>
      <c r="B800" s="74"/>
      <c r="C800" s="74"/>
      <c r="D800" s="74"/>
      <c r="E800" s="74"/>
      <c r="F800" s="74"/>
      <c r="G800" s="74"/>
      <c r="H800" s="74"/>
      <c r="I800" s="74"/>
      <c r="J800" s="76"/>
      <c r="K800" s="76"/>
    </row>
    <row r="801">
      <c r="A801" s="74"/>
      <c r="B801" s="74"/>
      <c r="C801" s="74"/>
      <c r="D801" s="74"/>
      <c r="E801" s="74"/>
      <c r="F801" s="74"/>
      <c r="G801" s="74"/>
      <c r="H801" s="74"/>
      <c r="I801" s="74"/>
      <c r="J801" s="76"/>
      <c r="K801" s="76"/>
    </row>
    <row r="802">
      <c r="A802" s="74"/>
      <c r="B802" s="74"/>
      <c r="C802" s="74"/>
      <c r="D802" s="74"/>
      <c r="E802" s="74"/>
      <c r="F802" s="74"/>
      <c r="G802" s="74"/>
      <c r="H802" s="74"/>
      <c r="I802" s="74"/>
      <c r="J802" s="76"/>
      <c r="K802" s="76"/>
    </row>
    <row r="803">
      <c r="A803" s="74"/>
      <c r="B803" s="74"/>
      <c r="C803" s="74"/>
      <c r="D803" s="74"/>
      <c r="E803" s="74"/>
      <c r="F803" s="74"/>
      <c r="G803" s="74"/>
      <c r="H803" s="74"/>
      <c r="I803" s="74"/>
      <c r="J803" s="76"/>
      <c r="K803" s="76"/>
    </row>
    <row r="804">
      <c r="A804" s="74"/>
      <c r="B804" s="74"/>
      <c r="C804" s="74"/>
      <c r="D804" s="74"/>
      <c r="E804" s="74"/>
      <c r="F804" s="74"/>
      <c r="G804" s="74"/>
      <c r="H804" s="74"/>
      <c r="I804" s="74"/>
      <c r="J804" s="76"/>
      <c r="K804" s="76"/>
    </row>
    <row r="805">
      <c r="A805" s="74"/>
      <c r="B805" s="74"/>
      <c r="C805" s="74"/>
      <c r="D805" s="74"/>
      <c r="E805" s="74"/>
      <c r="F805" s="74"/>
      <c r="G805" s="74"/>
      <c r="H805" s="74"/>
      <c r="I805" s="74"/>
      <c r="J805" s="76"/>
      <c r="K805" s="76"/>
    </row>
    <row r="806">
      <c r="A806" s="74"/>
      <c r="B806" s="74"/>
      <c r="C806" s="74"/>
      <c r="D806" s="74"/>
      <c r="E806" s="74"/>
      <c r="F806" s="74"/>
      <c r="G806" s="74"/>
      <c r="H806" s="74"/>
      <c r="I806" s="74"/>
      <c r="J806" s="76"/>
      <c r="K806" s="76"/>
    </row>
    <row r="807">
      <c r="A807" s="74"/>
      <c r="B807" s="74"/>
      <c r="C807" s="74"/>
      <c r="D807" s="74"/>
      <c r="E807" s="74"/>
      <c r="F807" s="74"/>
      <c r="G807" s="74"/>
      <c r="H807" s="74"/>
      <c r="I807" s="74"/>
      <c r="J807" s="76"/>
      <c r="K807" s="76"/>
    </row>
    <row r="808">
      <c r="A808" s="74"/>
      <c r="B808" s="74"/>
      <c r="C808" s="74"/>
      <c r="D808" s="74"/>
      <c r="E808" s="74"/>
      <c r="F808" s="74"/>
      <c r="G808" s="74"/>
      <c r="H808" s="74"/>
      <c r="I808" s="74"/>
      <c r="J808" s="76"/>
      <c r="K808" s="76"/>
    </row>
    <row r="809">
      <c r="A809" s="74"/>
      <c r="B809" s="74"/>
      <c r="C809" s="74"/>
      <c r="D809" s="74"/>
      <c r="E809" s="74"/>
      <c r="F809" s="74"/>
      <c r="G809" s="74"/>
      <c r="H809" s="74"/>
      <c r="I809" s="74"/>
      <c r="J809" s="76"/>
      <c r="K809" s="76"/>
    </row>
    <row r="810">
      <c r="A810" s="74"/>
      <c r="B810" s="74"/>
      <c r="C810" s="74"/>
      <c r="D810" s="74"/>
      <c r="E810" s="74"/>
      <c r="F810" s="74"/>
      <c r="G810" s="74"/>
      <c r="H810" s="74"/>
      <c r="I810" s="74"/>
      <c r="J810" s="76"/>
      <c r="K810" s="76"/>
    </row>
    <row r="811">
      <c r="A811" s="74"/>
      <c r="B811" s="74"/>
      <c r="C811" s="74"/>
      <c r="D811" s="74"/>
      <c r="E811" s="74"/>
      <c r="F811" s="74"/>
      <c r="G811" s="74"/>
      <c r="H811" s="74"/>
      <c r="I811" s="74"/>
      <c r="J811" s="76"/>
      <c r="K811" s="76"/>
    </row>
    <row r="812">
      <c r="A812" s="74"/>
      <c r="B812" s="74"/>
      <c r="C812" s="74"/>
      <c r="D812" s="74"/>
      <c r="E812" s="74"/>
      <c r="F812" s="74"/>
      <c r="G812" s="74"/>
      <c r="H812" s="74"/>
      <c r="I812" s="74"/>
      <c r="J812" s="76"/>
      <c r="K812" s="76"/>
    </row>
    <row r="813">
      <c r="A813" s="74"/>
      <c r="B813" s="74"/>
      <c r="C813" s="74"/>
      <c r="D813" s="74"/>
      <c r="E813" s="74"/>
      <c r="F813" s="74"/>
      <c r="G813" s="74"/>
      <c r="H813" s="74"/>
      <c r="I813" s="74"/>
      <c r="J813" s="76"/>
      <c r="K813" s="76"/>
    </row>
    <row r="814">
      <c r="A814" s="74"/>
      <c r="B814" s="74"/>
      <c r="C814" s="74"/>
      <c r="D814" s="74"/>
      <c r="E814" s="74"/>
      <c r="F814" s="74"/>
      <c r="G814" s="74"/>
      <c r="H814" s="74"/>
      <c r="I814" s="74"/>
      <c r="J814" s="76"/>
      <c r="K814" s="76"/>
    </row>
    <row r="815">
      <c r="A815" s="74"/>
      <c r="B815" s="74"/>
      <c r="C815" s="74"/>
      <c r="D815" s="74"/>
      <c r="E815" s="74"/>
      <c r="F815" s="74"/>
      <c r="G815" s="74"/>
      <c r="H815" s="74"/>
      <c r="I815" s="74"/>
      <c r="J815" s="76"/>
      <c r="K815" s="76"/>
    </row>
    <row r="816">
      <c r="A816" s="74"/>
      <c r="B816" s="74"/>
      <c r="C816" s="74"/>
      <c r="D816" s="74"/>
      <c r="E816" s="74"/>
      <c r="F816" s="74"/>
      <c r="G816" s="74"/>
      <c r="H816" s="74"/>
      <c r="I816" s="74"/>
      <c r="J816" s="76"/>
      <c r="K816" s="76"/>
    </row>
    <row r="817">
      <c r="A817" s="74"/>
      <c r="B817" s="74"/>
      <c r="C817" s="74"/>
      <c r="D817" s="74"/>
      <c r="E817" s="74"/>
      <c r="F817" s="74"/>
      <c r="G817" s="74"/>
      <c r="H817" s="74"/>
      <c r="I817" s="74"/>
      <c r="J817" s="76"/>
      <c r="K817" s="76"/>
    </row>
    <row r="818">
      <c r="A818" s="74"/>
      <c r="B818" s="74"/>
      <c r="C818" s="74"/>
      <c r="D818" s="74"/>
      <c r="E818" s="74"/>
      <c r="F818" s="74"/>
      <c r="G818" s="74"/>
      <c r="H818" s="74"/>
      <c r="I818" s="74"/>
      <c r="J818" s="76"/>
      <c r="K818" s="76"/>
    </row>
    <row r="819">
      <c r="A819" s="74"/>
      <c r="B819" s="74"/>
      <c r="C819" s="74"/>
      <c r="D819" s="74"/>
      <c r="E819" s="74"/>
      <c r="F819" s="74"/>
      <c r="G819" s="74"/>
      <c r="H819" s="74"/>
      <c r="I819" s="74"/>
      <c r="J819" s="76"/>
      <c r="K819" s="76"/>
    </row>
    <row r="820">
      <c r="A820" s="74"/>
      <c r="B820" s="74"/>
      <c r="C820" s="74"/>
      <c r="D820" s="74"/>
      <c r="E820" s="74"/>
      <c r="F820" s="74"/>
      <c r="G820" s="74"/>
      <c r="H820" s="74"/>
      <c r="I820" s="74"/>
      <c r="J820" s="76"/>
      <c r="K820" s="76"/>
    </row>
    <row r="821">
      <c r="A821" s="74"/>
      <c r="B821" s="74"/>
      <c r="C821" s="74"/>
      <c r="D821" s="74"/>
      <c r="E821" s="74"/>
      <c r="F821" s="74"/>
      <c r="G821" s="74"/>
      <c r="H821" s="74"/>
      <c r="I821" s="74"/>
      <c r="J821" s="76"/>
      <c r="K821" s="76"/>
    </row>
    <row r="822">
      <c r="A822" s="74"/>
      <c r="B822" s="74"/>
      <c r="C822" s="74"/>
      <c r="D822" s="74"/>
      <c r="E822" s="74"/>
      <c r="F822" s="74"/>
      <c r="G822" s="74"/>
      <c r="H822" s="74"/>
      <c r="I822" s="74"/>
      <c r="J822" s="76"/>
      <c r="K822" s="76"/>
    </row>
    <row r="823">
      <c r="A823" s="74"/>
      <c r="J823" s="76"/>
      <c r="K823" s="76"/>
    </row>
    <row r="824">
      <c r="A824" s="74"/>
      <c r="J824" s="76"/>
      <c r="K824" s="76"/>
    </row>
    <row r="825">
      <c r="A825" s="74"/>
      <c r="J825" s="76"/>
      <c r="K825" s="76"/>
    </row>
    <row r="826">
      <c r="A826" s="74"/>
      <c r="J826" s="76"/>
      <c r="K826" s="76"/>
    </row>
    <row r="827">
      <c r="A827" s="74"/>
      <c r="J827" s="76"/>
      <c r="K827" s="76"/>
    </row>
    <row r="828">
      <c r="A828" s="74"/>
      <c r="J828" s="76"/>
      <c r="K828" s="76"/>
    </row>
    <row r="829">
      <c r="A829" s="74"/>
      <c r="J829" s="76"/>
      <c r="K829" s="76"/>
    </row>
    <row r="830">
      <c r="A830" s="74"/>
      <c r="J830" s="76"/>
      <c r="K830" s="76"/>
    </row>
    <row r="831">
      <c r="A831" s="74"/>
      <c r="J831" s="76"/>
      <c r="K831" s="76"/>
    </row>
    <row r="832">
      <c r="A832" s="74"/>
      <c r="J832" s="76"/>
      <c r="K832" s="76"/>
    </row>
    <row r="833">
      <c r="A833" s="74"/>
      <c r="J833" s="76"/>
      <c r="K833" s="76"/>
    </row>
    <row r="834">
      <c r="A834" s="74"/>
      <c r="J834" s="76"/>
      <c r="K834" s="76"/>
    </row>
    <row r="835">
      <c r="A835" s="74"/>
      <c r="J835" s="76"/>
      <c r="K835" s="76"/>
    </row>
    <row r="836">
      <c r="A836" s="74"/>
      <c r="J836" s="76"/>
      <c r="K836" s="76"/>
    </row>
    <row r="837">
      <c r="A837" s="74"/>
      <c r="J837" s="76"/>
      <c r="K837" s="76"/>
    </row>
    <row r="838">
      <c r="A838" s="74"/>
      <c r="J838" s="76"/>
      <c r="K838" s="76"/>
    </row>
    <row r="839">
      <c r="A839" s="74"/>
      <c r="J839" s="76"/>
      <c r="K839" s="76"/>
    </row>
    <row r="840">
      <c r="A840" s="74"/>
      <c r="J840" s="76"/>
      <c r="K840" s="76"/>
    </row>
    <row r="841">
      <c r="A841" s="74"/>
      <c r="J841" s="76"/>
      <c r="K841" s="76"/>
    </row>
    <row r="842">
      <c r="A842" s="74"/>
      <c r="J842" s="76"/>
      <c r="K842" s="76"/>
    </row>
    <row r="843">
      <c r="A843" s="74"/>
      <c r="J843" s="76"/>
      <c r="K843" s="76"/>
    </row>
    <row r="844">
      <c r="A844" s="74"/>
      <c r="J844" s="76"/>
      <c r="K844" s="76"/>
    </row>
    <row r="845">
      <c r="A845" s="74"/>
      <c r="J845" s="76"/>
      <c r="K845" s="76"/>
    </row>
    <row r="846">
      <c r="A846" s="74"/>
      <c r="J846" s="76"/>
      <c r="K846" s="76"/>
    </row>
    <row r="847">
      <c r="A847" s="74"/>
      <c r="J847" s="76"/>
      <c r="K847" s="76"/>
    </row>
    <row r="848">
      <c r="A848" s="74"/>
      <c r="J848" s="76"/>
      <c r="K848" s="76"/>
    </row>
    <row r="849">
      <c r="A849" s="74"/>
      <c r="J849" s="76"/>
      <c r="K849" s="76"/>
    </row>
    <row r="850">
      <c r="A850" s="74"/>
      <c r="J850" s="76"/>
      <c r="K850" s="76"/>
    </row>
    <row r="851">
      <c r="A851" s="74"/>
      <c r="J851" s="76"/>
      <c r="K851" s="76"/>
    </row>
    <row r="852">
      <c r="A852" s="74"/>
      <c r="J852" s="76"/>
      <c r="K852" s="76"/>
    </row>
    <row r="853">
      <c r="A853" s="74"/>
      <c r="J853" s="76"/>
      <c r="K853" s="76"/>
    </row>
    <row r="854">
      <c r="A854" s="74"/>
      <c r="J854" s="76"/>
      <c r="K854" s="76"/>
    </row>
    <row r="855">
      <c r="A855" s="74"/>
      <c r="J855" s="76"/>
      <c r="K855" s="76"/>
    </row>
    <row r="856">
      <c r="A856" s="74"/>
      <c r="J856" s="76"/>
      <c r="K856" s="76"/>
    </row>
    <row r="857">
      <c r="A857" s="74"/>
      <c r="J857" s="76"/>
      <c r="K857" s="76"/>
    </row>
    <row r="858">
      <c r="A858" s="74"/>
      <c r="J858" s="76"/>
      <c r="K858" s="76"/>
    </row>
    <row r="859">
      <c r="A859" s="74"/>
      <c r="J859" s="76"/>
      <c r="K859" s="76"/>
    </row>
    <row r="860">
      <c r="A860" s="74"/>
      <c r="J860" s="76"/>
      <c r="K860" s="76"/>
    </row>
    <row r="861">
      <c r="A861" s="74"/>
      <c r="J861" s="76"/>
      <c r="K861" s="76"/>
    </row>
    <row r="862">
      <c r="A862" s="74"/>
      <c r="J862" s="76"/>
      <c r="K862" s="76"/>
    </row>
    <row r="863">
      <c r="A863" s="74"/>
      <c r="J863" s="76"/>
      <c r="K863" s="76"/>
    </row>
    <row r="864">
      <c r="A864" s="74"/>
      <c r="J864" s="76"/>
      <c r="K864" s="76"/>
    </row>
    <row r="865">
      <c r="A865" s="74"/>
      <c r="J865" s="76"/>
      <c r="K865" s="76"/>
    </row>
    <row r="866">
      <c r="A866" s="74"/>
      <c r="J866" s="76"/>
      <c r="K866" s="76"/>
    </row>
    <row r="867">
      <c r="A867" s="74"/>
      <c r="J867" s="76"/>
      <c r="K867" s="76"/>
    </row>
    <row r="868">
      <c r="A868" s="74"/>
      <c r="J868" s="76"/>
      <c r="K868" s="76"/>
    </row>
    <row r="869">
      <c r="A869" s="74"/>
      <c r="J869" s="76"/>
      <c r="K869" s="76"/>
    </row>
    <row r="870">
      <c r="A870" s="74"/>
      <c r="J870" s="76"/>
      <c r="K870" s="76"/>
    </row>
    <row r="871">
      <c r="A871" s="74"/>
      <c r="J871" s="76"/>
      <c r="K871" s="76"/>
    </row>
    <row r="872">
      <c r="A872" s="74"/>
      <c r="J872" s="76"/>
      <c r="K872" s="76"/>
    </row>
    <row r="873">
      <c r="A873" s="74"/>
      <c r="J873" s="76"/>
      <c r="K873" s="76"/>
    </row>
    <row r="874">
      <c r="A874" s="74"/>
      <c r="J874" s="76"/>
      <c r="K874" s="77"/>
    </row>
    <row r="875">
      <c r="A875" s="74"/>
      <c r="J875" s="76"/>
      <c r="K875" s="77"/>
    </row>
    <row r="876">
      <c r="A876" s="74"/>
      <c r="J876" s="76"/>
      <c r="K876" s="77"/>
    </row>
    <row r="877">
      <c r="A877" s="74"/>
      <c r="J877" s="76"/>
      <c r="K877" s="77"/>
    </row>
    <row r="878">
      <c r="A878" s="74"/>
      <c r="J878" s="76"/>
      <c r="K878" s="77"/>
    </row>
    <row r="879">
      <c r="A879" s="74"/>
      <c r="J879" s="76"/>
      <c r="K879" s="77"/>
    </row>
    <row r="880">
      <c r="A880" s="74"/>
      <c r="J880" s="76"/>
      <c r="K880" s="77"/>
    </row>
    <row r="881">
      <c r="A881" s="74"/>
      <c r="J881" s="76"/>
      <c r="K881" s="77"/>
    </row>
    <row r="882">
      <c r="A882" s="74"/>
      <c r="J882" s="76"/>
      <c r="K882" s="77"/>
    </row>
    <row r="883">
      <c r="A883" s="74"/>
      <c r="J883" s="76"/>
      <c r="K883" s="77"/>
    </row>
    <row r="884">
      <c r="A884" s="74"/>
      <c r="J884" s="76"/>
      <c r="K884" s="77"/>
    </row>
    <row r="885">
      <c r="A885" s="74"/>
      <c r="J885" s="76"/>
      <c r="K885" s="77"/>
    </row>
    <row r="886">
      <c r="A886" s="74"/>
      <c r="J886" s="76"/>
      <c r="K886" s="77"/>
    </row>
    <row r="887">
      <c r="A887" s="74"/>
      <c r="J887" s="76"/>
      <c r="K887" s="77"/>
    </row>
    <row r="888">
      <c r="A888" s="74"/>
      <c r="J888" s="76"/>
      <c r="K888" s="77"/>
    </row>
    <row r="889">
      <c r="A889" s="74"/>
      <c r="J889" s="76"/>
      <c r="K889" s="77"/>
    </row>
    <row r="890">
      <c r="A890" s="74"/>
      <c r="J890" s="76"/>
      <c r="K890" s="77"/>
    </row>
    <row r="891">
      <c r="A891" s="74"/>
      <c r="J891" s="76"/>
      <c r="K891" s="77"/>
    </row>
    <row r="892">
      <c r="A892" s="74"/>
      <c r="J892" s="76"/>
      <c r="K892" s="77"/>
    </row>
  </sheetData>
  <conditionalFormatting sqref="I2:I34 I37:I60 I62:I68 I71:I94 I96:I102 I105:I128 I130:I136">
    <cfRule type="containsText" dxfId="0" priority="1" operator="containsText" text="Passed">
      <formula>NOT(ISERROR(SEARCH(("Passed"),(I2))))</formula>
    </cfRule>
  </conditionalFormatting>
  <conditionalFormatting sqref="I2:I34 I37:I60 I62:I68 I71:I94 I96:I102 I105:I128 I130:I136">
    <cfRule type="containsText" dxfId="1" priority="2" operator="containsText" text="Failed">
      <formula>NOT(ISERROR(SEARCH(("Failed"),(I2))))</formula>
    </cfRule>
  </conditionalFormatting>
  <conditionalFormatting sqref="I2:I34 I37:I60 I62:I68 I71:I94 I96:I102 I105:I128 I130:I136">
    <cfRule type="containsText" dxfId="2" priority="3" operator="containsText" text="Blocked">
      <formula>NOT(ISERROR(SEARCH(("Blocked"),(I2))))</formula>
    </cfRule>
  </conditionalFormatting>
  <conditionalFormatting sqref="I2:I34 I37:I60 I62:I68 I71:I94 I96:I102 I105:I128 I130:I136">
    <cfRule type="containsText" dxfId="3" priority="4" operator="containsText" text="Not Started">
      <formula>NOT(ISERROR(SEARCH(("Not Started"),(I2))))</formula>
    </cfRule>
  </conditionalFormatting>
  <conditionalFormatting sqref="I2:I34 I37:I60 I62:I68 I71:I94 I96:I102 I105:I128 I130:I136">
    <cfRule type="containsText" dxfId="4" priority="5" operator="containsText" text="Out of Scope">
      <formula>NOT(ISERROR(SEARCH(("Out of Scope"),(I2))))</formula>
    </cfRule>
  </conditionalFormatting>
  <conditionalFormatting sqref="I2:I34 I37:I60 I62:I68 I71:I94 I96:I102 I105:I128 I130:I136">
    <cfRule type="containsBlanks" dxfId="5" priority="6">
      <formula>LEN(TRIM(I2))=0</formula>
    </cfRule>
  </conditionalFormatting>
  <dataValidations>
    <dataValidation type="list" allowBlank="1" sqref="I3:I26 I28:I34 I37:I60 I62:I68 I71:I94 I96:I102 I105:I128 I130:I136">
      <formula1>"Passed,Failed,Not Started,Blocked,Out of Scope"</formula1>
    </dataValidation>
    <dataValidation type="list" allowBlank="1" showErrorMessage="1" sqref="K3:K26 K28:K34 K37:K60 K62:K68 K71:K94 K96:K102 K105:K128 K130:K136">
      <formula1>"PASS,FAIL"</formula1>
    </dataValidation>
    <dataValidation type="list" allowBlank="1" sqref="H3:H26 H28:H33 H37:H60 H62:H68 H71:H94 H96:H102 H105:H128 H130:H136">
      <formula1>"Chrome,Opera,Firefox,Edge,N/A"</formula1>
    </dataValidation>
  </dataValidations>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topLeftCell="D1" activePane="topRight" state="frozen"/>
      <selection activeCell="E2" sqref="E2" pane="topRight"/>
    </sheetView>
  </sheetViews>
  <sheetFormatPr customHeight="1" defaultColWidth="12.63" defaultRowHeight="15.0"/>
  <cols>
    <col customWidth="1" min="1" max="1" width="12.5"/>
    <col customWidth="1" min="2" max="2" width="7.25"/>
    <col customWidth="1" min="3" max="3" width="23.38"/>
    <col customWidth="1" min="4" max="4" width="24.63"/>
    <col customWidth="1" min="5" max="5" width="27.63"/>
    <col customWidth="1" min="6" max="6" width="74.13"/>
    <col customWidth="1" min="7" max="7" width="39.38"/>
    <col customWidth="1" min="8" max="8" width="24.88"/>
    <col customWidth="1" min="9" max="9" width="19.5"/>
    <col customWidth="1" min="10" max="10" width="38.88"/>
    <col customWidth="1" min="11" max="14" width="17.38"/>
  </cols>
  <sheetData>
    <row r="1" ht="15.75" customHeight="1">
      <c r="A1" s="78" t="s">
        <v>194</v>
      </c>
      <c r="B1" s="79" t="s">
        <v>18</v>
      </c>
      <c r="C1" s="79" t="s">
        <v>19</v>
      </c>
      <c r="D1" s="79" t="s">
        <v>20</v>
      </c>
      <c r="E1" s="79" t="s">
        <v>21</v>
      </c>
      <c r="F1" s="79" t="s">
        <v>22</v>
      </c>
      <c r="G1" s="79" t="s">
        <v>23</v>
      </c>
      <c r="H1" s="79" t="s">
        <v>24</v>
      </c>
      <c r="I1" s="79" t="s">
        <v>25</v>
      </c>
      <c r="J1" s="79" t="s">
        <v>26</v>
      </c>
      <c r="K1" s="79"/>
      <c r="L1" s="80" t="s">
        <v>27</v>
      </c>
      <c r="M1" s="81"/>
      <c r="N1" s="82"/>
    </row>
    <row r="2">
      <c r="A2" s="83"/>
      <c r="B2" s="84"/>
      <c r="C2" s="83"/>
      <c r="D2" s="83"/>
      <c r="E2" s="83"/>
      <c r="F2" s="85" t="s">
        <v>35</v>
      </c>
      <c r="G2" s="83"/>
      <c r="H2" s="84"/>
      <c r="I2" s="83"/>
      <c r="J2" s="84"/>
      <c r="K2" s="86"/>
      <c r="L2" s="87"/>
      <c r="M2" s="88"/>
      <c r="N2" s="89"/>
    </row>
    <row r="3" ht="48.75" customHeight="1">
      <c r="A3" s="90" t="s">
        <v>195</v>
      </c>
      <c r="B3" s="91" t="s">
        <v>196</v>
      </c>
      <c r="C3" s="92" t="s">
        <v>197</v>
      </c>
      <c r="D3" s="93" t="s">
        <v>198</v>
      </c>
      <c r="E3" s="93" t="s">
        <v>199</v>
      </c>
      <c r="F3" s="93" t="s">
        <v>200</v>
      </c>
      <c r="G3" s="90" t="s">
        <v>201</v>
      </c>
      <c r="H3" s="91" t="s">
        <v>35</v>
      </c>
      <c r="I3" s="94" t="s">
        <v>36</v>
      </c>
      <c r="J3" s="95"/>
      <c r="K3" s="95"/>
      <c r="L3" s="96" t="s">
        <v>36</v>
      </c>
      <c r="M3" s="97"/>
      <c r="N3" s="98"/>
    </row>
    <row r="4" ht="50.25" customHeight="1">
      <c r="A4" s="90" t="s">
        <v>195</v>
      </c>
      <c r="B4" s="91" t="s">
        <v>202</v>
      </c>
      <c r="C4" s="92" t="s">
        <v>203</v>
      </c>
      <c r="D4" s="93" t="s">
        <v>204</v>
      </c>
      <c r="E4" s="93" t="s">
        <v>199</v>
      </c>
      <c r="F4" s="93" t="s">
        <v>200</v>
      </c>
      <c r="G4" s="90" t="s">
        <v>205</v>
      </c>
      <c r="H4" s="91" t="s">
        <v>35</v>
      </c>
      <c r="I4" s="99" t="s">
        <v>111</v>
      </c>
      <c r="J4" s="93" t="s">
        <v>206</v>
      </c>
      <c r="K4" s="95"/>
      <c r="L4" s="96" t="s">
        <v>36</v>
      </c>
      <c r="M4" s="97"/>
      <c r="N4" s="98"/>
    </row>
    <row r="5" ht="54.0" customHeight="1">
      <c r="A5" s="90" t="s">
        <v>195</v>
      </c>
      <c r="B5" s="91" t="s">
        <v>207</v>
      </c>
      <c r="C5" s="91" t="s">
        <v>208</v>
      </c>
      <c r="D5" s="95" t="s">
        <v>209</v>
      </c>
      <c r="E5" s="93" t="s">
        <v>210</v>
      </c>
      <c r="F5" s="93" t="s">
        <v>211</v>
      </c>
      <c r="G5" s="90" t="s">
        <v>212</v>
      </c>
      <c r="H5" s="91" t="s">
        <v>35</v>
      </c>
      <c r="I5" s="94" t="s">
        <v>36</v>
      </c>
      <c r="J5" s="95"/>
      <c r="K5" s="95"/>
      <c r="L5" s="96" t="s">
        <v>36</v>
      </c>
      <c r="M5" s="97"/>
      <c r="N5" s="98"/>
    </row>
    <row r="6">
      <c r="A6" s="90" t="s">
        <v>195</v>
      </c>
      <c r="B6" s="91" t="s">
        <v>213</v>
      </c>
      <c r="C6" s="91" t="s">
        <v>214</v>
      </c>
      <c r="D6" s="95" t="s">
        <v>209</v>
      </c>
      <c r="E6" s="93" t="s">
        <v>215</v>
      </c>
      <c r="F6" s="93" t="s">
        <v>211</v>
      </c>
      <c r="G6" s="90" t="s">
        <v>216</v>
      </c>
      <c r="H6" s="91" t="s">
        <v>35</v>
      </c>
      <c r="I6" s="99" t="s">
        <v>111</v>
      </c>
      <c r="J6" s="93" t="s">
        <v>217</v>
      </c>
      <c r="K6" s="95"/>
      <c r="L6" s="96" t="s">
        <v>36</v>
      </c>
      <c r="M6" s="97"/>
      <c r="N6" s="98"/>
    </row>
    <row r="7">
      <c r="A7" s="90" t="s">
        <v>195</v>
      </c>
      <c r="B7" s="91" t="s">
        <v>218</v>
      </c>
      <c r="C7" s="92" t="s">
        <v>219</v>
      </c>
      <c r="D7" s="93" t="s">
        <v>220</v>
      </c>
      <c r="E7" s="93" t="s">
        <v>215</v>
      </c>
      <c r="F7" s="93" t="s">
        <v>211</v>
      </c>
      <c r="G7" s="93" t="s">
        <v>221</v>
      </c>
      <c r="H7" s="91" t="s">
        <v>35</v>
      </c>
      <c r="I7" s="94" t="s">
        <v>36</v>
      </c>
      <c r="J7" s="95"/>
      <c r="K7" s="95"/>
      <c r="L7" s="96" t="s">
        <v>36</v>
      </c>
      <c r="M7" s="97"/>
      <c r="N7" s="98"/>
    </row>
    <row r="8">
      <c r="A8" s="90" t="s">
        <v>195</v>
      </c>
      <c r="B8" s="91" t="s">
        <v>222</v>
      </c>
      <c r="C8" s="92" t="s">
        <v>223</v>
      </c>
      <c r="D8" s="93" t="s">
        <v>224</v>
      </c>
      <c r="E8" s="93" t="s">
        <v>215</v>
      </c>
      <c r="F8" s="93" t="s">
        <v>225</v>
      </c>
      <c r="G8" s="93" t="s">
        <v>226</v>
      </c>
      <c r="H8" s="91" t="s">
        <v>35</v>
      </c>
      <c r="I8" s="94" t="s">
        <v>36</v>
      </c>
      <c r="J8" s="95"/>
      <c r="K8" s="95"/>
      <c r="L8" s="96" t="s">
        <v>36</v>
      </c>
      <c r="M8" s="97"/>
      <c r="N8" s="98"/>
    </row>
    <row r="9">
      <c r="A9" s="90" t="s">
        <v>195</v>
      </c>
      <c r="B9" s="91" t="s">
        <v>227</v>
      </c>
      <c r="C9" s="92" t="s">
        <v>228</v>
      </c>
      <c r="D9" s="93" t="s">
        <v>229</v>
      </c>
      <c r="E9" s="93" t="s">
        <v>215</v>
      </c>
      <c r="F9" s="93" t="s">
        <v>230</v>
      </c>
      <c r="G9" s="93" t="s">
        <v>231</v>
      </c>
      <c r="H9" s="91" t="s">
        <v>35</v>
      </c>
      <c r="I9" s="94" t="s">
        <v>36</v>
      </c>
      <c r="J9" s="95"/>
      <c r="K9" s="95"/>
      <c r="L9" s="96" t="s">
        <v>36</v>
      </c>
      <c r="M9" s="97"/>
      <c r="N9" s="98"/>
    </row>
    <row r="10">
      <c r="A10" s="90" t="s">
        <v>195</v>
      </c>
      <c r="B10" s="91" t="s">
        <v>232</v>
      </c>
      <c r="C10" s="92" t="s">
        <v>233</v>
      </c>
      <c r="D10" s="93" t="s">
        <v>234</v>
      </c>
      <c r="E10" s="93" t="s">
        <v>235</v>
      </c>
      <c r="F10" s="100" t="s">
        <v>236</v>
      </c>
      <c r="G10" s="93" t="s">
        <v>237</v>
      </c>
      <c r="H10" s="91" t="s">
        <v>35</v>
      </c>
      <c r="I10" s="94" t="s">
        <v>36</v>
      </c>
      <c r="J10" s="95"/>
      <c r="K10" s="95"/>
      <c r="L10" s="96" t="s">
        <v>36</v>
      </c>
      <c r="M10" s="97"/>
      <c r="N10" s="98"/>
    </row>
    <row r="11">
      <c r="A11" s="90" t="s">
        <v>195</v>
      </c>
      <c r="B11" s="91" t="s">
        <v>238</v>
      </c>
      <c r="C11" s="101" t="s">
        <v>239</v>
      </c>
      <c r="D11" s="101" t="s">
        <v>240</v>
      </c>
      <c r="E11" s="93" t="s">
        <v>241</v>
      </c>
      <c r="F11" s="93" t="s">
        <v>200</v>
      </c>
      <c r="G11" s="90" t="s">
        <v>242</v>
      </c>
      <c r="H11" s="91" t="s">
        <v>35</v>
      </c>
      <c r="I11" s="94" t="s">
        <v>36</v>
      </c>
      <c r="J11" s="95"/>
      <c r="K11" s="95"/>
      <c r="L11" s="96" t="s">
        <v>36</v>
      </c>
      <c r="M11" s="97"/>
      <c r="N11" s="98"/>
    </row>
    <row r="12">
      <c r="A12" s="90" t="s">
        <v>195</v>
      </c>
      <c r="B12" s="91" t="s">
        <v>243</v>
      </c>
      <c r="C12" s="101" t="s">
        <v>244</v>
      </c>
      <c r="D12" s="101" t="s">
        <v>245</v>
      </c>
      <c r="E12" s="93" t="s">
        <v>241</v>
      </c>
      <c r="F12" s="93" t="s">
        <v>200</v>
      </c>
      <c r="G12" s="93" t="s">
        <v>246</v>
      </c>
      <c r="H12" s="91" t="s">
        <v>35</v>
      </c>
      <c r="I12" s="94" t="s">
        <v>36</v>
      </c>
      <c r="J12" s="95"/>
      <c r="K12" s="95"/>
      <c r="L12" s="96" t="s">
        <v>36</v>
      </c>
      <c r="M12" s="97"/>
      <c r="N12" s="98"/>
    </row>
    <row r="13">
      <c r="A13" s="90" t="s">
        <v>195</v>
      </c>
      <c r="B13" s="91" t="s">
        <v>247</v>
      </c>
      <c r="C13" s="101" t="s">
        <v>248</v>
      </c>
      <c r="D13" s="93" t="s">
        <v>224</v>
      </c>
      <c r="E13" s="93" t="s">
        <v>215</v>
      </c>
      <c r="F13" s="93" t="s">
        <v>200</v>
      </c>
      <c r="G13" s="93" t="s">
        <v>226</v>
      </c>
      <c r="H13" s="91" t="s">
        <v>35</v>
      </c>
      <c r="I13" s="94" t="s">
        <v>36</v>
      </c>
      <c r="J13" s="95"/>
      <c r="K13" s="95"/>
      <c r="L13" s="96" t="s">
        <v>36</v>
      </c>
      <c r="M13" s="97"/>
      <c r="N13" s="98"/>
    </row>
    <row r="14">
      <c r="A14" s="90" t="s">
        <v>195</v>
      </c>
      <c r="B14" s="91" t="s">
        <v>249</v>
      </c>
      <c r="C14" s="101" t="s">
        <v>250</v>
      </c>
      <c r="D14" s="93" t="s">
        <v>229</v>
      </c>
      <c r="E14" s="93" t="s">
        <v>215</v>
      </c>
      <c r="F14" s="93" t="s">
        <v>230</v>
      </c>
      <c r="G14" s="93" t="s">
        <v>231</v>
      </c>
      <c r="H14" s="91" t="s">
        <v>35</v>
      </c>
      <c r="I14" s="94" t="s">
        <v>36</v>
      </c>
      <c r="J14" s="95"/>
      <c r="K14" s="95"/>
      <c r="L14" s="96" t="s">
        <v>36</v>
      </c>
      <c r="M14" s="97"/>
      <c r="N14" s="98"/>
    </row>
    <row r="15">
      <c r="A15" s="90" t="s">
        <v>195</v>
      </c>
      <c r="B15" s="91" t="s">
        <v>251</v>
      </c>
      <c r="C15" s="92" t="s">
        <v>252</v>
      </c>
      <c r="D15" s="101" t="s">
        <v>253</v>
      </c>
      <c r="E15" s="93" t="s">
        <v>215</v>
      </c>
      <c r="F15" s="93" t="s">
        <v>254</v>
      </c>
      <c r="G15" s="90" t="s">
        <v>255</v>
      </c>
      <c r="H15" s="91" t="s">
        <v>35</v>
      </c>
      <c r="I15" s="94" t="s">
        <v>36</v>
      </c>
      <c r="J15" s="95"/>
      <c r="K15" s="95"/>
      <c r="L15" s="96" t="s">
        <v>36</v>
      </c>
      <c r="M15" s="97"/>
      <c r="N15" s="98"/>
    </row>
    <row r="16">
      <c r="A16" s="90" t="s">
        <v>195</v>
      </c>
      <c r="B16" s="91" t="s">
        <v>256</v>
      </c>
      <c r="C16" s="92" t="s">
        <v>257</v>
      </c>
      <c r="D16" s="101" t="s">
        <v>258</v>
      </c>
      <c r="E16" s="93" t="s">
        <v>215</v>
      </c>
      <c r="F16" s="93" t="s">
        <v>259</v>
      </c>
      <c r="G16" s="90" t="s">
        <v>260</v>
      </c>
      <c r="H16" s="91" t="s">
        <v>35</v>
      </c>
      <c r="I16" s="94" t="s">
        <v>36</v>
      </c>
      <c r="J16" s="95"/>
      <c r="K16" s="95"/>
      <c r="L16" s="96" t="s">
        <v>36</v>
      </c>
      <c r="M16" s="97"/>
      <c r="N16" s="98"/>
    </row>
    <row r="17">
      <c r="A17" s="90" t="s">
        <v>195</v>
      </c>
      <c r="B17" s="91" t="s">
        <v>261</v>
      </c>
      <c r="C17" s="92" t="s">
        <v>262</v>
      </c>
      <c r="D17" s="101" t="s">
        <v>263</v>
      </c>
      <c r="E17" s="93" t="s">
        <v>215</v>
      </c>
      <c r="F17" s="93" t="s">
        <v>264</v>
      </c>
      <c r="G17" s="90" t="s">
        <v>265</v>
      </c>
      <c r="H17" s="91" t="s">
        <v>35</v>
      </c>
      <c r="I17" s="94" t="s">
        <v>36</v>
      </c>
      <c r="J17" s="95"/>
      <c r="K17" s="95"/>
      <c r="L17" s="96" t="s">
        <v>36</v>
      </c>
      <c r="M17" s="97"/>
      <c r="N17" s="98"/>
    </row>
    <row r="18">
      <c r="A18" s="90" t="s">
        <v>195</v>
      </c>
      <c r="B18" s="91" t="s">
        <v>266</v>
      </c>
      <c r="C18" s="92" t="s">
        <v>262</v>
      </c>
      <c r="D18" s="101" t="s">
        <v>267</v>
      </c>
      <c r="E18" s="93" t="s">
        <v>215</v>
      </c>
      <c r="F18" s="93" t="s">
        <v>268</v>
      </c>
      <c r="G18" s="90" t="s">
        <v>269</v>
      </c>
      <c r="H18" s="91" t="s">
        <v>35</v>
      </c>
      <c r="I18" s="94" t="s">
        <v>36</v>
      </c>
      <c r="J18" s="102"/>
      <c r="K18" s="95"/>
      <c r="L18" s="96" t="s">
        <v>36</v>
      </c>
      <c r="M18" s="97"/>
      <c r="N18" s="98"/>
    </row>
    <row r="19">
      <c r="A19" s="90" t="s">
        <v>195</v>
      </c>
      <c r="B19" s="91" t="s">
        <v>270</v>
      </c>
      <c r="C19" s="90" t="s">
        <v>271</v>
      </c>
      <c r="D19" s="90" t="s">
        <v>272</v>
      </c>
      <c r="E19" s="90" t="s">
        <v>273</v>
      </c>
      <c r="F19" s="90" t="s">
        <v>274</v>
      </c>
      <c r="G19" s="90" t="s">
        <v>275</v>
      </c>
      <c r="H19" s="92" t="s">
        <v>35</v>
      </c>
      <c r="I19" s="94" t="s">
        <v>36</v>
      </c>
      <c r="J19" s="103"/>
      <c r="K19" s="95"/>
      <c r="L19" s="96" t="s">
        <v>36</v>
      </c>
      <c r="M19" s="97"/>
      <c r="N19" s="98"/>
    </row>
    <row r="20">
      <c r="A20" s="90" t="s">
        <v>195</v>
      </c>
      <c r="B20" s="91" t="s">
        <v>276</v>
      </c>
      <c r="C20" s="92" t="s">
        <v>277</v>
      </c>
      <c r="D20" s="93" t="s">
        <v>278</v>
      </c>
      <c r="E20" s="93" t="s">
        <v>215</v>
      </c>
      <c r="F20" s="93" t="s">
        <v>279</v>
      </c>
      <c r="G20" s="93" t="s">
        <v>280</v>
      </c>
      <c r="H20" s="91" t="s">
        <v>35</v>
      </c>
      <c r="I20" s="94" t="s">
        <v>36</v>
      </c>
      <c r="J20" s="93"/>
      <c r="K20" s="95"/>
      <c r="L20" s="96" t="s">
        <v>36</v>
      </c>
      <c r="M20" s="97"/>
      <c r="N20" s="98"/>
    </row>
    <row r="21">
      <c r="A21" s="90" t="s">
        <v>195</v>
      </c>
      <c r="B21" s="91" t="s">
        <v>281</v>
      </c>
      <c r="C21" s="90" t="s">
        <v>282</v>
      </c>
      <c r="D21" s="90" t="s">
        <v>283</v>
      </c>
      <c r="E21" s="90" t="s">
        <v>284</v>
      </c>
      <c r="F21" s="90" t="s">
        <v>285</v>
      </c>
      <c r="G21" s="90" t="s">
        <v>286</v>
      </c>
      <c r="H21" s="91" t="s">
        <v>35</v>
      </c>
      <c r="I21" s="94" t="s">
        <v>36</v>
      </c>
      <c r="J21" s="103"/>
      <c r="K21" s="95"/>
      <c r="L21" s="96" t="s">
        <v>36</v>
      </c>
      <c r="M21" s="97"/>
      <c r="N21" s="98"/>
    </row>
    <row r="22">
      <c r="A22" s="90" t="s">
        <v>195</v>
      </c>
      <c r="B22" s="91" t="s">
        <v>287</v>
      </c>
      <c r="C22" s="90" t="s">
        <v>288</v>
      </c>
      <c r="D22" s="90" t="s">
        <v>289</v>
      </c>
      <c r="E22" s="90" t="s">
        <v>290</v>
      </c>
      <c r="F22" s="90" t="s">
        <v>274</v>
      </c>
      <c r="G22" s="90" t="s">
        <v>291</v>
      </c>
      <c r="H22" s="91" t="s">
        <v>35</v>
      </c>
      <c r="I22" s="94" t="s">
        <v>36</v>
      </c>
      <c r="J22" s="104"/>
      <c r="K22" s="95"/>
      <c r="L22" s="96" t="s">
        <v>36</v>
      </c>
      <c r="M22" s="97"/>
      <c r="N22" s="98"/>
    </row>
    <row r="23">
      <c r="A23" s="90" t="s">
        <v>195</v>
      </c>
      <c r="B23" s="91" t="s">
        <v>292</v>
      </c>
      <c r="C23" s="105" t="s">
        <v>293</v>
      </c>
      <c r="D23" s="105" t="s">
        <v>294</v>
      </c>
      <c r="E23" s="90" t="s">
        <v>284</v>
      </c>
      <c r="F23" s="90" t="s">
        <v>295</v>
      </c>
      <c r="G23" s="90" t="s">
        <v>296</v>
      </c>
      <c r="H23" s="91" t="s">
        <v>35</v>
      </c>
      <c r="I23" s="94" t="s">
        <v>36</v>
      </c>
      <c r="J23" s="104"/>
      <c r="K23" s="95"/>
      <c r="L23" s="96" t="s">
        <v>36</v>
      </c>
      <c r="M23" s="97"/>
      <c r="N23" s="98"/>
    </row>
    <row r="24">
      <c r="A24" s="90" t="s">
        <v>195</v>
      </c>
      <c r="B24" s="91" t="s">
        <v>297</v>
      </c>
      <c r="C24" s="105" t="s">
        <v>298</v>
      </c>
      <c r="D24" s="90" t="s">
        <v>299</v>
      </c>
      <c r="E24" s="90" t="s">
        <v>300</v>
      </c>
      <c r="F24" s="90" t="s">
        <v>301</v>
      </c>
      <c r="G24" s="90" t="s">
        <v>302</v>
      </c>
      <c r="H24" s="91" t="s">
        <v>35</v>
      </c>
      <c r="I24" s="94" t="s">
        <v>36</v>
      </c>
      <c r="J24" s="104"/>
      <c r="K24" s="95"/>
      <c r="L24" s="96" t="s">
        <v>36</v>
      </c>
      <c r="M24" s="97"/>
      <c r="N24" s="98"/>
    </row>
    <row r="25">
      <c r="A25" s="90" t="s">
        <v>195</v>
      </c>
      <c r="B25" s="91" t="s">
        <v>303</v>
      </c>
      <c r="C25" s="90" t="s">
        <v>304</v>
      </c>
      <c r="D25" s="90" t="s">
        <v>305</v>
      </c>
      <c r="E25" s="90" t="s">
        <v>284</v>
      </c>
      <c r="F25" s="90" t="s">
        <v>306</v>
      </c>
      <c r="G25" s="90" t="s">
        <v>307</v>
      </c>
      <c r="H25" s="91" t="s">
        <v>35</v>
      </c>
      <c r="I25" s="94" t="s">
        <v>36</v>
      </c>
      <c r="J25" s="103"/>
      <c r="K25" s="95"/>
      <c r="L25" s="96" t="s">
        <v>36</v>
      </c>
      <c r="M25" s="97"/>
      <c r="N25" s="98"/>
    </row>
    <row r="26">
      <c r="A26" s="90" t="s">
        <v>195</v>
      </c>
      <c r="B26" s="91" t="s">
        <v>308</v>
      </c>
      <c r="C26" s="90" t="s">
        <v>309</v>
      </c>
      <c r="D26" s="90" t="s">
        <v>310</v>
      </c>
      <c r="E26" s="90" t="s">
        <v>284</v>
      </c>
      <c r="F26" s="90" t="s">
        <v>311</v>
      </c>
      <c r="G26" s="90" t="s">
        <v>312</v>
      </c>
      <c r="H26" s="91" t="s">
        <v>35</v>
      </c>
      <c r="I26" s="94" t="s">
        <v>36</v>
      </c>
      <c r="J26" s="104"/>
      <c r="K26" s="95"/>
      <c r="L26" s="96" t="s">
        <v>36</v>
      </c>
      <c r="M26" s="97"/>
      <c r="N26" s="98"/>
    </row>
    <row r="27">
      <c r="A27" s="90" t="s">
        <v>195</v>
      </c>
      <c r="B27" s="91" t="s">
        <v>313</v>
      </c>
      <c r="C27" s="90" t="s">
        <v>314</v>
      </c>
      <c r="D27" s="90" t="s">
        <v>315</v>
      </c>
      <c r="E27" s="90" t="s">
        <v>316</v>
      </c>
      <c r="F27" s="90" t="s">
        <v>317</v>
      </c>
      <c r="G27" s="90" t="s">
        <v>318</v>
      </c>
      <c r="H27" s="91" t="s">
        <v>35</v>
      </c>
      <c r="I27" s="94" t="s">
        <v>36</v>
      </c>
      <c r="J27" s="104"/>
      <c r="K27" s="95"/>
      <c r="L27" s="96" t="s">
        <v>36</v>
      </c>
      <c r="M27" s="97"/>
      <c r="N27" s="98"/>
    </row>
    <row r="28">
      <c r="A28" s="92" t="s">
        <v>319</v>
      </c>
      <c r="B28" s="91" t="s">
        <v>320</v>
      </c>
      <c r="C28" s="92" t="s">
        <v>197</v>
      </c>
      <c r="D28" s="93" t="s">
        <v>198</v>
      </c>
      <c r="E28" s="93" t="s">
        <v>199</v>
      </c>
      <c r="F28" s="93" t="s">
        <v>200</v>
      </c>
      <c r="G28" s="90" t="s">
        <v>201</v>
      </c>
      <c r="H28" s="91" t="s">
        <v>35</v>
      </c>
      <c r="I28" s="99" t="s">
        <v>111</v>
      </c>
      <c r="J28" s="95" t="s">
        <v>321</v>
      </c>
      <c r="K28" s="95"/>
      <c r="L28" s="96" t="s">
        <v>111</v>
      </c>
      <c r="M28" s="97"/>
      <c r="N28" s="98"/>
    </row>
    <row r="29">
      <c r="A29" s="90" t="s">
        <v>322</v>
      </c>
      <c r="B29" s="91" t="s">
        <v>323</v>
      </c>
      <c r="C29" s="92" t="s">
        <v>197</v>
      </c>
      <c r="D29" s="93" t="s">
        <v>198</v>
      </c>
      <c r="E29" s="93" t="s">
        <v>199</v>
      </c>
      <c r="F29" s="93" t="s">
        <v>200</v>
      </c>
      <c r="G29" s="90" t="s">
        <v>201</v>
      </c>
      <c r="H29" s="91" t="s">
        <v>35</v>
      </c>
      <c r="I29" s="106" t="s">
        <v>36</v>
      </c>
      <c r="J29" s="93"/>
      <c r="K29" s="95"/>
      <c r="L29" s="96" t="s">
        <v>36</v>
      </c>
      <c r="M29" s="97"/>
      <c r="N29" s="98"/>
    </row>
    <row r="30">
      <c r="A30" s="90" t="s">
        <v>322</v>
      </c>
      <c r="B30" s="91" t="s">
        <v>324</v>
      </c>
      <c r="C30" s="92" t="s">
        <v>203</v>
      </c>
      <c r="D30" s="93" t="s">
        <v>204</v>
      </c>
      <c r="E30" s="93" t="s">
        <v>199</v>
      </c>
      <c r="F30" s="93" t="s">
        <v>200</v>
      </c>
      <c r="G30" s="90" t="s">
        <v>205</v>
      </c>
      <c r="H30" s="92" t="s">
        <v>35</v>
      </c>
      <c r="I30" s="107" t="s">
        <v>111</v>
      </c>
      <c r="J30" s="105" t="s">
        <v>206</v>
      </c>
      <c r="K30" s="95"/>
      <c r="L30" s="96" t="s">
        <v>36</v>
      </c>
      <c r="M30" s="97"/>
      <c r="N30" s="98"/>
    </row>
    <row r="31">
      <c r="A31" s="90" t="s">
        <v>322</v>
      </c>
      <c r="B31" s="91" t="s">
        <v>325</v>
      </c>
      <c r="C31" s="92" t="s">
        <v>208</v>
      </c>
      <c r="D31" s="93" t="s">
        <v>209</v>
      </c>
      <c r="E31" s="93" t="s">
        <v>210</v>
      </c>
      <c r="F31" s="93" t="s">
        <v>211</v>
      </c>
      <c r="G31" s="90" t="s">
        <v>212</v>
      </c>
      <c r="H31" s="91" t="s">
        <v>35</v>
      </c>
      <c r="I31" s="107" t="s">
        <v>111</v>
      </c>
      <c r="J31" s="90" t="s">
        <v>326</v>
      </c>
      <c r="K31" s="95"/>
      <c r="L31" s="96" t="s">
        <v>111</v>
      </c>
      <c r="M31" s="97"/>
      <c r="N31" s="98"/>
    </row>
    <row r="32">
      <c r="A32" s="90" t="s">
        <v>322</v>
      </c>
      <c r="B32" s="91" t="s">
        <v>327</v>
      </c>
      <c r="C32" s="92" t="s">
        <v>214</v>
      </c>
      <c r="D32" s="93" t="s">
        <v>209</v>
      </c>
      <c r="E32" s="93" t="s">
        <v>215</v>
      </c>
      <c r="F32" s="93" t="s">
        <v>211</v>
      </c>
      <c r="G32" s="90" t="s">
        <v>216</v>
      </c>
      <c r="H32" s="91" t="s">
        <v>35</v>
      </c>
      <c r="I32" s="107" t="s">
        <v>111</v>
      </c>
      <c r="J32" s="90" t="s">
        <v>217</v>
      </c>
      <c r="K32" s="95"/>
      <c r="L32" s="96" t="s">
        <v>36</v>
      </c>
      <c r="M32" s="97"/>
      <c r="N32" s="98"/>
    </row>
    <row r="33">
      <c r="A33" s="90" t="s">
        <v>322</v>
      </c>
      <c r="B33" s="91" t="s">
        <v>328</v>
      </c>
      <c r="C33" s="92" t="s">
        <v>219</v>
      </c>
      <c r="D33" s="93" t="s">
        <v>220</v>
      </c>
      <c r="E33" s="93" t="s">
        <v>215</v>
      </c>
      <c r="F33" s="93" t="s">
        <v>211</v>
      </c>
      <c r="G33" s="93" t="s">
        <v>221</v>
      </c>
      <c r="H33" s="91" t="s">
        <v>35</v>
      </c>
      <c r="I33" s="106" t="s">
        <v>36</v>
      </c>
      <c r="J33" s="93"/>
      <c r="K33" s="95"/>
      <c r="L33" s="96" t="s">
        <v>36</v>
      </c>
      <c r="M33" s="97"/>
      <c r="N33" s="98"/>
    </row>
    <row r="34">
      <c r="A34" s="90" t="s">
        <v>322</v>
      </c>
      <c r="B34" s="91" t="s">
        <v>329</v>
      </c>
      <c r="C34" s="92" t="s">
        <v>223</v>
      </c>
      <c r="D34" s="93" t="s">
        <v>224</v>
      </c>
      <c r="E34" s="93" t="s">
        <v>215</v>
      </c>
      <c r="F34" s="93" t="s">
        <v>225</v>
      </c>
      <c r="G34" s="93" t="s">
        <v>226</v>
      </c>
      <c r="H34" s="91" t="s">
        <v>35</v>
      </c>
      <c r="I34" s="107" t="s">
        <v>111</v>
      </c>
      <c r="J34" s="105" t="s">
        <v>330</v>
      </c>
      <c r="K34" s="95"/>
      <c r="L34" s="96" t="s">
        <v>111</v>
      </c>
      <c r="M34" s="97"/>
      <c r="N34" s="98"/>
    </row>
    <row r="35">
      <c r="A35" s="90" t="s">
        <v>322</v>
      </c>
      <c r="B35" s="91" t="s">
        <v>331</v>
      </c>
      <c r="C35" s="92" t="s">
        <v>228</v>
      </c>
      <c r="D35" s="93" t="s">
        <v>229</v>
      </c>
      <c r="E35" s="93" t="s">
        <v>215</v>
      </c>
      <c r="F35" s="93" t="s">
        <v>230</v>
      </c>
      <c r="G35" s="93" t="s">
        <v>231</v>
      </c>
      <c r="H35" s="91" t="s">
        <v>35</v>
      </c>
      <c r="I35" s="107" t="s">
        <v>111</v>
      </c>
      <c r="J35" s="105" t="s">
        <v>332</v>
      </c>
      <c r="K35" s="95"/>
      <c r="L35" s="96" t="s">
        <v>111</v>
      </c>
      <c r="M35" s="97"/>
      <c r="N35" s="98"/>
    </row>
    <row r="36">
      <c r="A36" s="90" t="s">
        <v>322</v>
      </c>
      <c r="B36" s="91" t="s">
        <v>333</v>
      </c>
      <c r="C36" s="92" t="s">
        <v>233</v>
      </c>
      <c r="D36" s="93" t="s">
        <v>234</v>
      </c>
      <c r="E36" s="93" t="s">
        <v>235</v>
      </c>
      <c r="F36" s="100" t="s">
        <v>236</v>
      </c>
      <c r="G36" s="93" t="s">
        <v>237</v>
      </c>
      <c r="H36" s="91" t="s">
        <v>35</v>
      </c>
      <c r="I36" s="106" t="s">
        <v>36</v>
      </c>
      <c r="J36" s="95"/>
      <c r="K36" s="95"/>
      <c r="L36" s="96" t="s">
        <v>36</v>
      </c>
      <c r="M36" s="97"/>
      <c r="N36" s="98"/>
    </row>
    <row r="37">
      <c r="A37" s="90" t="s">
        <v>322</v>
      </c>
      <c r="B37" s="91" t="s">
        <v>334</v>
      </c>
      <c r="C37" s="101" t="s">
        <v>239</v>
      </c>
      <c r="D37" s="101" t="s">
        <v>240</v>
      </c>
      <c r="E37" s="93" t="s">
        <v>241</v>
      </c>
      <c r="F37" s="93" t="s">
        <v>200</v>
      </c>
      <c r="G37" s="90" t="s">
        <v>242</v>
      </c>
      <c r="H37" s="91" t="s">
        <v>35</v>
      </c>
      <c r="I37" s="107" t="s">
        <v>111</v>
      </c>
      <c r="J37" s="90" t="s">
        <v>335</v>
      </c>
      <c r="K37" s="95"/>
      <c r="L37" s="96" t="s">
        <v>36</v>
      </c>
      <c r="M37" s="97"/>
      <c r="N37" s="98"/>
    </row>
    <row r="38">
      <c r="A38" s="90" t="s">
        <v>322</v>
      </c>
      <c r="B38" s="91" t="s">
        <v>336</v>
      </c>
      <c r="C38" s="101" t="s">
        <v>244</v>
      </c>
      <c r="D38" s="101" t="s">
        <v>245</v>
      </c>
      <c r="E38" s="93" t="s">
        <v>241</v>
      </c>
      <c r="F38" s="93" t="s">
        <v>200</v>
      </c>
      <c r="G38" s="93" t="s">
        <v>246</v>
      </c>
      <c r="H38" s="91" t="s">
        <v>35</v>
      </c>
      <c r="I38" s="106" t="s">
        <v>36</v>
      </c>
      <c r="J38" s="93"/>
      <c r="K38" s="95"/>
      <c r="L38" s="96" t="s">
        <v>36</v>
      </c>
      <c r="M38" s="97"/>
      <c r="N38" s="98"/>
    </row>
    <row r="39">
      <c r="A39" s="90" t="s">
        <v>322</v>
      </c>
      <c r="B39" s="91" t="s">
        <v>337</v>
      </c>
      <c r="C39" s="101" t="s">
        <v>248</v>
      </c>
      <c r="D39" s="93" t="s">
        <v>224</v>
      </c>
      <c r="E39" s="93" t="s">
        <v>215</v>
      </c>
      <c r="F39" s="93" t="s">
        <v>200</v>
      </c>
      <c r="G39" s="93" t="s">
        <v>226</v>
      </c>
      <c r="H39" s="91" t="s">
        <v>35</v>
      </c>
      <c r="I39" s="107" t="s">
        <v>111</v>
      </c>
      <c r="J39" s="105" t="s">
        <v>330</v>
      </c>
      <c r="K39" s="95"/>
      <c r="L39" s="96" t="s">
        <v>111</v>
      </c>
      <c r="M39" s="97"/>
      <c r="N39" s="98"/>
    </row>
    <row r="40">
      <c r="A40" s="90" t="s">
        <v>322</v>
      </c>
      <c r="B40" s="91" t="s">
        <v>338</v>
      </c>
      <c r="C40" s="108" t="s">
        <v>250</v>
      </c>
      <c r="D40" s="95" t="s">
        <v>229</v>
      </c>
      <c r="E40" s="93" t="s">
        <v>215</v>
      </c>
      <c r="F40" s="93" t="s">
        <v>230</v>
      </c>
      <c r="G40" s="93" t="s">
        <v>231</v>
      </c>
      <c r="H40" s="91" t="s">
        <v>35</v>
      </c>
      <c r="I40" s="107" t="s">
        <v>111</v>
      </c>
      <c r="J40" s="105" t="s">
        <v>332</v>
      </c>
      <c r="K40" s="95"/>
      <c r="L40" s="96" t="s">
        <v>111</v>
      </c>
      <c r="M40" s="97"/>
      <c r="N40" s="98"/>
    </row>
    <row r="41">
      <c r="A41" s="90" t="s">
        <v>322</v>
      </c>
      <c r="B41" s="91" t="s">
        <v>339</v>
      </c>
      <c r="C41" s="91" t="s">
        <v>252</v>
      </c>
      <c r="D41" s="101" t="s">
        <v>253</v>
      </c>
      <c r="E41" s="93" t="s">
        <v>215</v>
      </c>
      <c r="F41" s="93" t="s">
        <v>254</v>
      </c>
      <c r="G41" s="90" t="s">
        <v>255</v>
      </c>
      <c r="H41" s="91" t="s">
        <v>35</v>
      </c>
      <c r="I41" s="106" t="s">
        <v>36</v>
      </c>
      <c r="J41" s="105" t="s">
        <v>340</v>
      </c>
      <c r="K41" s="95"/>
      <c r="L41" s="96" t="s">
        <v>36</v>
      </c>
      <c r="M41" s="97"/>
      <c r="N41" s="98"/>
    </row>
    <row r="42">
      <c r="A42" s="90" t="s">
        <v>322</v>
      </c>
      <c r="B42" s="91" t="s">
        <v>341</v>
      </c>
      <c r="C42" s="92" t="s">
        <v>257</v>
      </c>
      <c r="D42" s="101" t="s">
        <v>258</v>
      </c>
      <c r="E42" s="93" t="s">
        <v>215</v>
      </c>
      <c r="F42" s="93" t="s">
        <v>259</v>
      </c>
      <c r="G42" s="90" t="s">
        <v>260</v>
      </c>
      <c r="H42" s="92" t="s">
        <v>35</v>
      </c>
      <c r="I42" s="107" t="s">
        <v>111</v>
      </c>
      <c r="J42" s="109" t="s">
        <v>342</v>
      </c>
      <c r="K42" s="95"/>
      <c r="L42" s="96" t="s">
        <v>111</v>
      </c>
      <c r="M42" s="97"/>
      <c r="N42" s="98"/>
    </row>
    <row r="43">
      <c r="A43" s="90" t="s">
        <v>322</v>
      </c>
      <c r="B43" s="91" t="s">
        <v>343</v>
      </c>
      <c r="C43" s="92" t="s">
        <v>262</v>
      </c>
      <c r="D43" s="101" t="s">
        <v>263</v>
      </c>
      <c r="E43" s="93" t="s">
        <v>215</v>
      </c>
      <c r="F43" s="93" t="s">
        <v>264</v>
      </c>
      <c r="G43" s="90" t="s">
        <v>265</v>
      </c>
      <c r="H43" s="91" t="s">
        <v>35</v>
      </c>
      <c r="I43" s="107" t="s">
        <v>111</v>
      </c>
      <c r="J43" s="109" t="s">
        <v>342</v>
      </c>
      <c r="K43" s="95"/>
      <c r="L43" s="96" t="s">
        <v>344</v>
      </c>
      <c r="M43" s="97"/>
      <c r="N43" s="98"/>
    </row>
    <row r="44">
      <c r="A44" s="90" t="s">
        <v>322</v>
      </c>
      <c r="B44" s="91" t="s">
        <v>345</v>
      </c>
      <c r="C44" s="92" t="s">
        <v>262</v>
      </c>
      <c r="D44" s="101" t="s">
        <v>267</v>
      </c>
      <c r="E44" s="93" t="s">
        <v>215</v>
      </c>
      <c r="F44" s="93" t="s">
        <v>268</v>
      </c>
      <c r="G44" s="90" t="s">
        <v>269</v>
      </c>
      <c r="H44" s="91" t="s">
        <v>35</v>
      </c>
      <c r="I44" s="107" t="s">
        <v>111</v>
      </c>
      <c r="J44" s="109" t="s">
        <v>342</v>
      </c>
      <c r="K44" s="95"/>
      <c r="L44" s="96" t="s">
        <v>111</v>
      </c>
      <c r="M44" s="97"/>
      <c r="N44" s="98"/>
    </row>
    <row r="45">
      <c r="A45" s="90" t="s">
        <v>322</v>
      </c>
      <c r="B45" s="91" t="s">
        <v>346</v>
      </c>
      <c r="C45" s="90" t="s">
        <v>271</v>
      </c>
      <c r="D45" s="90" t="s">
        <v>272</v>
      </c>
      <c r="E45" s="90" t="s">
        <v>273</v>
      </c>
      <c r="F45" s="90" t="s">
        <v>274</v>
      </c>
      <c r="G45" s="90" t="s">
        <v>275</v>
      </c>
      <c r="H45" s="91" t="s">
        <v>35</v>
      </c>
      <c r="I45" s="99" t="s">
        <v>111</v>
      </c>
      <c r="J45" s="110" t="s">
        <v>342</v>
      </c>
      <c r="K45" s="111"/>
      <c r="L45" s="112" t="s">
        <v>111</v>
      </c>
      <c r="M45" s="113"/>
      <c r="N45" s="114"/>
    </row>
    <row r="46">
      <c r="A46" s="90" t="s">
        <v>322</v>
      </c>
      <c r="B46" s="91" t="s">
        <v>347</v>
      </c>
      <c r="C46" s="92" t="s">
        <v>277</v>
      </c>
      <c r="D46" s="93" t="s">
        <v>278</v>
      </c>
      <c r="E46" s="93" t="s">
        <v>215</v>
      </c>
      <c r="F46" s="93" t="s">
        <v>279</v>
      </c>
      <c r="G46" s="93" t="s">
        <v>280</v>
      </c>
      <c r="H46" s="91" t="s">
        <v>35</v>
      </c>
      <c r="I46" s="94" t="s">
        <v>36</v>
      </c>
      <c r="J46" s="95"/>
      <c r="K46" s="95"/>
      <c r="L46" s="96" t="s">
        <v>36</v>
      </c>
      <c r="M46" s="97"/>
      <c r="N46" s="98"/>
    </row>
    <row r="47">
      <c r="A47" s="90" t="s">
        <v>322</v>
      </c>
      <c r="B47" s="91" t="s">
        <v>348</v>
      </c>
      <c r="C47" s="90" t="s">
        <v>282</v>
      </c>
      <c r="D47" s="90" t="s">
        <v>283</v>
      </c>
      <c r="E47" s="90" t="s">
        <v>284</v>
      </c>
      <c r="F47" s="90" t="s">
        <v>285</v>
      </c>
      <c r="G47" s="90" t="s">
        <v>286</v>
      </c>
      <c r="H47" s="91" t="s">
        <v>35</v>
      </c>
      <c r="I47" s="94" t="s">
        <v>36</v>
      </c>
      <c r="J47" s="103"/>
      <c r="K47" s="95"/>
      <c r="L47" s="96" t="s">
        <v>36</v>
      </c>
      <c r="M47" s="97"/>
      <c r="N47" s="98"/>
    </row>
    <row r="48">
      <c r="A48" s="90" t="s">
        <v>322</v>
      </c>
      <c r="B48" s="91" t="s">
        <v>349</v>
      </c>
      <c r="C48" s="90" t="s">
        <v>288</v>
      </c>
      <c r="D48" s="90" t="s">
        <v>289</v>
      </c>
      <c r="E48" s="90" t="s">
        <v>290</v>
      </c>
      <c r="F48" s="90" t="s">
        <v>274</v>
      </c>
      <c r="G48" s="90" t="s">
        <v>291</v>
      </c>
      <c r="H48" s="91" t="s">
        <v>35</v>
      </c>
      <c r="I48" s="94" t="s">
        <v>36</v>
      </c>
      <c r="J48" s="103"/>
      <c r="K48" s="95"/>
      <c r="L48" s="96" t="s">
        <v>36</v>
      </c>
      <c r="M48" s="97"/>
      <c r="N48" s="98"/>
    </row>
    <row r="49">
      <c r="A49" s="90" t="s">
        <v>322</v>
      </c>
      <c r="B49" s="91" t="s">
        <v>350</v>
      </c>
      <c r="C49" s="90" t="s">
        <v>293</v>
      </c>
      <c r="D49" s="90" t="s">
        <v>294</v>
      </c>
      <c r="E49" s="90" t="s">
        <v>284</v>
      </c>
      <c r="F49" s="90" t="s">
        <v>295</v>
      </c>
      <c r="G49" s="90" t="s">
        <v>296</v>
      </c>
      <c r="H49" s="91" t="s">
        <v>35</v>
      </c>
      <c r="I49" s="94" t="s">
        <v>36</v>
      </c>
      <c r="J49" s="103"/>
      <c r="K49" s="95"/>
      <c r="L49" s="96" t="s">
        <v>36</v>
      </c>
      <c r="M49" s="97"/>
      <c r="N49" s="98"/>
    </row>
    <row r="50">
      <c r="A50" s="90" t="s">
        <v>322</v>
      </c>
      <c r="B50" s="91" t="s">
        <v>351</v>
      </c>
      <c r="C50" s="90" t="s">
        <v>298</v>
      </c>
      <c r="D50" s="90" t="s">
        <v>299</v>
      </c>
      <c r="E50" s="90" t="s">
        <v>300</v>
      </c>
      <c r="F50" s="90" t="s">
        <v>301</v>
      </c>
      <c r="G50" s="90" t="s">
        <v>302</v>
      </c>
      <c r="H50" s="91" t="s">
        <v>35</v>
      </c>
      <c r="I50" s="94" t="s">
        <v>36</v>
      </c>
      <c r="J50" s="104"/>
      <c r="K50" s="95"/>
      <c r="L50" s="96" t="s">
        <v>36</v>
      </c>
      <c r="M50" s="97"/>
      <c r="N50" s="98"/>
    </row>
    <row r="51">
      <c r="A51" s="90" t="s">
        <v>322</v>
      </c>
      <c r="B51" s="91" t="s">
        <v>352</v>
      </c>
      <c r="C51" s="90" t="s">
        <v>304</v>
      </c>
      <c r="D51" s="90" t="s">
        <v>305</v>
      </c>
      <c r="E51" s="90" t="s">
        <v>284</v>
      </c>
      <c r="F51" s="90" t="s">
        <v>306</v>
      </c>
      <c r="G51" s="90" t="s">
        <v>307</v>
      </c>
      <c r="H51" s="91" t="s">
        <v>35</v>
      </c>
      <c r="I51" s="94" t="s">
        <v>36</v>
      </c>
      <c r="J51" s="104"/>
      <c r="K51" s="95"/>
      <c r="L51" s="96" t="s">
        <v>36</v>
      </c>
      <c r="M51" s="97"/>
      <c r="N51" s="98"/>
    </row>
    <row r="52">
      <c r="A52" s="90" t="s">
        <v>322</v>
      </c>
      <c r="B52" s="91" t="s">
        <v>353</v>
      </c>
      <c r="C52" s="90" t="s">
        <v>309</v>
      </c>
      <c r="D52" s="90" t="s">
        <v>310</v>
      </c>
      <c r="E52" s="90" t="s">
        <v>284</v>
      </c>
      <c r="F52" s="90" t="s">
        <v>311</v>
      </c>
      <c r="G52" s="90" t="s">
        <v>312</v>
      </c>
      <c r="H52" s="91" t="s">
        <v>35</v>
      </c>
      <c r="I52" s="94" t="s">
        <v>36</v>
      </c>
      <c r="J52" s="104"/>
      <c r="K52" s="95"/>
      <c r="L52" s="96" t="s">
        <v>36</v>
      </c>
      <c r="M52" s="97"/>
      <c r="N52" s="98"/>
    </row>
    <row r="53">
      <c r="A53" s="90" t="s">
        <v>322</v>
      </c>
      <c r="B53" s="91" t="s">
        <v>354</v>
      </c>
      <c r="C53" s="90" t="s">
        <v>314</v>
      </c>
      <c r="D53" s="90" t="s">
        <v>315</v>
      </c>
      <c r="E53" s="90" t="s">
        <v>316</v>
      </c>
      <c r="F53" s="90" t="s">
        <v>317</v>
      </c>
      <c r="G53" s="90" t="s">
        <v>318</v>
      </c>
      <c r="H53" s="91" t="s">
        <v>35</v>
      </c>
      <c r="I53" s="94" t="s">
        <v>36</v>
      </c>
      <c r="J53" s="104"/>
      <c r="K53" s="95"/>
      <c r="L53" s="96" t="s">
        <v>36</v>
      </c>
      <c r="M53" s="97"/>
      <c r="N53" s="98"/>
    </row>
    <row r="54">
      <c r="A54" s="92" t="s">
        <v>355</v>
      </c>
      <c r="B54" s="91" t="s">
        <v>356</v>
      </c>
      <c r="C54" s="101" t="s">
        <v>197</v>
      </c>
      <c r="D54" s="90" t="s">
        <v>198</v>
      </c>
      <c r="E54" s="90" t="s">
        <v>199</v>
      </c>
      <c r="F54" s="90" t="s">
        <v>200</v>
      </c>
      <c r="G54" s="90" t="s">
        <v>201</v>
      </c>
      <c r="H54" s="108" t="s">
        <v>35</v>
      </c>
      <c r="I54" s="107" t="s">
        <v>111</v>
      </c>
      <c r="J54" s="105" t="s">
        <v>357</v>
      </c>
      <c r="K54" s="115"/>
      <c r="L54" s="116" t="s">
        <v>111</v>
      </c>
      <c r="M54" s="117"/>
      <c r="N54" s="118"/>
    </row>
    <row r="55">
      <c r="A55" s="92" t="s">
        <v>355</v>
      </c>
      <c r="B55" s="91" t="s">
        <v>358</v>
      </c>
      <c r="C55" s="101" t="s">
        <v>203</v>
      </c>
      <c r="D55" s="90" t="s">
        <v>204</v>
      </c>
      <c r="E55" s="90" t="s">
        <v>199</v>
      </c>
      <c r="F55" s="90" t="s">
        <v>200</v>
      </c>
      <c r="G55" s="90" t="s">
        <v>205</v>
      </c>
      <c r="H55" s="108" t="s">
        <v>35</v>
      </c>
      <c r="I55" s="107" t="s">
        <v>111</v>
      </c>
      <c r="J55" s="95" t="s">
        <v>206</v>
      </c>
      <c r="K55" s="115"/>
      <c r="L55" s="116" t="s">
        <v>36</v>
      </c>
      <c r="M55" s="117"/>
      <c r="N55" s="118"/>
    </row>
    <row r="56">
      <c r="A56" s="92" t="s">
        <v>355</v>
      </c>
      <c r="B56" s="91" t="s">
        <v>359</v>
      </c>
      <c r="C56" s="101" t="s">
        <v>208</v>
      </c>
      <c r="D56" s="90" t="s">
        <v>209</v>
      </c>
      <c r="E56" s="90" t="s">
        <v>210</v>
      </c>
      <c r="F56" s="90" t="s">
        <v>211</v>
      </c>
      <c r="G56" s="90" t="s">
        <v>212</v>
      </c>
      <c r="H56" s="108" t="s">
        <v>35</v>
      </c>
      <c r="I56" s="106" t="s">
        <v>36</v>
      </c>
      <c r="J56" s="95"/>
      <c r="K56" s="115"/>
      <c r="L56" s="116" t="s">
        <v>36</v>
      </c>
      <c r="M56" s="117"/>
      <c r="N56" s="118"/>
    </row>
    <row r="57">
      <c r="A57" s="92" t="s">
        <v>355</v>
      </c>
      <c r="B57" s="91" t="s">
        <v>360</v>
      </c>
      <c r="C57" s="108" t="s">
        <v>214</v>
      </c>
      <c r="D57" s="105" t="s">
        <v>209</v>
      </c>
      <c r="E57" s="90" t="s">
        <v>215</v>
      </c>
      <c r="F57" s="90" t="s">
        <v>211</v>
      </c>
      <c r="G57" s="90" t="s">
        <v>216</v>
      </c>
      <c r="H57" s="108" t="s">
        <v>35</v>
      </c>
      <c r="I57" s="107" t="s">
        <v>111</v>
      </c>
      <c r="J57" s="95" t="s">
        <v>217</v>
      </c>
      <c r="K57" s="115"/>
      <c r="L57" s="116" t="s">
        <v>36</v>
      </c>
      <c r="M57" s="117"/>
      <c r="N57" s="118"/>
    </row>
    <row r="58">
      <c r="A58" s="92" t="s">
        <v>355</v>
      </c>
      <c r="B58" s="91" t="s">
        <v>361</v>
      </c>
      <c r="C58" s="108" t="s">
        <v>219</v>
      </c>
      <c r="D58" s="90" t="s">
        <v>220</v>
      </c>
      <c r="E58" s="90" t="s">
        <v>215</v>
      </c>
      <c r="F58" s="90" t="s">
        <v>211</v>
      </c>
      <c r="G58" s="90" t="s">
        <v>221</v>
      </c>
      <c r="H58" s="108" t="s">
        <v>35</v>
      </c>
      <c r="I58" s="106" t="s">
        <v>36</v>
      </c>
      <c r="J58" s="93"/>
      <c r="K58" s="115"/>
      <c r="L58" s="116" t="s">
        <v>36</v>
      </c>
      <c r="M58" s="117"/>
      <c r="N58" s="118"/>
    </row>
    <row r="59">
      <c r="A59" s="92" t="s">
        <v>355</v>
      </c>
      <c r="B59" s="91" t="s">
        <v>362</v>
      </c>
      <c r="C59" s="101" t="s">
        <v>223</v>
      </c>
      <c r="D59" s="90" t="s">
        <v>224</v>
      </c>
      <c r="E59" s="90" t="s">
        <v>215</v>
      </c>
      <c r="F59" s="90" t="s">
        <v>225</v>
      </c>
      <c r="G59" s="90" t="s">
        <v>226</v>
      </c>
      <c r="H59" s="101" t="s">
        <v>35</v>
      </c>
      <c r="I59" s="106" t="s">
        <v>36</v>
      </c>
      <c r="J59" s="95"/>
      <c r="K59" s="115"/>
      <c r="L59" s="116" t="s">
        <v>36</v>
      </c>
      <c r="M59" s="117"/>
      <c r="N59" s="118"/>
    </row>
    <row r="60">
      <c r="A60" s="92" t="s">
        <v>355</v>
      </c>
      <c r="B60" s="91" t="s">
        <v>363</v>
      </c>
      <c r="C60" s="101" t="s">
        <v>228</v>
      </c>
      <c r="D60" s="90" t="s">
        <v>229</v>
      </c>
      <c r="E60" s="90" t="s">
        <v>215</v>
      </c>
      <c r="F60" s="90" t="s">
        <v>230</v>
      </c>
      <c r="G60" s="90" t="s">
        <v>231</v>
      </c>
      <c r="H60" s="108" t="s">
        <v>35</v>
      </c>
      <c r="I60" s="106" t="s">
        <v>36</v>
      </c>
      <c r="J60" s="93"/>
      <c r="K60" s="115"/>
      <c r="L60" s="116" t="s">
        <v>36</v>
      </c>
      <c r="M60" s="117"/>
      <c r="N60" s="118"/>
    </row>
    <row r="61">
      <c r="A61" s="92" t="s">
        <v>355</v>
      </c>
      <c r="B61" s="91" t="s">
        <v>364</v>
      </c>
      <c r="C61" s="101" t="s">
        <v>233</v>
      </c>
      <c r="D61" s="90" t="s">
        <v>234</v>
      </c>
      <c r="E61" s="90" t="s">
        <v>235</v>
      </c>
      <c r="F61" s="119" t="s">
        <v>236</v>
      </c>
      <c r="G61" s="90" t="s">
        <v>237</v>
      </c>
      <c r="H61" s="108" t="s">
        <v>35</v>
      </c>
      <c r="I61" s="107" t="s">
        <v>111</v>
      </c>
      <c r="J61" s="90" t="s">
        <v>357</v>
      </c>
      <c r="K61" s="115"/>
      <c r="L61" s="116" t="s">
        <v>111</v>
      </c>
      <c r="M61" s="117"/>
      <c r="N61" s="118"/>
    </row>
    <row r="62">
      <c r="A62" s="92" t="s">
        <v>355</v>
      </c>
      <c r="B62" s="91" t="s">
        <v>365</v>
      </c>
      <c r="C62" s="101" t="s">
        <v>239</v>
      </c>
      <c r="D62" s="101" t="s">
        <v>240</v>
      </c>
      <c r="E62" s="90" t="s">
        <v>241</v>
      </c>
      <c r="F62" s="90" t="s">
        <v>200</v>
      </c>
      <c r="G62" s="90" t="s">
        <v>242</v>
      </c>
      <c r="H62" s="108" t="s">
        <v>35</v>
      </c>
      <c r="I62" s="106" t="s">
        <v>36</v>
      </c>
      <c r="J62" s="95"/>
      <c r="K62" s="115"/>
      <c r="L62" s="116" t="s">
        <v>36</v>
      </c>
      <c r="M62" s="117"/>
      <c r="N62" s="118"/>
    </row>
    <row r="63">
      <c r="A63" s="92" t="s">
        <v>355</v>
      </c>
      <c r="B63" s="91" t="s">
        <v>366</v>
      </c>
      <c r="C63" s="101" t="s">
        <v>244</v>
      </c>
      <c r="D63" s="101" t="s">
        <v>245</v>
      </c>
      <c r="E63" s="90" t="s">
        <v>241</v>
      </c>
      <c r="F63" s="90" t="s">
        <v>200</v>
      </c>
      <c r="G63" s="90" t="s">
        <v>246</v>
      </c>
      <c r="H63" s="108" t="s">
        <v>35</v>
      </c>
      <c r="I63" s="106" t="s">
        <v>36</v>
      </c>
      <c r="J63" s="95"/>
      <c r="K63" s="115"/>
      <c r="L63" s="116" t="s">
        <v>36</v>
      </c>
      <c r="M63" s="117"/>
      <c r="N63" s="118"/>
    </row>
    <row r="64">
      <c r="A64" s="92" t="s">
        <v>355</v>
      </c>
      <c r="B64" s="91" t="s">
        <v>367</v>
      </c>
      <c r="C64" s="101" t="s">
        <v>248</v>
      </c>
      <c r="D64" s="90" t="s">
        <v>224</v>
      </c>
      <c r="E64" s="90" t="s">
        <v>215</v>
      </c>
      <c r="F64" s="90" t="s">
        <v>200</v>
      </c>
      <c r="G64" s="90" t="s">
        <v>226</v>
      </c>
      <c r="H64" s="108" t="s">
        <v>35</v>
      </c>
      <c r="I64" s="106" t="s">
        <v>36</v>
      </c>
      <c r="J64" s="95"/>
      <c r="K64" s="115"/>
      <c r="L64" s="116" t="s">
        <v>36</v>
      </c>
      <c r="M64" s="117"/>
      <c r="N64" s="118"/>
    </row>
    <row r="65">
      <c r="A65" s="92" t="s">
        <v>355</v>
      </c>
      <c r="B65" s="91" t="s">
        <v>368</v>
      </c>
      <c r="C65" s="101" t="s">
        <v>250</v>
      </c>
      <c r="D65" s="90" t="s">
        <v>229</v>
      </c>
      <c r="E65" s="90" t="s">
        <v>215</v>
      </c>
      <c r="F65" s="90" t="s">
        <v>230</v>
      </c>
      <c r="G65" s="90" t="s">
        <v>231</v>
      </c>
      <c r="H65" s="108" t="s">
        <v>35</v>
      </c>
      <c r="I65" s="106" t="s">
        <v>36</v>
      </c>
      <c r="J65" s="93"/>
      <c r="K65" s="115"/>
      <c r="L65" s="116" t="s">
        <v>36</v>
      </c>
      <c r="M65" s="117"/>
      <c r="N65" s="118"/>
    </row>
    <row r="66">
      <c r="A66" s="92" t="s">
        <v>355</v>
      </c>
      <c r="B66" s="91" t="s">
        <v>369</v>
      </c>
      <c r="C66" s="101" t="s">
        <v>252</v>
      </c>
      <c r="D66" s="101" t="s">
        <v>253</v>
      </c>
      <c r="E66" s="90" t="s">
        <v>215</v>
      </c>
      <c r="F66" s="90" t="s">
        <v>254</v>
      </c>
      <c r="G66" s="90" t="s">
        <v>255</v>
      </c>
      <c r="H66" s="108" t="s">
        <v>35</v>
      </c>
      <c r="I66" s="107" t="s">
        <v>111</v>
      </c>
      <c r="J66" s="90" t="s">
        <v>357</v>
      </c>
      <c r="K66" s="115"/>
      <c r="L66" s="116" t="s">
        <v>111</v>
      </c>
      <c r="M66" s="117"/>
      <c r="N66" s="118"/>
    </row>
    <row r="67">
      <c r="A67" s="92" t="s">
        <v>355</v>
      </c>
      <c r="B67" s="91" t="s">
        <v>370</v>
      </c>
      <c r="C67" s="101" t="s">
        <v>257</v>
      </c>
      <c r="D67" s="101" t="s">
        <v>258</v>
      </c>
      <c r="E67" s="90" t="s">
        <v>215</v>
      </c>
      <c r="F67" s="90" t="s">
        <v>259</v>
      </c>
      <c r="G67" s="90" t="s">
        <v>260</v>
      </c>
      <c r="H67" s="108" t="s">
        <v>35</v>
      </c>
      <c r="I67" s="107" t="s">
        <v>111</v>
      </c>
      <c r="J67" s="90" t="s">
        <v>357</v>
      </c>
      <c r="K67" s="115"/>
      <c r="L67" s="116" t="s">
        <v>111</v>
      </c>
      <c r="M67" s="117"/>
      <c r="N67" s="118"/>
    </row>
    <row r="68">
      <c r="A68" s="92" t="s">
        <v>355</v>
      </c>
      <c r="B68" s="91" t="s">
        <v>371</v>
      </c>
      <c r="C68" s="101" t="s">
        <v>262</v>
      </c>
      <c r="D68" s="101" t="s">
        <v>263</v>
      </c>
      <c r="E68" s="90" t="s">
        <v>215</v>
      </c>
      <c r="F68" s="90" t="s">
        <v>264</v>
      </c>
      <c r="G68" s="90" t="s">
        <v>265</v>
      </c>
      <c r="H68" s="108" t="s">
        <v>35</v>
      </c>
      <c r="I68" s="107" t="s">
        <v>111</v>
      </c>
      <c r="J68" s="90" t="s">
        <v>357</v>
      </c>
      <c r="K68" s="115"/>
      <c r="L68" s="116" t="s">
        <v>111</v>
      </c>
      <c r="M68" s="117"/>
      <c r="N68" s="118"/>
    </row>
    <row r="69">
      <c r="A69" s="92" t="s">
        <v>355</v>
      </c>
      <c r="B69" s="91" t="s">
        <v>372</v>
      </c>
      <c r="C69" s="101" t="s">
        <v>262</v>
      </c>
      <c r="D69" s="101" t="s">
        <v>267</v>
      </c>
      <c r="E69" s="90" t="s">
        <v>215</v>
      </c>
      <c r="F69" s="90" t="s">
        <v>268</v>
      </c>
      <c r="G69" s="90" t="s">
        <v>269</v>
      </c>
      <c r="H69" s="108" t="s">
        <v>35</v>
      </c>
      <c r="I69" s="107" t="s">
        <v>111</v>
      </c>
      <c r="J69" s="90" t="s">
        <v>357</v>
      </c>
      <c r="K69" s="115"/>
      <c r="L69" s="116" t="s">
        <v>111</v>
      </c>
      <c r="M69" s="117"/>
      <c r="N69" s="118"/>
    </row>
    <row r="70">
      <c r="A70" s="92" t="s">
        <v>355</v>
      </c>
      <c r="B70" s="91" t="s">
        <v>373</v>
      </c>
      <c r="C70" s="90" t="s">
        <v>271</v>
      </c>
      <c r="D70" s="90" t="s">
        <v>272</v>
      </c>
      <c r="E70" s="90" t="s">
        <v>273</v>
      </c>
      <c r="F70" s="90" t="s">
        <v>274</v>
      </c>
      <c r="G70" s="90" t="s">
        <v>275</v>
      </c>
      <c r="H70" s="108" t="s">
        <v>35</v>
      </c>
      <c r="I70" s="106" t="s">
        <v>36</v>
      </c>
      <c r="J70" s="104"/>
      <c r="K70" s="115"/>
      <c r="L70" s="116" t="s">
        <v>36</v>
      </c>
      <c r="M70" s="117"/>
      <c r="N70" s="118"/>
    </row>
    <row r="71">
      <c r="A71" s="92" t="s">
        <v>355</v>
      </c>
      <c r="B71" s="91" t="s">
        <v>374</v>
      </c>
      <c r="C71" s="101" t="s">
        <v>277</v>
      </c>
      <c r="D71" s="90" t="s">
        <v>278</v>
      </c>
      <c r="E71" s="90" t="s">
        <v>215</v>
      </c>
      <c r="F71" s="90" t="s">
        <v>279</v>
      </c>
      <c r="G71" s="90" t="s">
        <v>280</v>
      </c>
      <c r="H71" s="108" t="s">
        <v>35</v>
      </c>
      <c r="I71" s="106" t="s">
        <v>36</v>
      </c>
      <c r="J71" s="95"/>
      <c r="K71" s="115"/>
      <c r="L71" s="116" t="s">
        <v>36</v>
      </c>
      <c r="M71" s="117"/>
      <c r="N71" s="118"/>
    </row>
    <row r="72">
      <c r="A72" s="92" t="s">
        <v>355</v>
      </c>
      <c r="B72" s="91" t="s">
        <v>375</v>
      </c>
      <c r="C72" s="90" t="s">
        <v>282</v>
      </c>
      <c r="D72" s="90" t="s">
        <v>283</v>
      </c>
      <c r="E72" s="90" t="s">
        <v>284</v>
      </c>
      <c r="F72" s="90" t="s">
        <v>285</v>
      </c>
      <c r="G72" s="90" t="s">
        <v>286</v>
      </c>
      <c r="H72" s="108" t="s">
        <v>35</v>
      </c>
      <c r="I72" s="106" t="s">
        <v>36</v>
      </c>
      <c r="J72" s="103"/>
      <c r="K72" s="115"/>
      <c r="L72" s="116" t="s">
        <v>36</v>
      </c>
      <c r="M72" s="117"/>
      <c r="N72" s="118"/>
    </row>
    <row r="73">
      <c r="A73" s="92" t="s">
        <v>355</v>
      </c>
      <c r="B73" s="91" t="s">
        <v>376</v>
      </c>
      <c r="C73" s="90" t="s">
        <v>288</v>
      </c>
      <c r="D73" s="90" t="s">
        <v>289</v>
      </c>
      <c r="E73" s="90" t="s">
        <v>290</v>
      </c>
      <c r="F73" s="90" t="s">
        <v>274</v>
      </c>
      <c r="G73" s="90" t="s">
        <v>291</v>
      </c>
      <c r="H73" s="108" t="s">
        <v>35</v>
      </c>
      <c r="I73" s="106" t="s">
        <v>36</v>
      </c>
      <c r="J73" s="104"/>
      <c r="K73" s="115"/>
      <c r="L73" s="116" t="s">
        <v>36</v>
      </c>
      <c r="M73" s="117"/>
      <c r="N73" s="118"/>
    </row>
    <row r="74">
      <c r="A74" s="92" t="s">
        <v>355</v>
      </c>
      <c r="B74" s="91" t="s">
        <v>377</v>
      </c>
      <c r="C74" s="105" t="s">
        <v>293</v>
      </c>
      <c r="D74" s="105" t="s">
        <v>294</v>
      </c>
      <c r="E74" s="90" t="s">
        <v>284</v>
      </c>
      <c r="F74" s="90" t="s">
        <v>295</v>
      </c>
      <c r="G74" s="90" t="s">
        <v>296</v>
      </c>
      <c r="H74" s="108" t="s">
        <v>35</v>
      </c>
      <c r="I74" s="106" t="s">
        <v>36</v>
      </c>
      <c r="J74" s="120"/>
      <c r="K74" s="118"/>
      <c r="L74" s="116" t="s">
        <v>36</v>
      </c>
      <c r="M74" s="117"/>
      <c r="N74" s="118"/>
    </row>
    <row r="75">
      <c r="A75" s="92" t="s">
        <v>355</v>
      </c>
      <c r="B75" s="91" t="s">
        <v>378</v>
      </c>
      <c r="C75" s="105" t="s">
        <v>298</v>
      </c>
      <c r="D75" s="90" t="s">
        <v>299</v>
      </c>
      <c r="E75" s="90" t="s">
        <v>300</v>
      </c>
      <c r="F75" s="90" t="s">
        <v>301</v>
      </c>
      <c r="G75" s="90" t="s">
        <v>302</v>
      </c>
      <c r="H75" s="108" t="s">
        <v>35</v>
      </c>
      <c r="I75" s="107" t="s">
        <v>111</v>
      </c>
      <c r="J75" s="110" t="s">
        <v>379</v>
      </c>
      <c r="K75" s="115"/>
      <c r="L75" s="116" t="s">
        <v>111</v>
      </c>
      <c r="M75" s="117"/>
      <c r="N75" s="118"/>
    </row>
    <row r="76">
      <c r="A76" s="92" t="s">
        <v>355</v>
      </c>
      <c r="B76" s="91" t="s">
        <v>380</v>
      </c>
      <c r="C76" s="90" t="s">
        <v>304</v>
      </c>
      <c r="D76" s="90" t="s">
        <v>305</v>
      </c>
      <c r="E76" s="90" t="s">
        <v>284</v>
      </c>
      <c r="F76" s="90" t="s">
        <v>306</v>
      </c>
      <c r="G76" s="90" t="s">
        <v>307</v>
      </c>
      <c r="H76" s="101" t="s">
        <v>35</v>
      </c>
      <c r="I76" s="106" t="s">
        <v>36</v>
      </c>
      <c r="J76" s="103"/>
      <c r="K76" s="115"/>
      <c r="L76" s="116" t="s">
        <v>36</v>
      </c>
      <c r="M76" s="117"/>
      <c r="N76" s="118"/>
    </row>
    <row r="77">
      <c r="A77" s="92" t="s">
        <v>355</v>
      </c>
      <c r="B77" s="91" t="s">
        <v>381</v>
      </c>
      <c r="C77" s="90" t="s">
        <v>309</v>
      </c>
      <c r="D77" s="90" t="s">
        <v>310</v>
      </c>
      <c r="E77" s="90" t="s">
        <v>284</v>
      </c>
      <c r="F77" s="90" t="s">
        <v>311</v>
      </c>
      <c r="G77" s="90" t="s">
        <v>312</v>
      </c>
      <c r="H77" s="108" t="s">
        <v>35</v>
      </c>
      <c r="I77" s="106" t="s">
        <v>36</v>
      </c>
      <c r="J77" s="103"/>
      <c r="K77" s="115"/>
      <c r="L77" s="116" t="s">
        <v>36</v>
      </c>
      <c r="M77" s="117"/>
      <c r="N77" s="118"/>
    </row>
    <row r="78">
      <c r="A78" s="92" t="s">
        <v>355</v>
      </c>
      <c r="B78" s="91" t="s">
        <v>382</v>
      </c>
      <c r="C78" s="90" t="s">
        <v>314</v>
      </c>
      <c r="D78" s="90" t="s">
        <v>315</v>
      </c>
      <c r="E78" s="90" t="s">
        <v>316</v>
      </c>
      <c r="F78" s="90" t="s">
        <v>317</v>
      </c>
      <c r="G78" s="90" t="s">
        <v>318</v>
      </c>
      <c r="H78" s="108" t="s">
        <v>35</v>
      </c>
      <c r="I78" s="106" t="s">
        <v>36</v>
      </c>
      <c r="J78" s="103"/>
      <c r="K78" s="115"/>
      <c r="L78" s="116" t="s">
        <v>36</v>
      </c>
      <c r="M78" s="117"/>
      <c r="N78" s="118"/>
    </row>
    <row r="79">
      <c r="A79" s="93" t="s">
        <v>383</v>
      </c>
      <c r="B79" s="91" t="s">
        <v>384</v>
      </c>
      <c r="C79" s="92" t="s">
        <v>197</v>
      </c>
      <c r="D79" s="93" t="s">
        <v>198</v>
      </c>
      <c r="E79" s="93" t="s">
        <v>199</v>
      </c>
      <c r="F79" s="93" t="s">
        <v>200</v>
      </c>
      <c r="G79" s="90" t="s">
        <v>201</v>
      </c>
      <c r="H79" s="91" t="s">
        <v>35</v>
      </c>
      <c r="I79" s="106" t="s">
        <v>36</v>
      </c>
      <c r="J79" s="95"/>
      <c r="K79" s="95"/>
      <c r="L79" s="96" t="s">
        <v>36</v>
      </c>
      <c r="M79" s="97"/>
      <c r="N79" s="98"/>
    </row>
    <row r="80">
      <c r="A80" s="93" t="s">
        <v>383</v>
      </c>
      <c r="B80" s="91" t="s">
        <v>385</v>
      </c>
      <c r="C80" s="92" t="s">
        <v>203</v>
      </c>
      <c r="D80" s="93" t="s">
        <v>204</v>
      </c>
      <c r="E80" s="93" t="s">
        <v>199</v>
      </c>
      <c r="F80" s="93" t="s">
        <v>200</v>
      </c>
      <c r="G80" s="90" t="s">
        <v>205</v>
      </c>
      <c r="H80" s="91" t="s">
        <v>35</v>
      </c>
      <c r="I80" s="107" t="s">
        <v>111</v>
      </c>
      <c r="J80" s="93" t="s">
        <v>386</v>
      </c>
      <c r="K80" s="95"/>
      <c r="L80" s="96" t="s">
        <v>36</v>
      </c>
      <c r="M80" s="97"/>
      <c r="N80" s="98"/>
    </row>
    <row r="81">
      <c r="A81" s="93" t="s">
        <v>383</v>
      </c>
      <c r="B81" s="91" t="s">
        <v>387</v>
      </c>
      <c r="C81" s="92" t="s">
        <v>208</v>
      </c>
      <c r="D81" s="93" t="s">
        <v>209</v>
      </c>
      <c r="E81" s="93" t="s">
        <v>210</v>
      </c>
      <c r="F81" s="93" t="s">
        <v>211</v>
      </c>
      <c r="G81" s="90" t="s">
        <v>212</v>
      </c>
      <c r="H81" s="91" t="s">
        <v>35</v>
      </c>
      <c r="I81" s="106" t="s">
        <v>36</v>
      </c>
      <c r="J81" s="93"/>
      <c r="K81" s="95"/>
      <c r="L81" s="96" t="s">
        <v>36</v>
      </c>
      <c r="M81" s="97"/>
      <c r="N81" s="98"/>
    </row>
    <row r="82">
      <c r="A82" s="93" t="s">
        <v>383</v>
      </c>
      <c r="B82" s="91" t="s">
        <v>388</v>
      </c>
      <c r="C82" s="92" t="s">
        <v>214</v>
      </c>
      <c r="D82" s="93" t="s">
        <v>209</v>
      </c>
      <c r="E82" s="93" t="s">
        <v>215</v>
      </c>
      <c r="F82" s="93" t="s">
        <v>211</v>
      </c>
      <c r="G82" s="90" t="s">
        <v>216</v>
      </c>
      <c r="H82" s="91" t="s">
        <v>35</v>
      </c>
      <c r="I82" s="107" t="s">
        <v>111</v>
      </c>
      <c r="J82" s="90" t="s">
        <v>389</v>
      </c>
      <c r="K82" s="95"/>
      <c r="L82" s="96" t="s">
        <v>111</v>
      </c>
      <c r="M82" s="97"/>
      <c r="N82" s="98"/>
    </row>
    <row r="83">
      <c r="A83" s="93" t="s">
        <v>383</v>
      </c>
      <c r="B83" s="91" t="s">
        <v>390</v>
      </c>
      <c r="C83" s="92" t="s">
        <v>219</v>
      </c>
      <c r="D83" s="93" t="s">
        <v>220</v>
      </c>
      <c r="E83" s="93" t="s">
        <v>215</v>
      </c>
      <c r="F83" s="93" t="s">
        <v>211</v>
      </c>
      <c r="G83" s="93" t="s">
        <v>221</v>
      </c>
      <c r="H83" s="91" t="s">
        <v>35</v>
      </c>
      <c r="I83" s="106" t="s">
        <v>36</v>
      </c>
      <c r="J83" s="95"/>
      <c r="K83" s="95"/>
      <c r="L83" s="96" t="s">
        <v>36</v>
      </c>
      <c r="M83" s="97"/>
      <c r="N83" s="98"/>
    </row>
    <row r="84">
      <c r="A84" s="93" t="s">
        <v>383</v>
      </c>
      <c r="B84" s="91" t="s">
        <v>391</v>
      </c>
      <c r="C84" s="92" t="s">
        <v>223</v>
      </c>
      <c r="D84" s="93" t="s">
        <v>224</v>
      </c>
      <c r="E84" s="93" t="s">
        <v>215</v>
      </c>
      <c r="F84" s="93" t="s">
        <v>225</v>
      </c>
      <c r="G84" s="93" t="s">
        <v>226</v>
      </c>
      <c r="H84" s="91" t="s">
        <v>35</v>
      </c>
      <c r="I84" s="107" t="s">
        <v>111</v>
      </c>
      <c r="J84" s="105" t="s">
        <v>392</v>
      </c>
      <c r="K84" s="95"/>
      <c r="L84" s="96" t="s">
        <v>111</v>
      </c>
      <c r="M84" s="97"/>
      <c r="N84" s="98"/>
    </row>
    <row r="85">
      <c r="A85" s="93" t="s">
        <v>383</v>
      </c>
      <c r="B85" s="91" t="s">
        <v>393</v>
      </c>
      <c r="C85" s="92" t="s">
        <v>228</v>
      </c>
      <c r="D85" s="93" t="s">
        <v>229</v>
      </c>
      <c r="E85" s="93" t="s">
        <v>215</v>
      </c>
      <c r="F85" s="93" t="s">
        <v>230</v>
      </c>
      <c r="G85" s="93" t="s">
        <v>231</v>
      </c>
      <c r="H85" s="91" t="s">
        <v>35</v>
      </c>
      <c r="I85" s="107" t="s">
        <v>111</v>
      </c>
      <c r="J85" s="105" t="s">
        <v>394</v>
      </c>
      <c r="K85" s="95"/>
      <c r="L85" s="96" t="s">
        <v>111</v>
      </c>
      <c r="M85" s="97"/>
      <c r="N85" s="98"/>
    </row>
    <row r="86">
      <c r="A86" s="93" t="s">
        <v>383</v>
      </c>
      <c r="B86" s="91" t="s">
        <v>395</v>
      </c>
      <c r="C86" s="92" t="s">
        <v>233</v>
      </c>
      <c r="D86" s="93" t="s">
        <v>234</v>
      </c>
      <c r="E86" s="93" t="s">
        <v>235</v>
      </c>
      <c r="F86" s="100" t="s">
        <v>236</v>
      </c>
      <c r="G86" s="93" t="s">
        <v>237</v>
      </c>
      <c r="H86" s="91" t="s">
        <v>35</v>
      </c>
      <c r="I86" s="106" t="s">
        <v>36</v>
      </c>
      <c r="J86" s="95"/>
      <c r="K86" s="95"/>
      <c r="L86" s="96" t="s">
        <v>111</v>
      </c>
      <c r="M86" s="97"/>
      <c r="N86" s="98"/>
    </row>
    <row r="87">
      <c r="A87" s="93" t="s">
        <v>383</v>
      </c>
      <c r="B87" s="91" t="s">
        <v>396</v>
      </c>
      <c r="C87" s="101" t="s">
        <v>239</v>
      </c>
      <c r="D87" s="101" t="s">
        <v>240</v>
      </c>
      <c r="E87" s="93" t="s">
        <v>241</v>
      </c>
      <c r="F87" s="93" t="s">
        <v>200</v>
      </c>
      <c r="G87" s="90" t="s">
        <v>242</v>
      </c>
      <c r="H87" s="91" t="s">
        <v>35</v>
      </c>
      <c r="I87" s="106" t="s">
        <v>36</v>
      </c>
      <c r="J87" s="93"/>
      <c r="K87" s="95"/>
      <c r="L87" s="96" t="s">
        <v>36</v>
      </c>
      <c r="M87" s="97"/>
      <c r="N87" s="98"/>
    </row>
    <row r="88">
      <c r="A88" s="93" t="s">
        <v>383</v>
      </c>
      <c r="B88" s="91" t="s">
        <v>397</v>
      </c>
      <c r="C88" s="101" t="s">
        <v>244</v>
      </c>
      <c r="D88" s="101" t="s">
        <v>245</v>
      </c>
      <c r="E88" s="93" t="s">
        <v>241</v>
      </c>
      <c r="F88" s="93" t="s">
        <v>200</v>
      </c>
      <c r="G88" s="93" t="s">
        <v>246</v>
      </c>
      <c r="H88" s="91" t="s">
        <v>35</v>
      </c>
      <c r="I88" s="106" t="s">
        <v>36</v>
      </c>
      <c r="J88" s="93"/>
      <c r="K88" s="95"/>
      <c r="L88" s="96" t="s">
        <v>36</v>
      </c>
      <c r="M88" s="97"/>
      <c r="N88" s="98"/>
    </row>
    <row r="89">
      <c r="A89" s="93" t="s">
        <v>383</v>
      </c>
      <c r="B89" s="91" t="s">
        <v>398</v>
      </c>
      <c r="C89" s="101" t="s">
        <v>248</v>
      </c>
      <c r="D89" s="93" t="s">
        <v>224</v>
      </c>
      <c r="E89" s="93" t="s">
        <v>215</v>
      </c>
      <c r="F89" s="93" t="s">
        <v>200</v>
      </c>
      <c r="G89" s="93" t="s">
        <v>226</v>
      </c>
      <c r="H89" s="91" t="s">
        <v>35</v>
      </c>
      <c r="I89" s="107" t="s">
        <v>111</v>
      </c>
      <c r="J89" s="90" t="s">
        <v>392</v>
      </c>
      <c r="K89" s="95"/>
      <c r="L89" s="96" t="s">
        <v>111</v>
      </c>
      <c r="M89" s="97"/>
      <c r="N89" s="98"/>
    </row>
    <row r="90">
      <c r="A90" s="93" t="s">
        <v>383</v>
      </c>
      <c r="B90" s="91" t="s">
        <v>399</v>
      </c>
      <c r="C90" s="101" t="s">
        <v>250</v>
      </c>
      <c r="D90" s="93" t="s">
        <v>229</v>
      </c>
      <c r="E90" s="93" t="s">
        <v>215</v>
      </c>
      <c r="F90" s="93" t="s">
        <v>230</v>
      </c>
      <c r="G90" s="93" t="s">
        <v>231</v>
      </c>
      <c r="H90" s="91" t="s">
        <v>35</v>
      </c>
      <c r="I90" s="107" t="s">
        <v>111</v>
      </c>
      <c r="J90" s="105" t="s">
        <v>394</v>
      </c>
      <c r="K90" s="95"/>
      <c r="L90" s="96" t="s">
        <v>111</v>
      </c>
      <c r="M90" s="97"/>
      <c r="N90" s="98"/>
    </row>
    <row r="91">
      <c r="A91" s="93" t="s">
        <v>383</v>
      </c>
      <c r="B91" s="91" t="s">
        <v>400</v>
      </c>
      <c r="C91" s="92" t="s">
        <v>252</v>
      </c>
      <c r="D91" s="101" t="s">
        <v>253</v>
      </c>
      <c r="E91" s="93" t="s">
        <v>215</v>
      </c>
      <c r="F91" s="93" t="s">
        <v>254</v>
      </c>
      <c r="G91" s="90" t="s">
        <v>255</v>
      </c>
      <c r="H91" s="91" t="s">
        <v>35</v>
      </c>
      <c r="I91" s="106" t="s">
        <v>36</v>
      </c>
      <c r="J91" s="90" t="s">
        <v>340</v>
      </c>
      <c r="K91" s="95"/>
      <c r="L91" s="96" t="s">
        <v>36</v>
      </c>
      <c r="M91" s="97"/>
      <c r="N91" s="98"/>
    </row>
    <row r="92" ht="15.75" customHeight="1">
      <c r="A92" s="93" t="s">
        <v>383</v>
      </c>
      <c r="B92" s="91" t="s">
        <v>401</v>
      </c>
      <c r="C92" s="91" t="s">
        <v>257</v>
      </c>
      <c r="D92" s="108" t="s">
        <v>258</v>
      </c>
      <c r="E92" s="95" t="s">
        <v>215</v>
      </c>
      <c r="F92" s="93" t="s">
        <v>259</v>
      </c>
      <c r="G92" s="105" t="s">
        <v>260</v>
      </c>
      <c r="H92" s="91" t="s">
        <v>35</v>
      </c>
      <c r="I92" s="121" t="s">
        <v>111</v>
      </c>
      <c r="J92" s="105" t="s">
        <v>389</v>
      </c>
      <c r="K92" s="95"/>
      <c r="L92" s="96" t="s">
        <v>111</v>
      </c>
      <c r="M92" s="97"/>
      <c r="N92" s="98"/>
    </row>
    <row r="93">
      <c r="A93" s="93" t="s">
        <v>383</v>
      </c>
      <c r="B93" s="91" t="s">
        <v>402</v>
      </c>
      <c r="C93" s="92" t="s">
        <v>262</v>
      </c>
      <c r="D93" s="101" t="s">
        <v>263</v>
      </c>
      <c r="E93" s="93" t="s">
        <v>215</v>
      </c>
      <c r="F93" s="93" t="s">
        <v>264</v>
      </c>
      <c r="G93" s="90" t="s">
        <v>265</v>
      </c>
      <c r="H93" s="92" t="s">
        <v>35</v>
      </c>
      <c r="I93" s="107" t="s">
        <v>111</v>
      </c>
      <c r="J93" s="105" t="s">
        <v>389</v>
      </c>
      <c r="K93" s="95"/>
      <c r="L93" s="96" t="s">
        <v>111</v>
      </c>
      <c r="M93" s="97"/>
      <c r="N93" s="98"/>
    </row>
    <row r="94">
      <c r="A94" s="93" t="s">
        <v>383</v>
      </c>
      <c r="B94" s="91" t="s">
        <v>403</v>
      </c>
      <c r="C94" s="92" t="s">
        <v>262</v>
      </c>
      <c r="D94" s="101" t="s">
        <v>267</v>
      </c>
      <c r="E94" s="93" t="s">
        <v>215</v>
      </c>
      <c r="F94" s="93" t="s">
        <v>268</v>
      </c>
      <c r="G94" s="90" t="s">
        <v>269</v>
      </c>
      <c r="H94" s="92" t="s">
        <v>35</v>
      </c>
      <c r="I94" s="107" t="s">
        <v>111</v>
      </c>
      <c r="J94" s="90" t="s">
        <v>389</v>
      </c>
      <c r="K94" s="95"/>
      <c r="L94" s="96" t="s">
        <v>111</v>
      </c>
      <c r="M94" s="97"/>
      <c r="N94" s="98"/>
    </row>
    <row r="95">
      <c r="A95" s="93" t="s">
        <v>383</v>
      </c>
      <c r="B95" s="91" t="s">
        <v>404</v>
      </c>
      <c r="C95" s="105" t="s">
        <v>271</v>
      </c>
      <c r="D95" s="105" t="s">
        <v>272</v>
      </c>
      <c r="E95" s="90" t="s">
        <v>273</v>
      </c>
      <c r="F95" s="90" t="s">
        <v>274</v>
      </c>
      <c r="G95" s="90" t="s">
        <v>275</v>
      </c>
      <c r="H95" s="92" t="s">
        <v>35</v>
      </c>
      <c r="I95" s="99" t="s">
        <v>111</v>
      </c>
      <c r="J95" s="105" t="s">
        <v>389</v>
      </c>
      <c r="K95" s="95"/>
      <c r="L95" s="96" t="s">
        <v>111</v>
      </c>
      <c r="M95" s="97"/>
      <c r="N95" s="98"/>
    </row>
    <row r="96">
      <c r="A96" s="93" t="s">
        <v>383</v>
      </c>
      <c r="B96" s="91" t="s">
        <v>405</v>
      </c>
      <c r="C96" s="91" t="s">
        <v>277</v>
      </c>
      <c r="D96" s="95" t="s">
        <v>278</v>
      </c>
      <c r="E96" s="93" t="s">
        <v>215</v>
      </c>
      <c r="F96" s="93" t="s">
        <v>279</v>
      </c>
      <c r="G96" s="93" t="s">
        <v>280</v>
      </c>
      <c r="H96" s="92" t="s">
        <v>35</v>
      </c>
      <c r="I96" s="94" t="s">
        <v>36</v>
      </c>
      <c r="J96" s="93"/>
      <c r="K96" s="95"/>
      <c r="L96" s="96" t="s">
        <v>36</v>
      </c>
      <c r="M96" s="97"/>
      <c r="N96" s="98"/>
    </row>
    <row r="97">
      <c r="A97" s="93" t="s">
        <v>383</v>
      </c>
      <c r="B97" s="91" t="s">
        <v>406</v>
      </c>
      <c r="C97" s="90" t="s">
        <v>282</v>
      </c>
      <c r="D97" s="90" t="s">
        <v>283</v>
      </c>
      <c r="E97" s="90" t="s">
        <v>284</v>
      </c>
      <c r="F97" s="90" t="s">
        <v>285</v>
      </c>
      <c r="G97" s="90" t="s">
        <v>286</v>
      </c>
      <c r="H97" s="92" t="s">
        <v>35</v>
      </c>
      <c r="I97" s="94" t="s">
        <v>36</v>
      </c>
      <c r="J97" s="103"/>
      <c r="K97" s="95"/>
      <c r="L97" s="96" t="s">
        <v>36</v>
      </c>
      <c r="M97" s="97"/>
      <c r="N97" s="98"/>
    </row>
    <row r="98">
      <c r="A98" s="93" t="s">
        <v>383</v>
      </c>
      <c r="B98" s="91" t="s">
        <v>407</v>
      </c>
      <c r="C98" s="90" t="s">
        <v>288</v>
      </c>
      <c r="D98" s="90" t="s">
        <v>289</v>
      </c>
      <c r="E98" s="90" t="s">
        <v>290</v>
      </c>
      <c r="F98" s="90" t="s">
        <v>274</v>
      </c>
      <c r="G98" s="90" t="s">
        <v>291</v>
      </c>
      <c r="H98" s="92" t="s">
        <v>35</v>
      </c>
      <c r="I98" s="94" t="s">
        <v>36</v>
      </c>
      <c r="J98" s="103"/>
      <c r="K98" s="95"/>
      <c r="L98" s="96" t="s">
        <v>36</v>
      </c>
      <c r="M98" s="97"/>
      <c r="N98" s="98"/>
    </row>
    <row r="99">
      <c r="A99" s="93" t="s">
        <v>383</v>
      </c>
      <c r="B99" s="91" t="s">
        <v>408</v>
      </c>
      <c r="C99" s="90" t="s">
        <v>293</v>
      </c>
      <c r="D99" s="90" t="s">
        <v>294</v>
      </c>
      <c r="E99" s="90" t="s">
        <v>284</v>
      </c>
      <c r="F99" s="90" t="s">
        <v>295</v>
      </c>
      <c r="G99" s="90" t="s">
        <v>296</v>
      </c>
      <c r="H99" s="92" t="s">
        <v>35</v>
      </c>
      <c r="I99" s="94" t="s">
        <v>36</v>
      </c>
      <c r="J99" s="103"/>
      <c r="K99" s="95"/>
      <c r="L99" s="96" t="s">
        <v>36</v>
      </c>
      <c r="M99" s="97"/>
      <c r="N99" s="98"/>
    </row>
    <row r="100">
      <c r="A100" s="93" t="s">
        <v>383</v>
      </c>
      <c r="B100" s="91" t="s">
        <v>409</v>
      </c>
      <c r="C100" s="90" t="s">
        <v>298</v>
      </c>
      <c r="D100" s="90" t="s">
        <v>299</v>
      </c>
      <c r="E100" s="90" t="s">
        <v>300</v>
      </c>
      <c r="F100" s="90" t="s">
        <v>301</v>
      </c>
      <c r="G100" s="90" t="s">
        <v>302</v>
      </c>
      <c r="H100" s="92" t="s">
        <v>35</v>
      </c>
      <c r="I100" s="94" t="s">
        <v>36</v>
      </c>
      <c r="J100" s="103"/>
      <c r="K100" s="95"/>
      <c r="L100" s="96" t="s">
        <v>36</v>
      </c>
      <c r="M100" s="97"/>
      <c r="N100" s="98"/>
    </row>
    <row r="101">
      <c r="A101" s="93" t="s">
        <v>383</v>
      </c>
      <c r="B101" s="91" t="s">
        <v>410</v>
      </c>
      <c r="C101" s="90" t="s">
        <v>304</v>
      </c>
      <c r="D101" s="90" t="s">
        <v>305</v>
      </c>
      <c r="E101" s="90" t="s">
        <v>284</v>
      </c>
      <c r="F101" s="90" t="s">
        <v>306</v>
      </c>
      <c r="G101" s="90" t="s">
        <v>307</v>
      </c>
      <c r="H101" s="92" t="s">
        <v>35</v>
      </c>
      <c r="I101" s="94" t="s">
        <v>36</v>
      </c>
      <c r="J101" s="103"/>
      <c r="K101" s="95"/>
      <c r="L101" s="96" t="s">
        <v>36</v>
      </c>
      <c r="M101" s="97"/>
      <c r="N101" s="98"/>
    </row>
    <row r="102">
      <c r="A102" s="93" t="s">
        <v>383</v>
      </c>
      <c r="B102" s="91" t="s">
        <v>411</v>
      </c>
      <c r="C102" s="90" t="s">
        <v>309</v>
      </c>
      <c r="D102" s="90" t="s">
        <v>310</v>
      </c>
      <c r="E102" s="90" t="s">
        <v>284</v>
      </c>
      <c r="F102" s="90" t="s">
        <v>311</v>
      </c>
      <c r="G102" s="90" t="s">
        <v>312</v>
      </c>
      <c r="H102" s="92" t="s">
        <v>35</v>
      </c>
      <c r="I102" s="94" t="s">
        <v>36</v>
      </c>
      <c r="J102" s="103"/>
      <c r="K102" s="95"/>
      <c r="L102" s="96" t="s">
        <v>36</v>
      </c>
      <c r="M102" s="97"/>
      <c r="N102" s="98"/>
    </row>
    <row r="103">
      <c r="A103" s="93" t="s">
        <v>383</v>
      </c>
      <c r="B103" s="91" t="s">
        <v>412</v>
      </c>
      <c r="C103" s="90" t="s">
        <v>314</v>
      </c>
      <c r="D103" s="90" t="s">
        <v>315</v>
      </c>
      <c r="E103" s="90" t="s">
        <v>316</v>
      </c>
      <c r="F103" s="90" t="s">
        <v>317</v>
      </c>
      <c r="G103" s="90" t="s">
        <v>318</v>
      </c>
      <c r="H103" s="92" t="s">
        <v>35</v>
      </c>
      <c r="I103" s="94" t="s">
        <v>36</v>
      </c>
      <c r="J103" s="103"/>
      <c r="K103" s="95"/>
      <c r="L103" s="96" t="s">
        <v>36</v>
      </c>
      <c r="M103" s="97"/>
      <c r="N103" s="98"/>
    </row>
    <row r="104">
      <c r="A104" s="93" t="s">
        <v>413</v>
      </c>
      <c r="B104" s="91" t="s">
        <v>414</v>
      </c>
      <c r="C104" s="92" t="s">
        <v>197</v>
      </c>
      <c r="D104" s="93" t="s">
        <v>198</v>
      </c>
      <c r="E104" s="93" t="s">
        <v>199</v>
      </c>
      <c r="F104" s="93" t="s">
        <v>200</v>
      </c>
      <c r="G104" s="90" t="s">
        <v>415</v>
      </c>
      <c r="H104" s="92" t="s">
        <v>35</v>
      </c>
      <c r="I104" s="94" t="s">
        <v>36</v>
      </c>
      <c r="J104" s="95"/>
      <c r="K104" s="95"/>
      <c r="L104" s="96" t="s">
        <v>36</v>
      </c>
      <c r="M104" s="97"/>
      <c r="N104" s="98"/>
    </row>
    <row r="105">
      <c r="A105" s="93" t="s">
        <v>413</v>
      </c>
      <c r="B105" s="91" t="s">
        <v>416</v>
      </c>
      <c r="C105" s="92" t="s">
        <v>203</v>
      </c>
      <c r="D105" s="93" t="s">
        <v>204</v>
      </c>
      <c r="E105" s="93" t="s">
        <v>199</v>
      </c>
      <c r="F105" s="93" t="s">
        <v>200</v>
      </c>
      <c r="G105" s="90" t="s">
        <v>205</v>
      </c>
      <c r="H105" s="92" t="s">
        <v>35</v>
      </c>
      <c r="I105" s="99" t="s">
        <v>111</v>
      </c>
      <c r="J105" s="105" t="s">
        <v>417</v>
      </c>
      <c r="K105" s="95"/>
      <c r="L105" s="96" t="s">
        <v>36</v>
      </c>
      <c r="M105" s="97"/>
      <c r="N105" s="98"/>
    </row>
    <row r="106">
      <c r="A106" s="93" t="s">
        <v>413</v>
      </c>
      <c r="B106" s="91" t="s">
        <v>418</v>
      </c>
      <c r="C106" s="92" t="s">
        <v>208</v>
      </c>
      <c r="D106" s="93" t="s">
        <v>209</v>
      </c>
      <c r="E106" s="93" t="s">
        <v>210</v>
      </c>
      <c r="F106" s="93" t="s">
        <v>211</v>
      </c>
      <c r="G106" s="90" t="s">
        <v>212</v>
      </c>
      <c r="H106" s="92" t="s">
        <v>35</v>
      </c>
      <c r="I106" s="94" t="s">
        <v>36</v>
      </c>
      <c r="J106" s="95"/>
      <c r="K106" s="95"/>
      <c r="L106" s="96" t="s">
        <v>36</v>
      </c>
      <c r="M106" s="97"/>
      <c r="N106" s="98"/>
    </row>
    <row r="107">
      <c r="A107" s="93" t="s">
        <v>413</v>
      </c>
      <c r="B107" s="91" t="s">
        <v>419</v>
      </c>
      <c r="C107" s="92" t="s">
        <v>214</v>
      </c>
      <c r="D107" s="93" t="s">
        <v>420</v>
      </c>
      <c r="E107" s="93" t="s">
        <v>215</v>
      </c>
      <c r="F107" s="93" t="s">
        <v>211</v>
      </c>
      <c r="G107" s="90" t="s">
        <v>216</v>
      </c>
      <c r="H107" s="92" t="s">
        <v>35</v>
      </c>
      <c r="I107" s="99" t="s">
        <v>111</v>
      </c>
      <c r="J107" s="95" t="s">
        <v>421</v>
      </c>
      <c r="K107" s="95"/>
      <c r="L107" s="96" t="s">
        <v>36</v>
      </c>
      <c r="M107" s="97"/>
      <c r="N107" s="98"/>
    </row>
    <row r="108">
      <c r="A108" s="93" t="s">
        <v>413</v>
      </c>
      <c r="B108" s="91" t="s">
        <v>422</v>
      </c>
      <c r="C108" s="92" t="s">
        <v>219</v>
      </c>
      <c r="D108" s="93" t="s">
        <v>220</v>
      </c>
      <c r="E108" s="93" t="s">
        <v>215</v>
      </c>
      <c r="F108" s="93" t="s">
        <v>211</v>
      </c>
      <c r="G108" s="93" t="s">
        <v>221</v>
      </c>
      <c r="H108" s="92" t="s">
        <v>35</v>
      </c>
      <c r="I108" s="94" t="s">
        <v>36</v>
      </c>
      <c r="J108" s="102"/>
      <c r="K108" s="95"/>
      <c r="L108" s="96" t="s">
        <v>36</v>
      </c>
      <c r="M108" s="97"/>
      <c r="N108" s="98"/>
    </row>
    <row r="109">
      <c r="A109" s="93" t="s">
        <v>413</v>
      </c>
      <c r="B109" s="91" t="s">
        <v>423</v>
      </c>
      <c r="C109" s="92" t="s">
        <v>223</v>
      </c>
      <c r="D109" s="93" t="s">
        <v>224</v>
      </c>
      <c r="E109" s="93" t="s">
        <v>215</v>
      </c>
      <c r="F109" s="93" t="s">
        <v>225</v>
      </c>
      <c r="G109" s="93" t="s">
        <v>226</v>
      </c>
      <c r="H109" s="92" t="s">
        <v>35</v>
      </c>
      <c r="I109" s="94" t="s">
        <v>36</v>
      </c>
      <c r="J109" s="95"/>
      <c r="K109" s="95"/>
      <c r="L109" s="96" t="s">
        <v>36</v>
      </c>
      <c r="M109" s="97"/>
      <c r="N109" s="98"/>
    </row>
    <row r="110">
      <c r="A110" s="93" t="s">
        <v>413</v>
      </c>
      <c r="B110" s="91" t="s">
        <v>424</v>
      </c>
      <c r="C110" s="92" t="s">
        <v>228</v>
      </c>
      <c r="D110" s="93" t="s">
        <v>229</v>
      </c>
      <c r="E110" s="93" t="s">
        <v>215</v>
      </c>
      <c r="F110" s="93" t="s">
        <v>230</v>
      </c>
      <c r="G110" s="93" t="s">
        <v>231</v>
      </c>
      <c r="H110" s="92" t="s">
        <v>35</v>
      </c>
      <c r="I110" s="94" t="s">
        <v>36</v>
      </c>
      <c r="J110" s="93"/>
      <c r="K110" s="95"/>
      <c r="L110" s="96" t="s">
        <v>36</v>
      </c>
      <c r="M110" s="97"/>
      <c r="N110" s="98"/>
    </row>
    <row r="111">
      <c r="A111" s="93" t="s">
        <v>413</v>
      </c>
      <c r="B111" s="91" t="s">
        <v>425</v>
      </c>
      <c r="C111" s="92" t="s">
        <v>233</v>
      </c>
      <c r="D111" s="93" t="s">
        <v>234</v>
      </c>
      <c r="E111" s="93" t="s">
        <v>235</v>
      </c>
      <c r="F111" s="100" t="s">
        <v>236</v>
      </c>
      <c r="G111" s="93" t="s">
        <v>237</v>
      </c>
      <c r="H111" s="92" t="s">
        <v>35</v>
      </c>
      <c r="I111" s="94" t="s">
        <v>36</v>
      </c>
      <c r="J111" s="95"/>
      <c r="K111" s="95"/>
      <c r="L111" s="96" t="s">
        <v>36</v>
      </c>
      <c r="M111" s="97"/>
      <c r="N111" s="98"/>
    </row>
    <row r="112">
      <c r="A112" s="93" t="s">
        <v>413</v>
      </c>
      <c r="B112" s="91" t="s">
        <v>426</v>
      </c>
      <c r="C112" s="101" t="s">
        <v>239</v>
      </c>
      <c r="D112" s="101" t="s">
        <v>240</v>
      </c>
      <c r="E112" s="93" t="s">
        <v>241</v>
      </c>
      <c r="F112" s="93" t="s">
        <v>200</v>
      </c>
      <c r="G112" s="90" t="s">
        <v>242</v>
      </c>
      <c r="H112" s="92" t="s">
        <v>35</v>
      </c>
      <c r="I112" s="99" t="s">
        <v>111</v>
      </c>
      <c r="J112" s="93" t="s">
        <v>427</v>
      </c>
      <c r="K112" s="95"/>
      <c r="L112" s="96" t="s">
        <v>36</v>
      </c>
      <c r="M112" s="97"/>
      <c r="N112" s="98"/>
    </row>
    <row r="113">
      <c r="A113" s="93" t="s">
        <v>413</v>
      </c>
      <c r="B113" s="91" t="s">
        <v>428</v>
      </c>
      <c r="C113" s="108" t="s">
        <v>244</v>
      </c>
      <c r="D113" s="108" t="s">
        <v>245</v>
      </c>
      <c r="E113" s="93" t="s">
        <v>241</v>
      </c>
      <c r="F113" s="93" t="s">
        <v>200</v>
      </c>
      <c r="G113" s="93" t="s">
        <v>246</v>
      </c>
      <c r="H113" s="92" t="s">
        <v>35</v>
      </c>
      <c r="I113" s="99" t="s">
        <v>111</v>
      </c>
      <c r="J113" s="93" t="s">
        <v>429</v>
      </c>
      <c r="K113" s="95"/>
      <c r="L113" s="96" t="s">
        <v>36</v>
      </c>
      <c r="M113" s="97"/>
      <c r="N113" s="98"/>
    </row>
    <row r="114">
      <c r="A114" s="93" t="s">
        <v>413</v>
      </c>
      <c r="B114" s="91" t="s">
        <v>430</v>
      </c>
      <c r="C114" s="108" t="s">
        <v>431</v>
      </c>
      <c r="D114" s="93" t="s">
        <v>432</v>
      </c>
      <c r="E114" s="93" t="s">
        <v>215</v>
      </c>
      <c r="F114" s="93" t="s">
        <v>200</v>
      </c>
      <c r="G114" s="93" t="s">
        <v>433</v>
      </c>
      <c r="H114" s="92" t="s">
        <v>35</v>
      </c>
      <c r="I114" s="99" t="s">
        <v>111</v>
      </c>
      <c r="J114" s="93" t="s">
        <v>434</v>
      </c>
      <c r="K114" s="95"/>
      <c r="L114" s="96" t="s">
        <v>36</v>
      </c>
      <c r="M114" s="97"/>
      <c r="N114" s="98"/>
    </row>
    <row r="115">
      <c r="A115" s="93" t="s">
        <v>413</v>
      </c>
      <c r="B115" s="91" t="s">
        <v>435</v>
      </c>
      <c r="C115" s="101" t="s">
        <v>248</v>
      </c>
      <c r="D115" s="93" t="s">
        <v>224</v>
      </c>
      <c r="E115" s="93" t="s">
        <v>215</v>
      </c>
      <c r="F115" s="93" t="s">
        <v>200</v>
      </c>
      <c r="G115" s="93" t="s">
        <v>226</v>
      </c>
      <c r="H115" s="92" t="s">
        <v>35</v>
      </c>
      <c r="I115" s="94" t="s">
        <v>36</v>
      </c>
      <c r="J115" s="95"/>
      <c r="K115" s="95"/>
      <c r="L115" s="96" t="s">
        <v>36</v>
      </c>
      <c r="M115" s="97"/>
      <c r="N115" s="98"/>
    </row>
    <row r="116">
      <c r="A116" s="93" t="s">
        <v>413</v>
      </c>
      <c r="B116" s="91" t="s">
        <v>436</v>
      </c>
      <c r="C116" s="101" t="s">
        <v>250</v>
      </c>
      <c r="D116" s="93" t="s">
        <v>229</v>
      </c>
      <c r="E116" s="93" t="s">
        <v>215</v>
      </c>
      <c r="F116" s="93" t="s">
        <v>230</v>
      </c>
      <c r="G116" s="93" t="s">
        <v>231</v>
      </c>
      <c r="H116" s="92" t="s">
        <v>35</v>
      </c>
      <c r="I116" s="94" t="s">
        <v>36</v>
      </c>
      <c r="J116" s="93"/>
      <c r="K116" s="95"/>
      <c r="L116" s="96" t="s">
        <v>36</v>
      </c>
      <c r="M116" s="97"/>
      <c r="N116" s="98"/>
    </row>
    <row r="117">
      <c r="A117" s="93" t="s">
        <v>413</v>
      </c>
      <c r="B117" s="91" t="s">
        <v>437</v>
      </c>
      <c r="C117" s="92" t="s">
        <v>252</v>
      </c>
      <c r="D117" s="101" t="s">
        <v>253</v>
      </c>
      <c r="E117" s="93" t="s">
        <v>215</v>
      </c>
      <c r="F117" s="93" t="s">
        <v>254</v>
      </c>
      <c r="G117" s="90" t="s">
        <v>255</v>
      </c>
      <c r="H117" s="92" t="s">
        <v>35</v>
      </c>
      <c r="I117" s="94" t="s">
        <v>36</v>
      </c>
      <c r="J117" s="93"/>
      <c r="K117" s="95"/>
      <c r="L117" s="96" t="s">
        <v>36</v>
      </c>
      <c r="M117" s="97"/>
      <c r="N117" s="98"/>
    </row>
    <row r="118">
      <c r="A118" s="93" t="s">
        <v>413</v>
      </c>
      <c r="B118" s="91" t="s">
        <v>438</v>
      </c>
      <c r="C118" s="92" t="s">
        <v>257</v>
      </c>
      <c r="D118" s="101" t="s">
        <v>258</v>
      </c>
      <c r="E118" s="93" t="s">
        <v>215</v>
      </c>
      <c r="F118" s="93" t="s">
        <v>259</v>
      </c>
      <c r="G118" s="90" t="s">
        <v>260</v>
      </c>
      <c r="H118" s="92" t="s">
        <v>35</v>
      </c>
      <c r="I118" s="94" t="s">
        <v>36</v>
      </c>
      <c r="J118" s="95"/>
      <c r="K118" s="95"/>
      <c r="L118" s="96" t="s">
        <v>36</v>
      </c>
      <c r="M118" s="97"/>
      <c r="N118" s="98"/>
    </row>
    <row r="119">
      <c r="A119" s="93" t="s">
        <v>413</v>
      </c>
      <c r="B119" s="91" t="s">
        <v>439</v>
      </c>
      <c r="C119" s="92" t="s">
        <v>262</v>
      </c>
      <c r="D119" s="101" t="s">
        <v>263</v>
      </c>
      <c r="E119" s="93" t="s">
        <v>215</v>
      </c>
      <c r="F119" s="93" t="s">
        <v>264</v>
      </c>
      <c r="G119" s="90" t="s">
        <v>265</v>
      </c>
      <c r="H119" s="92" t="s">
        <v>35</v>
      </c>
      <c r="I119" s="99" t="s">
        <v>111</v>
      </c>
      <c r="J119" s="93" t="s">
        <v>440</v>
      </c>
      <c r="K119" s="95"/>
      <c r="L119" s="96" t="s">
        <v>36</v>
      </c>
      <c r="M119" s="97"/>
      <c r="N119" s="98"/>
    </row>
    <row r="120">
      <c r="A120" s="93" t="s">
        <v>413</v>
      </c>
      <c r="B120" s="91" t="s">
        <v>441</v>
      </c>
      <c r="C120" s="92" t="s">
        <v>262</v>
      </c>
      <c r="D120" s="101" t="s">
        <v>267</v>
      </c>
      <c r="E120" s="93" t="s">
        <v>215</v>
      </c>
      <c r="F120" s="93" t="s">
        <v>268</v>
      </c>
      <c r="G120" s="90" t="s">
        <v>269</v>
      </c>
      <c r="H120" s="92" t="s">
        <v>35</v>
      </c>
      <c r="I120" s="99" t="s">
        <v>111</v>
      </c>
      <c r="J120" s="95" t="s">
        <v>440</v>
      </c>
      <c r="K120" s="95"/>
      <c r="L120" s="96" t="s">
        <v>36</v>
      </c>
      <c r="M120" s="97"/>
      <c r="N120" s="98"/>
    </row>
    <row r="121">
      <c r="A121" s="90" t="s">
        <v>383</v>
      </c>
      <c r="B121" s="91" t="s">
        <v>442</v>
      </c>
      <c r="C121" s="90" t="s">
        <v>271</v>
      </c>
      <c r="D121" s="90" t="s">
        <v>272</v>
      </c>
      <c r="E121" s="90" t="s">
        <v>273</v>
      </c>
      <c r="F121" s="90" t="s">
        <v>274</v>
      </c>
      <c r="G121" s="90" t="s">
        <v>275</v>
      </c>
      <c r="H121" s="101" t="s">
        <v>35</v>
      </c>
      <c r="I121" s="106" t="s">
        <v>36</v>
      </c>
      <c r="J121" s="104"/>
      <c r="K121" s="95"/>
      <c r="L121" s="96" t="s">
        <v>36</v>
      </c>
      <c r="M121" s="97"/>
      <c r="N121" s="98"/>
    </row>
    <row r="122">
      <c r="A122" s="93" t="s">
        <v>413</v>
      </c>
      <c r="B122" s="91" t="s">
        <v>443</v>
      </c>
      <c r="C122" s="92" t="s">
        <v>444</v>
      </c>
      <c r="D122" s="93" t="s">
        <v>445</v>
      </c>
      <c r="E122" s="93" t="s">
        <v>215</v>
      </c>
      <c r="F122" s="93" t="s">
        <v>200</v>
      </c>
      <c r="G122" s="90" t="s">
        <v>446</v>
      </c>
      <c r="H122" s="92" t="s">
        <v>35</v>
      </c>
      <c r="I122" s="99" t="s">
        <v>111</v>
      </c>
      <c r="J122" s="93" t="s">
        <v>447</v>
      </c>
      <c r="K122" s="95"/>
      <c r="L122" s="96" t="s">
        <v>36</v>
      </c>
      <c r="M122" s="97"/>
      <c r="N122" s="98"/>
    </row>
    <row r="123">
      <c r="A123" s="93" t="s">
        <v>413</v>
      </c>
      <c r="B123" s="91" t="s">
        <v>448</v>
      </c>
      <c r="C123" s="92" t="s">
        <v>277</v>
      </c>
      <c r="D123" s="93" t="s">
        <v>278</v>
      </c>
      <c r="E123" s="93" t="s">
        <v>215</v>
      </c>
      <c r="F123" s="93" t="s">
        <v>279</v>
      </c>
      <c r="G123" s="93" t="s">
        <v>280</v>
      </c>
      <c r="H123" s="92" t="s">
        <v>35</v>
      </c>
      <c r="I123" s="94" t="s">
        <v>36</v>
      </c>
      <c r="J123" s="93"/>
      <c r="K123" s="95"/>
      <c r="L123" s="96" t="s">
        <v>36</v>
      </c>
      <c r="M123" s="97"/>
      <c r="N123" s="98"/>
    </row>
    <row r="124">
      <c r="A124" s="93" t="s">
        <v>413</v>
      </c>
      <c r="B124" s="91" t="s">
        <v>449</v>
      </c>
      <c r="C124" s="92" t="s">
        <v>450</v>
      </c>
      <c r="D124" s="93" t="s">
        <v>451</v>
      </c>
      <c r="E124" s="93" t="s">
        <v>215</v>
      </c>
      <c r="F124" s="93" t="s">
        <v>200</v>
      </c>
      <c r="G124" s="93" t="s">
        <v>452</v>
      </c>
      <c r="H124" s="92" t="s">
        <v>35</v>
      </c>
      <c r="I124" s="99" t="s">
        <v>111</v>
      </c>
      <c r="J124" s="95" t="s">
        <v>453</v>
      </c>
      <c r="K124" s="95"/>
      <c r="L124" s="96" t="s">
        <v>36</v>
      </c>
      <c r="M124" s="97"/>
      <c r="N124" s="98"/>
    </row>
    <row r="125">
      <c r="A125" s="93" t="s">
        <v>413</v>
      </c>
      <c r="B125" s="91" t="s">
        <v>454</v>
      </c>
      <c r="C125" s="90" t="s">
        <v>282</v>
      </c>
      <c r="D125" s="90" t="s">
        <v>283</v>
      </c>
      <c r="E125" s="90" t="s">
        <v>284</v>
      </c>
      <c r="F125" s="90" t="s">
        <v>285</v>
      </c>
      <c r="G125" s="90" t="s">
        <v>286</v>
      </c>
      <c r="H125" s="101" t="s">
        <v>35</v>
      </c>
      <c r="I125" s="106" t="s">
        <v>36</v>
      </c>
      <c r="J125" s="103"/>
      <c r="K125" s="95"/>
      <c r="L125" s="96" t="s">
        <v>36</v>
      </c>
      <c r="M125" s="97"/>
      <c r="N125" s="98"/>
    </row>
    <row r="126">
      <c r="A126" s="93" t="s">
        <v>413</v>
      </c>
      <c r="B126" s="91" t="s">
        <v>455</v>
      </c>
      <c r="C126" s="90" t="s">
        <v>288</v>
      </c>
      <c r="D126" s="90" t="s">
        <v>289</v>
      </c>
      <c r="E126" s="90" t="s">
        <v>290</v>
      </c>
      <c r="F126" s="90" t="s">
        <v>274</v>
      </c>
      <c r="G126" s="90" t="s">
        <v>291</v>
      </c>
      <c r="H126" s="101" t="s">
        <v>35</v>
      </c>
      <c r="I126" s="106" t="s">
        <v>36</v>
      </c>
      <c r="J126" s="103"/>
      <c r="K126" s="95"/>
      <c r="L126" s="96" t="s">
        <v>36</v>
      </c>
      <c r="M126" s="97"/>
      <c r="N126" s="98"/>
    </row>
    <row r="127">
      <c r="A127" s="93" t="s">
        <v>413</v>
      </c>
      <c r="B127" s="91" t="s">
        <v>456</v>
      </c>
      <c r="C127" s="90" t="s">
        <v>293</v>
      </c>
      <c r="D127" s="90" t="s">
        <v>294</v>
      </c>
      <c r="E127" s="90" t="s">
        <v>284</v>
      </c>
      <c r="F127" s="90" t="s">
        <v>295</v>
      </c>
      <c r="G127" s="90" t="s">
        <v>296</v>
      </c>
      <c r="H127" s="101" t="s">
        <v>35</v>
      </c>
      <c r="I127" s="106" t="s">
        <v>36</v>
      </c>
      <c r="J127" s="104"/>
      <c r="K127" s="95"/>
      <c r="L127" s="96" t="s">
        <v>36</v>
      </c>
      <c r="M127" s="97"/>
      <c r="N127" s="98"/>
    </row>
    <row r="128">
      <c r="A128" s="93" t="s">
        <v>413</v>
      </c>
      <c r="B128" s="91" t="s">
        <v>457</v>
      </c>
      <c r="C128" s="90" t="s">
        <v>298</v>
      </c>
      <c r="D128" s="90" t="s">
        <v>299</v>
      </c>
      <c r="E128" s="90" t="s">
        <v>300</v>
      </c>
      <c r="F128" s="90" t="s">
        <v>301</v>
      </c>
      <c r="G128" s="90" t="s">
        <v>302</v>
      </c>
      <c r="H128" s="101" t="s">
        <v>35</v>
      </c>
      <c r="I128" s="106" t="s">
        <v>36</v>
      </c>
      <c r="J128" s="104"/>
      <c r="K128" s="95"/>
      <c r="L128" s="96" t="s">
        <v>36</v>
      </c>
      <c r="M128" s="97"/>
      <c r="N128" s="98"/>
    </row>
    <row r="129">
      <c r="A129" s="93" t="s">
        <v>413</v>
      </c>
      <c r="B129" s="91" t="s">
        <v>458</v>
      </c>
      <c r="C129" s="90" t="s">
        <v>304</v>
      </c>
      <c r="D129" s="90" t="s">
        <v>305</v>
      </c>
      <c r="E129" s="90" t="s">
        <v>284</v>
      </c>
      <c r="F129" s="90" t="s">
        <v>306</v>
      </c>
      <c r="G129" s="90" t="s">
        <v>307</v>
      </c>
      <c r="H129" s="101" t="s">
        <v>35</v>
      </c>
      <c r="I129" s="107" t="s">
        <v>111</v>
      </c>
      <c r="J129" s="109" t="s">
        <v>459</v>
      </c>
      <c r="K129" s="95"/>
      <c r="L129" s="96" t="s">
        <v>36</v>
      </c>
      <c r="M129" s="97"/>
      <c r="N129" s="98"/>
    </row>
    <row r="130">
      <c r="A130" s="93" t="s">
        <v>413</v>
      </c>
      <c r="B130" s="91" t="s">
        <v>460</v>
      </c>
      <c r="C130" s="105" t="s">
        <v>309</v>
      </c>
      <c r="D130" s="105" t="s">
        <v>310</v>
      </c>
      <c r="E130" s="90" t="s">
        <v>284</v>
      </c>
      <c r="F130" s="90" t="s">
        <v>311</v>
      </c>
      <c r="G130" s="90" t="s">
        <v>312</v>
      </c>
      <c r="H130" s="101" t="s">
        <v>35</v>
      </c>
      <c r="I130" s="106" t="s">
        <v>36</v>
      </c>
      <c r="J130" s="103"/>
      <c r="K130" s="95"/>
      <c r="L130" s="96" t="s">
        <v>36</v>
      </c>
      <c r="M130" s="97"/>
      <c r="N130" s="98"/>
    </row>
    <row r="131">
      <c r="A131" s="93" t="s">
        <v>413</v>
      </c>
      <c r="B131" s="91" t="s">
        <v>461</v>
      </c>
      <c r="C131" s="105" t="s">
        <v>314</v>
      </c>
      <c r="D131" s="90" t="s">
        <v>315</v>
      </c>
      <c r="E131" s="90" t="s">
        <v>316</v>
      </c>
      <c r="F131" s="90" t="s">
        <v>317</v>
      </c>
      <c r="G131" s="90" t="s">
        <v>318</v>
      </c>
      <c r="H131" s="101" t="s">
        <v>35</v>
      </c>
      <c r="I131" s="106" t="s">
        <v>36</v>
      </c>
      <c r="J131" s="103"/>
      <c r="K131" s="95"/>
      <c r="L131" s="96" t="s">
        <v>36</v>
      </c>
      <c r="M131" s="97"/>
      <c r="N131" s="98"/>
    </row>
    <row r="132">
      <c r="A132" s="83"/>
      <c r="B132" s="84"/>
      <c r="C132" s="83"/>
      <c r="D132" s="83"/>
      <c r="E132" s="83"/>
      <c r="F132" s="85" t="s">
        <v>189</v>
      </c>
      <c r="G132" s="83"/>
      <c r="H132" s="83"/>
      <c r="I132" s="83"/>
      <c r="J132" s="84"/>
      <c r="K132" s="86"/>
      <c r="L132" s="87"/>
      <c r="M132" s="88"/>
      <c r="N132" s="89"/>
    </row>
    <row r="133">
      <c r="A133" s="90" t="s">
        <v>195</v>
      </c>
      <c r="B133" s="91" t="s">
        <v>460</v>
      </c>
      <c r="C133" s="92" t="s">
        <v>197</v>
      </c>
      <c r="D133" s="93" t="s">
        <v>198</v>
      </c>
      <c r="E133" s="93" t="s">
        <v>199</v>
      </c>
      <c r="F133" s="93" t="s">
        <v>200</v>
      </c>
      <c r="G133" s="90" t="s">
        <v>201</v>
      </c>
      <c r="H133" s="92" t="s">
        <v>189</v>
      </c>
      <c r="I133" s="94" t="s">
        <v>36</v>
      </c>
      <c r="J133" s="95"/>
      <c r="K133" s="95"/>
      <c r="L133" s="96" t="s">
        <v>36</v>
      </c>
      <c r="M133" s="97"/>
      <c r="N133" s="98"/>
    </row>
    <row r="134">
      <c r="A134" s="90" t="s">
        <v>195</v>
      </c>
      <c r="B134" s="91" t="s">
        <v>461</v>
      </c>
      <c r="C134" s="92" t="s">
        <v>203</v>
      </c>
      <c r="D134" s="93" t="s">
        <v>204</v>
      </c>
      <c r="E134" s="93" t="s">
        <v>199</v>
      </c>
      <c r="F134" s="93" t="s">
        <v>200</v>
      </c>
      <c r="G134" s="90" t="s">
        <v>205</v>
      </c>
      <c r="H134" s="92" t="s">
        <v>189</v>
      </c>
      <c r="I134" s="99" t="s">
        <v>111</v>
      </c>
      <c r="J134" s="95" t="s">
        <v>206</v>
      </c>
      <c r="K134" s="95"/>
      <c r="L134" s="96" t="s">
        <v>36</v>
      </c>
      <c r="M134" s="97"/>
      <c r="N134" s="98"/>
    </row>
    <row r="135">
      <c r="A135" s="90" t="s">
        <v>195</v>
      </c>
      <c r="B135" s="91" t="s">
        <v>462</v>
      </c>
      <c r="C135" s="92" t="s">
        <v>208</v>
      </c>
      <c r="D135" s="93" t="s">
        <v>209</v>
      </c>
      <c r="E135" s="93" t="s">
        <v>210</v>
      </c>
      <c r="F135" s="93" t="s">
        <v>211</v>
      </c>
      <c r="G135" s="90" t="s">
        <v>212</v>
      </c>
      <c r="H135" s="92" t="s">
        <v>189</v>
      </c>
      <c r="I135" s="94" t="s">
        <v>36</v>
      </c>
      <c r="J135" s="93"/>
      <c r="K135" s="95"/>
      <c r="L135" s="96" t="s">
        <v>36</v>
      </c>
      <c r="M135" s="97"/>
      <c r="N135" s="98"/>
    </row>
    <row r="136">
      <c r="A136" s="90" t="s">
        <v>195</v>
      </c>
      <c r="B136" s="91" t="s">
        <v>463</v>
      </c>
      <c r="C136" s="92" t="s">
        <v>214</v>
      </c>
      <c r="D136" s="93" t="s">
        <v>209</v>
      </c>
      <c r="E136" s="93" t="s">
        <v>215</v>
      </c>
      <c r="F136" s="93" t="s">
        <v>211</v>
      </c>
      <c r="G136" s="90" t="s">
        <v>216</v>
      </c>
      <c r="H136" s="92" t="s">
        <v>189</v>
      </c>
      <c r="I136" s="99" t="s">
        <v>111</v>
      </c>
      <c r="J136" s="95" t="s">
        <v>217</v>
      </c>
      <c r="K136" s="95"/>
      <c r="L136" s="96" t="s">
        <v>36</v>
      </c>
      <c r="M136" s="97"/>
      <c r="N136" s="98"/>
    </row>
    <row r="137">
      <c r="A137" s="90" t="s">
        <v>195</v>
      </c>
      <c r="B137" s="91" t="s">
        <v>464</v>
      </c>
      <c r="C137" s="92" t="s">
        <v>219</v>
      </c>
      <c r="D137" s="93" t="s">
        <v>220</v>
      </c>
      <c r="E137" s="93" t="s">
        <v>215</v>
      </c>
      <c r="F137" s="93" t="s">
        <v>211</v>
      </c>
      <c r="G137" s="93" t="s">
        <v>221</v>
      </c>
      <c r="H137" s="92" t="s">
        <v>189</v>
      </c>
      <c r="I137" s="94" t="s">
        <v>36</v>
      </c>
      <c r="J137" s="95"/>
      <c r="K137" s="95"/>
      <c r="L137" s="96" t="s">
        <v>36</v>
      </c>
      <c r="M137" s="97"/>
      <c r="N137" s="98"/>
    </row>
    <row r="138">
      <c r="A138" s="90" t="s">
        <v>195</v>
      </c>
      <c r="B138" s="91" t="s">
        <v>465</v>
      </c>
      <c r="C138" s="92" t="s">
        <v>223</v>
      </c>
      <c r="D138" s="93" t="s">
        <v>224</v>
      </c>
      <c r="E138" s="93" t="s">
        <v>215</v>
      </c>
      <c r="F138" s="93" t="s">
        <v>225</v>
      </c>
      <c r="G138" s="93" t="s">
        <v>226</v>
      </c>
      <c r="H138" s="92" t="s">
        <v>189</v>
      </c>
      <c r="I138" s="94" t="s">
        <v>36</v>
      </c>
      <c r="J138" s="95"/>
      <c r="K138" s="95"/>
      <c r="L138" s="96" t="s">
        <v>36</v>
      </c>
      <c r="M138" s="97"/>
      <c r="N138" s="98"/>
    </row>
    <row r="139">
      <c r="A139" s="90" t="s">
        <v>195</v>
      </c>
      <c r="B139" s="91" t="s">
        <v>466</v>
      </c>
      <c r="C139" s="92" t="s">
        <v>228</v>
      </c>
      <c r="D139" s="93" t="s">
        <v>229</v>
      </c>
      <c r="E139" s="93" t="s">
        <v>215</v>
      </c>
      <c r="F139" s="93" t="s">
        <v>230</v>
      </c>
      <c r="G139" s="93" t="s">
        <v>231</v>
      </c>
      <c r="H139" s="92" t="s">
        <v>189</v>
      </c>
      <c r="I139" s="94" t="s">
        <v>36</v>
      </c>
      <c r="J139" s="95"/>
      <c r="K139" s="95"/>
      <c r="L139" s="96" t="s">
        <v>36</v>
      </c>
      <c r="M139" s="97"/>
      <c r="N139" s="98"/>
    </row>
    <row r="140">
      <c r="A140" s="90" t="s">
        <v>195</v>
      </c>
      <c r="B140" s="91" t="s">
        <v>467</v>
      </c>
      <c r="C140" s="92" t="s">
        <v>233</v>
      </c>
      <c r="D140" s="93" t="s">
        <v>234</v>
      </c>
      <c r="E140" s="93" t="s">
        <v>235</v>
      </c>
      <c r="F140" s="100" t="s">
        <v>236</v>
      </c>
      <c r="G140" s="93" t="s">
        <v>237</v>
      </c>
      <c r="H140" s="92" t="s">
        <v>189</v>
      </c>
      <c r="I140" s="94" t="s">
        <v>36</v>
      </c>
      <c r="J140" s="93"/>
      <c r="K140" s="95"/>
      <c r="L140" s="96" t="s">
        <v>36</v>
      </c>
      <c r="M140" s="97"/>
      <c r="N140" s="98"/>
    </row>
    <row r="141">
      <c r="A141" s="90" t="s">
        <v>195</v>
      </c>
      <c r="B141" s="91" t="s">
        <v>468</v>
      </c>
      <c r="C141" s="101" t="s">
        <v>239</v>
      </c>
      <c r="D141" s="101" t="s">
        <v>240</v>
      </c>
      <c r="E141" s="93" t="s">
        <v>241</v>
      </c>
      <c r="F141" s="93" t="s">
        <v>200</v>
      </c>
      <c r="G141" s="90" t="s">
        <v>242</v>
      </c>
      <c r="H141" s="92" t="s">
        <v>189</v>
      </c>
      <c r="I141" s="94" t="s">
        <v>36</v>
      </c>
      <c r="J141" s="93"/>
      <c r="K141" s="95"/>
      <c r="L141" s="96" t="s">
        <v>36</v>
      </c>
      <c r="M141" s="97"/>
      <c r="N141" s="98"/>
    </row>
    <row r="142">
      <c r="A142" s="90" t="s">
        <v>195</v>
      </c>
      <c r="B142" s="91" t="s">
        <v>469</v>
      </c>
      <c r="C142" s="101" t="s">
        <v>244</v>
      </c>
      <c r="D142" s="101" t="s">
        <v>245</v>
      </c>
      <c r="E142" s="93" t="s">
        <v>241</v>
      </c>
      <c r="F142" s="93" t="s">
        <v>200</v>
      </c>
      <c r="G142" s="93" t="s">
        <v>246</v>
      </c>
      <c r="H142" s="92" t="s">
        <v>189</v>
      </c>
      <c r="I142" s="94" t="s">
        <v>36</v>
      </c>
      <c r="J142" s="93"/>
      <c r="K142" s="95"/>
      <c r="L142" s="96" t="s">
        <v>36</v>
      </c>
      <c r="M142" s="97"/>
      <c r="N142" s="98"/>
    </row>
    <row r="143">
      <c r="A143" s="90" t="s">
        <v>195</v>
      </c>
      <c r="B143" s="91" t="s">
        <v>470</v>
      </c>
      <c r="C143" s="101" t="s">
        <v>248</v>
      </c>
      <c r="D143" s="93" t="s">
        <v>224</v>
      </c>
      <c r="E143" s="93" t="s">
        <v>215</v>
      </c>
      <c r="F143" s="93" t="s">
        <v>200</v>
      </c>
      <c r="G143" s="93" t="s">
        <v>226</v>
      </c>
      <c r="H143" s="92" t="s">
        <v>189</v>
      </c>
      <c r="I143" s="94" t="s">
        <v>36</v>
      </c>
      <c r="J143" s="93"/>
      <c r="K143" s="95"/>
      <c r="L143" s="96" t="s">
        <v>36</v>
      </c>
      <c r="M143" s="97"/>
      <c r="N143" s="98"/>
    </row>
    <row r="144">
      <c r="A144" s="90" t="s">
        <v>195</v>
      </c>
      <c r="B144" s="91" t="s">
        <v>471</v>
      </c>
      <c r="C144" s="101" t="s">
        <v>250</v>
      </c>
      <c r="D144" s="93" t="s">
        <v>229</v>
      </c>
      <c r="E144" s="93" t="s">
        <v>215</v>
      </c>
      <c r="F144" s="93" t="s">
        <v>230</v>
      </c>
      <c r="G144" s="93" t="s">
        <v>231</v>
      </c>
      <c r="H144" s="92" t="s">
        <v>189</v>
      </c>
      <c r="I144" s="94" t="s">
        <v>36</v>
      </c>
      <c r="J144" s="95"/>
      <c r="K144" s="95"/>
      <c r="L144" s="96" t="s">
        <v>36</v>
      </c>
      <c r="M144" s="97"/>
      <c r="N144" s="98"/>
    </row>
    <row r="145">
      <c r="A145" s="90" t="s">
        <v>195</v>
      </c>
      <c r="B145" s="91" t="s">
        <v>472</v>
      </c>
      <c r="C145" s="92" t="s">
        <v>252</v>
      </c>
      <c r="D145" s="101" t="s">
        <v>253</v>
      </c>
      <c r="E145" s="93" t="s">
        <v>215</v>
      </c>
      <c r="F145" s="93" t="s">
        <v>254</v>
      </c>
      <c r="G145" s="90" t="s">
        <v>255</v>
      </c>
      <c r="H145" s="92" t="s">
        <v>189</v>
      </c>
      <c r="I145" s="94" t="s">
        <v>36</v>
      </c>
      <c r="J145" s="95"/>
      <c r="K145" s="95"/>
      <c r="L145" s="96" t="s">
        <v>36</v>
      </c>
      <c r="M145" s="97"/>
      <c r="N145" s="98"/>
    </row>
    <row r="146">
      <c r="A146" s="90" t="s">
        <v>195</v>
      </c>
      <c r="B146" s="91" t="s">
        <v>473</v>
      </c>
      <c r="C146" s="92" t="s">
        <v>257</v>
      </c>
      <c r="D146" s="101" t="s">
        <v>258</v>
      </c>
      <c r="E146" s="93" t="s">
        <v>215</v>
      </c>
      <c r="F146" s="93" t="s">
        <v>259</v>
      </c>
      <c r="G146" s="90" t="s">
        <v>260</v>
      </c>
      <c r="H146" s="92" t="s">
        <v>189</v>
      </c>
      <c r="I146" s="94" t="s">
        <v>36</v>
      </c>
      <c r="J146" s="95"/>
      <c r="K146" s="95"/>
      <c r="L146" s="96" t="s">
        <v>36</v>
      </c>
      <c r="M146" s="97"/>
      <c r="N146" s="98"/>
    </row>
    <row r="147">
      <c r="A147" s="90" t="s">
        <v>195</v>
      </c>
      <c r="B147" s="91" t="s">
        <v>474</v>
      </c>
      <c r="C147" s="91" t="s">
        <v>262</v>
      </c>
      <c r="D147" s="108" t="s">
        <v>263</v>
      </c>
      <c r="E147" s="93" t="s">
        <v>215</v>
      </c>
      <c r="F147" s="93" t="s">
        <v>264</v>
      </c>
      <c r="G147" s="90" t="s">
        <v>265</v>
      </c>
      <c r="H147" s="92" t="s">
        <v>189</v>
      </c>
      <c r="I147" s="94" t="s">
        <v>36</v>
      </c>
      <c r="J147" s="95"/>
      <c r="K147" s="95"/>
      <c r="L147" s="96" t="s">
        <v>36</v>
      </c>
      <c r="M147" s="97"/>
      <c r="N147" s="98"/>
    </row>
    <row r="148">
      <c r="A148" s="90" t="s">
        <v>195</v>
      </c>
      <c r="B148" s="91" t="s">
        <v>475</v>
      </c>
      <c r="C148" s="91" t="s">
        <v>262</v>
      </c>
      <c r="D148" s="101" t="s">
        <v>267</v>
      </c>
      <c r="E148" s="93" t="s">
        <v>215</v>
      </c>
      <c r="F148" s="93" t="s">
        <v>268</v>
      </c>
      <c r="G148" s="90" t="s">
        <v>269</v>
      </c>
      <c r="H148" s="92" t="s">
        <v>189</v>
      </c>
      <c r="I148" s="94" t="s">
        <v>36</v>
      </c>
      <c r="J148" s="93"/>
      <c r="K148" s="95"/>
      <c r="L148" s="96" t="s">
        <v>36</v>
      </c>
      <c r="M148" s="97"/>
      <c r="N148" s="98"/>
    </row>
    <row r="149">
      <c r="A149" s="90" t="s">
        <v>195</v>
      </c>
      <c r="B149" s="91" t="s">
        <v>476</v>
      </c>
      <c r="C149" s="90" t="s">
        <v>271</v>
      </c>
      <c r="D149" s="90" t="s">
        <v>272</v>
      </c>
      <c r="E149" s="90" t="s">
        <v>273</v>
      </c>
      <c r="F149" s="90" t="s">
        <v>274</v>
      </c>
      <c r="G149" s="90" t="s">
        <v>275</v>
      </c>
      <c r="H149" s="92" t="s">
        <v>189</v>
      </c>
      <c r="I149" s="94" t="s">
        <v>36</v>
      </c>
      <c r="J149" s="103"/>
      <c r="K149" s="95"/>
      <c r="L149" s="96" t="s">
        <v>36</v>
      </c>
      <c r="M149" s="97"/>
      <c r="N149" s="98"/>
    </row>
    <row r="150">
      <c r="A150" s="90" t="s">
        <v>195</v>
      </c>
      <c r="B150" s="91" t="s">
        <v>477</v>
      </c>
      <c r="C150" s="92" t="s">
        <v>277</v>
      </c>
      <c r="D150" s="93" t="s">
        <v>278</v>
      </c>
      <c r="E150" s="93" t="s">
        <v>215</v>
      </c>
      <c r="F150" s="93" t="s">
        <v>279</v>
      </c>
      <c r="G150" s="93" t="s">
        <v>280</v>
      </c>
      <c r="H150" s="92" t="s">
        <v>189</v>
      </c>
      <c r="I150" s="94" t="s">
        <v>36</v>
      </c>
      <c r="J150" s="93"/>
      <c r="K150" s="95"/>
      <c r="L150" s="96" t="s">
        <v>36</v>
      </c>
      <c r="M150" s="97"/>
      <c r="N150" s="98"/>
    </row>
    <row r="151">
      <c r="A151" s="90" t="s">
        <v>195</v>
      </c>
      <c r="B151" s="91" t="s">
        <v>478</v>
      </c>
      <c r="C151" s="90" t="s">
        <v>282</v>
      </c>
      <c r="D151" s="90" t="s">
        <v>283</v>
      </c>
      <c r="E151" s="90" t="s">
        <v>284</v>
      </c>
      <c r="F151" s="90" t="s">
        <v>285</v>
      </c>
      <c r="G151" s="90" t="s">
        <v>286</v>
      </c>
      <c r="H151" s="92" t="s">
        <v>189</v>
      </c>
      <c r="I151" s="94" t="s">
        <v>36</v>
      </c>
      <c r="J151" s="104"/>
      <c r="K151" s="95"/>
      <c r="L151" s="96" t="s">
        <v>36</v>
      </c>
      <c r="M151" s="97"/>
      <c r="N151" s="98"/>
    </row>
    <row r="152">
      <c r="A152" s="90" t="s">
        <v>195</v>
      </c>
      <c r="B152" s="91" t="s">
        <v>479</v>
      </c>
      <c r="C152" s="90" t="s">
        <v>288</v>
      </c>
      <c r="D152" s="90" t="s">
        <v>289</v>
      </c>
      <c r="E152" s="90" t="s">
        <v>290</v>
      </c>
      <c r="F152" s="90" t="s">
        <v>274</v>
      </c>
      <c r="G152" s="90" t="s">
        <v>291</v>
      </c>
      <c r="H152" s="92" t="s">
        <v>189</v>
      </c>
      <c r="I152" s="94" t="s">
        <v>36</v>
      </c>
      <c r="J152" s="103"/>
      <c r="K152" s="95"/>
      <c r="L152" s="96" t="s">
        <v>36</v>
      </c>
      <c r="M152" s="97"/>
      <c r="N152" s="98"/>
    </row>
    <row r="153">
      <c r="A153" s="90" t="s">
        <v>195</v>
      </c>
      <c r="B153" s="91" t="s">
        <v>480</v>
      </c>
      <c r="C153" s="90" t="s">
        <v>293</v>
      </c>
      <c r="D153" s="90" t="s">
        <v>294</v>
      </c>
      <c r="E153" s="90" t="s">
        <v>284</v>
      </c>
      <c r="F153" s="90" t="s">
        <v>295</v>
      </c>
      <c r="G153" s="90" t="s">
        <v>296</v>
      </c>
      <c r="H153" s="92" t="s">
        <v>189</v>
      </c>
      <c r="I153" s="94" t="s">
        <v>36</v>
      </c>
      <c r="J153" s="103"/>
      <c r="K153" s="95"/>
      <c r="L153" s="96" t="s">
        <v>36</v>
      </c>
      <c r="M153" s="97"/>
      <c r="N153" s="98"/>
    </row>
    <row r="154">
      <c r="A154" s="90" t="s">
        <v>195</v>
      </c>
      <c r="B154" s="91" t="s">
        <v>481</v>
      </c>
      <c r="C154" s="90" t="s">
        <v>298</v>
      </c>
      <c r="D154" s="90" t="s">
        <v>299</v>
      </c>
      <c r="E154" s="90" t="s">
        <v>300</v>
      </c>
      <c r="F154" s="90" t="s">
        <v>301</v>
      </c>
      <c r="G154" s="90" t="s">
        <v>302</v>
      </c>
      <c r="H154" s="92" t="s">
        <v>189</v>
      </c>
      <c r="I154" s="94" t="s">
        <v>36</v>
      </c>
      <c r="J154" s="103"/>
      <c r="K154" s="95"/>
      <c r="L154" s="96" t="s">
        <v>36</v>
      </c>
      <c r="M154" s="97"/>
      <c r="N154" s="98"/>
    </row>
    <row r="155">
      <c r="A155" s="90" t="s">
        <v>195</v>
      </c>
      <c r="B155" s="91" t="s">
        <v>482</v>
      </c>
      <c r="C155" s="90" t="s">
        <v>304</v>
      </c>
      <c r="D155" s="90" t="s">
        <v>305</v>
      </c>
      <c r="E155" s="90" t="s">
        <v>284</v>
      </c>
      <c r="F155" s="90" t="s">
        <v>306</v>
      </c>
      <c r="G155" s="90" t="s">
        <v>307</v>
      </c>
      <c r="H155" s="92" t="s">
        <v>189</v>
      </c>
      <c r="I155" s="94" t="s">
        <v>36</v>
      </c>
      <c r="J155" s="104"/>
      <c r="K155" s="95"/>
      <c r="L155" s="96" t="s">
        <v>36</v>
      </c>
      <c r="M155" s="97"/>
      <c r="N155" s="98"/>
    </row>
    <row r="156">
      <c r="A156" s="90" t="s">
        <v>195</v>
      </c>
      <c r="B156" s="91" t="s">
        <v>483</v>
      </c>
      <c r="C156" s="90" t="s">
        <v>309</v>
      </c>
      <c r="D156" s="90" t="s">
        <v>310</v>
      </c>
      <c r="E156" s="90" t="s">
        <v>284</v>
      </c>
      <c r="F156" s="90" t="s">
        <v>311</v>
      </c>
      <c r="G156" s="90" t="s">
        <v>312</v>
      </c>
      <c r="H156" s="92" t="s">
        <v>189</v>
      </c>
      <c r="I156" s="94" t="s">
        <v>36</v>
      </c>
      <c r="J156" s="104"/>
      <c r="K156" s="95"/>
      <c r="L156" s="96" t="s">
        <v>36</v>
      </c>
      <c r="M156" s="97"/>
      <c r="N156" s="98"/>
    </row>
    <row r="157">
      <c r="A157" s="90" t="s">
        <v>195</v>
      </c>
      <c r="B157" s="91" t="s">
        <v>484</v>
      </c>
      <c r="C157" s="90" t="s">
        <v>314</v>
      </c>
      <c r="D157" s="90" t="s">
        <v>315</v>
      </c>
      <c r="E157" s="90" t="s">
        <v>316</v>
      </c>
      <c r="F157" s="90" t="s">
        <v>317</v>
      </c>
      <c r="G157" s="90" t="s">
        <v>318</v>
      </c>
      <c r="H157" s="92" t="s">
        <v>189</v>
      </c>
      <c r="I157" s="94" t="s">
        <v>36</v>
      </c>
      <c r="J157" s="104"/>
      <c r="K157" s="95"/>
      <c r="L157" s="96" t="s">
        <v>36</v>
      </c>
      <c r="M157" s="97"/>
      <c r="N157" s="98"/>
    </row>
    <row r="158">
      <c r="A158" s="92" t="s">
        <v>319</v>
      </c>
      <c r="B158" s="91" t="s">
        <v>485</v>
      </c>
      <c r="C158" s="92" t="s">
        <v>197</v>
      </c>
      <c r="D158" s="93" t="s">
        <v>198</v>
      </c>
      <c r="E158" s="93" t="s">
        <v>199</v>
      </c>
      <c r="F158" s="93" t="s">
        <v>200</v>
      </c>
      <c r="G158" s="90" t="s">
        <v>201</v>
      </c>
      <c r="H158" s="92" t="s">
        <v>189</v>
      </c>
      <c r="I158" s="99" t="s">
        <v>111</v>
      </c>
      <c r="J158" s="93" t="s">
        <v>321</v>
      </c>
      <c r="K158" s="95"/>
      <c r="L158" s="96" t="s">
        <v>111</v>
      </c>
      <c r="M158" s="97"/>
      <c r="N158" s="98"/>
    </row>
    <row r="159">
      <c r="A159" s="90" t="s">
        <v>322</v>
      </c>
      <c r="B159" s="91" t="s">
        <v>486</v>
      </c>
      <c r="C159" s="92" t="s">
        <v>197</v>
      </c>
      <c r="D159" s="93" t="s">
        <v>198</v>
      </c>
      <c r="E159" s="93" t="s">
        <v>199</v>
      </c>
      <c r="F159" s="93" t="s">
        <v>200</v>
      </c>
      <c r="G159" s="90" t="s">
        <v>201</v>
      </c>
      <c r="H159" s="92" t="s">
        <v>189</v>
      </c>
      <c r="I159" s="106" t="s">
        <v>36</v>
      </c>
      <c r="J159" s="93"/>
      <c r="K159" s="95"/>
      <c r="L159" s="96" t="s">
        <v>36</v>
      </c>
      <c r="M159" s="97"/>
      <c r="N159" s="98"/>
    </row>
    <row r="160">
      <c r="A160" s="90" t="s">
        <v>322</v>
      </c>
      <c r="B160" s="91" t="s">
        <v>487</v>
      </c>
      <c r="C160" s="92" t="s">
        <v>203</v>
      </c>
      <c r="D160" s="93" t="s">
        <v>204</v>
      </c>
      <c r="E160" s="93" t="s">
        <v>199</v>
      </c>
      <c r="F160" s="93" t="s">
        <v>200</v>
      </c>
      <c r="G160" s="90" t="s">
        <v>205</v>
      </c>
      <c r="H160" s="92" t="s">
        <v>189</v>
      </c>
      <c r="I160" s="107" t="s">
        <v>111</v>
      </c>
      <c r="J160" s="90" t="s">
        <v>206</v>
      </c>
      <c r="K160" s="95"/>
      <c r="L160" s="96" t="s">
        <v>36</v>
      </c>
      <c r="M160" s="97"/>
      <c r="N160" s="98"/>
    </row>
    <row r="161">
      <c r="A161" s="90" t="s">
        <v>322</v>
      </c>
      <c r="B161" s="91" t="s">
        <v>488</v>
      </c>
      <c r="C161" s="92" t="s">
        <v>208</v>
      </c>
      <c r="D161" s="93" t="s">
        <v>209</v>
      </c>
      <c r="E161" s="93" t="s">
        <v>210</v>
      </c>
      <c r="F161" s="93" t="s">
        <v>211</v>
      </c>
      <c r="G161" s="90" t="s">
        <v>212</v>
      </c>
      <c r="H161" s="92" t="s">
        <v>189</v>
      </c>
      <c r="I161" s="107" t="s">
        <v>111</v>
      </c>
      <c r="J161" s="105" t="s">
        <v>326</v>
      </c>
      <c r="K161" s="95"/>
      <c r="L161" s="96" t="s">
        <v>111</v>
      </c>
      <c r="M161" s="97"/>
      <c r="N161" s="98"/>
    </row>
    <row r="162">
      <c r="A162" s="90" t="s">
        <v>322</v>
      </c>
      <c r="B162" s="91" t="s">
        <v>489</v>
      </c>
      <c r="C162" s="92" t="s">
        <v>214</v>
      </c>
      <c r="D162" s="93" t="s">
        <v>209</v>
      </c>
      <c r="E162" s="93" t="s">
        <v>215</v>
      </c>
      <c r="F162" s="93" t="s">
        <v>211</v>
      </c>
      <c r="G162" s="90" t="s">
        <v>216</v>
      </c>
      <c r="H162" s="92" t="s">
        <v>189</v>
      </c>
      <c r="I162" s="107" t="s">
        <v>111</v>
      </c>
      <c r="J162" s="105" t="s">
        <v>217</v>
      </c>
      <c r="K162" s="95"/>
      <c r="L162" s="96" t="s">
        <v>36</v>
      </c>
      <c r="M162" s="97"/>
      <c r="N162" s="98"/>
    </row>
    <row r="163">
      <c r="A163" s="90" t="s">
        <v>322</v>
      </c>
      <c r="B163" s="91" t="s">
        <v>490</v>
      </c>
      <c r="C163" s="92" t="s">
        <v>219</v>
      </c>
      <c r="D163" s="93" t="s">
        <v>220</v>
      </c>
      <c r="E163" s="93" t="s">
        <v>215</v>
      </c>
      <c r="F163" s="93" t="s">
        <v>211</v>
      </c>
      <c r="G163" s="93" t="s">
        <v>221</v>
      </c>
      <c r="H163" s="92" t="s">
        <v>189</v>
      </c>
      <c r="I163" s="106" t="s">
        <v>36</v>
      </c>
      <c r="J163" s="93"/>
      <c r="K163" s="95"/>
      <c r="L163" s="96" t="s">
        <v>36</v>
      </c>
      <c r="M163" s="97"/>
      <c r="N163" s="98"/>
    </row>
    <row r="164">
      <c r="A164" s="90" t="s">
        <v>322</v>
      </c>
      <c r="B164" s="91" t="s">
        <v>491</v>
      </c>
      <c r="C164" s="91" t="s">
        <v>223</v>
      </c>
      <c r="D164" s="95" t="s">
        <v>224</v>
      </c>
      <c r="E164" s="93" t="s">
        <v>215</v>
      </c>
      <c r="F164" s="93" t="s">
        <v>225</v>
      </c>
      <c r="G164" s="93" t="s">
        <v>226</v>
      </c>
      <c r="H164" s="92" t="s">
        <v>189</v>
      </c>
      <c r="I164" s="107" t="s">
        <v>111</v>
      </c>
      <c r="J164" s="105" t="s">
        <v>330</v>
      </c>
      <c r="K164" s="95"/>
      <c r="L164" s="96" t="s">
        <v>111</v>
      </c>
      <c r="M164" s="97"/>
      <c r="N164" s="98"/>
    </row>
    <row r="165">
      <c r="A165" s="90" t="s">
        <v>322</v>
      </c>
      <c r="B165" s="91" t="s">
        <v>492</v>
      </c>
      <c r="C165" s="91" t="s">
        <v>228</v>
      </c>
      <c r="D165" s="93" t="s">
        <v>229</v>
      </c>
      <c r="E165" s="93" t="s">
        <v>215</v>
      </c>
      <c r="F165" s="93" t="s">
        <v>230</v>
      </c>
      <c r="G165" s="93" t="s">
        <v>231</v>
      </c>
      <c r="H165" s="92" t="s">
        <v>189</v>
      </c>
      <c r="I165" s="107" t="s">
        <v>111</v>
      </c>
      <c r="J165" s="90" t="s">
        <v>332</v>
      </c>
      <c r="K165" s="95"/>
      <c r="L165" s="96" t="s">
        <v>111</v>
      </c>
      <c r="M165" s="97"/>
      <c r="N165" s="98"/>
    </row>
    <row r="166">
      <c r="A166" s="90" t="s">
        <v>322</v>
      </c>
      <c r="B166" s="91" t="s">
        <v>493</v>
      </c>
      <c r="C166" s="92" t="s">
        <v>233</v>
      </c>
      <c r="D166" s="93" t="s">
        <v>234</v>
      </c>
      <c r="E166" s="93" t="s">
        <v>235</v>
      </c>
      <c r="F166" s="100" t="s">
        <v>236</v>
      </c>
      <c r="G166" s="93" t="s">
        <v>237</v>
      </c>
      <c r="H166" s="92" t="s">
        <v>189</v>
      </c>
      <c r="I166" s="106" t="s">
        <v>36</v>
      </c>
      <c r="J166" s="95"/>
      <c r="K166" s="95"/>
      <c r="L166" s="96" t="s">
        <v>36</v>
      </c>
      <c r="M166" s="97"/>
      <c r="N166" s="98"/>
    </row>
    <row r="167">
      <c r="A167" s="90" t="s">
        <v>322</v>
      </c>
      <c r="B167" s="91" t="s">
        <v>494</v>
      </c>
      <c r="C167" s="101" t="s">
        <v>239</v>
      </c>
      <c r="D167" s="101" t="s">
        <v>240</v>
      </c>
      <c r="E167" s="93" t="s">
        <v>241</v>
      </c>
      <c r="F167" s="93" t="s">
        <v>200</v>
      </c>
      <c r="G167" s="90" t="s">
        <v>242</v>
      </c>
      <c r="H167" s="92" t="s">
        <v>189</v>
      </c>
      <c r="I167" s="107" t="s">
        <v>111</v>
      </c>
      <c r="J167" s="105" t="s">
        <v>335</v>
      </c>
      <c r="K167" s="95"/>
      <c r="L167" s="96" t="s">
        <v>36</v>
      </c>
      <c r="M167" s="97"/>
      <c r="N167" s="98"/>
    </row>
    <row r="168">
      <c r="A168" s="90" t="s">
        <v>322</v>
      </c>
      <c r="B168" s="91" t="s">
        <v>495</v>
      </c>
      <c r="C168" s="101" t="s">
        <v>244</v>
      </c>
      <c r="D168" s="101" t="s">
        <v>245</v>
      </c>
      <c r="E168" s="93" t="s">
        <v>241</v>
      </c>
      <c r="F168" s="93" t="s">
        <v>200</v>
      </c>
      <c r="G168" s="93" t="s">
        <v>246</v>
      </c>
      <c r="H168" s="92" t="s">
        <v>189</v>
      </c>
      <c r="I168" s="106" t="s">
        <v>36</v>
      </c>
      <c r="J168" s="95"/>
      <c r="K168" s="95"/>
      <c r="L168" s="96" t="s">
        <v>36</v>
      </c>
      <c r="M168" s="97"/>
      <c r="N168" s="98"/>
    </row>
    <row r="169">
      <c r="A169" s="90" t="s">
        <v>322</v>
      </c>
      <c r="B169" s="91" t="s">
        <v>496</v>
      </c>
      <c r="C169" s="101" t="s">
        <v>248</v>
      </c>
      <c r="D169" s="93" t="s">
        <v>224</v>
      </c>
      <c r="E169" s="93" t="s">
        <v>215</v>
      </c>
      <c r="F169" s="93" t="s">
        <v>200</v>
      </c>
      <c r="G169" s="93" t="s">
        <v>226</v>
      </c>
      <c r="H169" s="92" t="s">
        <v>189</v>
      </c>
      <c r="I169" s="107" t="s">
        <v>111</v>
      </c>
      <c r="J169" s="105" t="s">
        <v>330</v>
      </c>
      <c r="K169" s="95"/>
      <c r="L169" s="96" t="s">
        <v>111</v>
      </c>
      <c r="M169" s="97"/>
      <c r="N169" s="98"/>
    </row>
    <row r="170">
      <c r="A170" s="90" t="s">
        <v>322</v>
      </c>
      <c r="B170" s="91" t="s">
        <v>497</v>
      </c>
      <c r="C170" s="101" t="s">
        <v>250</v>
      </c>
      <c r="D170" s="93" t="s">
        <v>229</v>
      </c>
      <c r="E170" s="93" t="s">
        <v>215</v>
      </c>
      <c r="F170" s="93" t="s">
        <v>230</v>
      </c>
      <c r="G170" s="93" t="s">
        <v>231</v>
      </c>
      <c r="H170" s="92" t="s">
        <v>189</v>
      </c>
      <c r="I170" s="107" t="s">
        <v>111</v>
      </c>
      <c r="J170" s="90" t="s">
        <v>332</v>
      </c>
      <c r="K170" s="95"/>
      <c r="L170" s="96" t="s">
        <v>111</v>
      </c>
      <c r="M170" s="97"/>
      <c r="N170" s="98"/>
    </row>
    <row r="171">
      <c r="A171" s="90" t="s">
        <v>322</v>
      </c>
      <c r="B171" s="91" t="s">
        <v>498</v>
      </c>
      <c r="C171" s="92" t="s">
        <v>252</v>
      </c>
      <c r="D171" s="101" t="s">
        <v>253</v>
      </c>
      <c r="E171" s="93" t="s">
        <v>215</v>
      </c>
      <c r="F171" s="93" t="s">
        <v>254</v>
      </c>
      <c r="G171" s="90" t="s">
        <v>255</v>
      </c>
      <c r="H171" s="92" t="s">
        <v>189</v>
      </c>
      <c r="I171" s="106" t="s">
        <v>36</v>
      </c>
      <c r="J171" s="90" t="s">
        <v>340</v>
      </c>
      <c r="K171" s="95"/>
      <c r="L171" s="96" t="s">
        <v>36</v>
      </c>
      <c r="M171" s="97"/>
      <c r="N171" s="98"/>
    </row>
    <row r="172">
      <c r="A172" s="90" t="s">
        <v>322</v>
      </c>
      <c r="B172" s="91" t="s">
        <v>499</v>
      </c>
      <c r="C172" s="92" t="s">
        <v>257</v>
      </c>
      <c r="D172" s="101" t="s">
        <v>258</v>
      </c>
      <c r="E172" s="93" t="s">
        <v>215</v>
      </c>
      <c r="F172" s="93" t="s">
        <v>259</v>
      </c>
      <c r="G172" s="90" t="s">
        <v>260</v>
      </c>
      <c r="H172" s="92" t="s">
        <v>189</v>
      </c>
      <c r="I172" s="107" t="s">
        <v>111</v>
      </c>
      <c r="J172" s="110" t="s">
        <v>342</v>
      </c>
      <c r="K172" s="95"/>
      <c r="L172" s="96" t="s">
        <v>111</v>
      </c>
      <c r="M172" s="97"/>
      <c r="N172" s="98"/>
    </row>
    <row r="173">
      <c r="A173" s="90" t="s">
        <v>322</v>
      </c>
      <c r="B173" s="91" t="s">
        <v>500</v>
      </c>
      <c r="C173" s="92" t="s">
        <v>262</v>
      </c>
      <c r="D173" s="101" t="s">
        <v>263</v>
      </c>
      <c r="E173" s="93" t="s">
        <v>215</v>
      </c>
      <c r="F173" s="93" t="s">
        <v>264</v>
      </c>
      <c r="G173" s="90" t="s">
        <v>265</v>
      </c>
      <c r="H173" s="92" t="s">
        <v>189</v>
      </c>
      <c r="I173" s="107" t="s">
        <v>111</v>
      </c>
      <c r="J173" s="109" t="s">
        <v>342</v>
      </c>
      <c r="K173" s="95"/>
      <c r="L173" s="96" t="s">
        <v>344</v>
      </c>
      <c r="M173" s="97"/>
      <c r="N173" s="98"/>
    </row>
    <row r="174">
      <c r="A174" s="90" t="s">
        <v>322</v>
      </c>
      <c r="B174" s="91" t="s">
        <v>501</v>
      </c>
      <c r="C174" s="92" t="s">
        <v>262</v>
      </c>
      <c r="D174" s="101" t="s">
        <v>267</v>
      </c>
      <c r="E174" s="93" t="s">
        <v>215</v>
      </c>
      <c r="F174" s="93" t="s">
        <v>268</v>
      </c>
      <c r="G174" s="90" t="s">
        <v>269</v>
      </c>
      <c r="H174" s="92" t="s">
        <v>189</v>
      </c>
      <c r="I174" s="107" t="s">
        <v>111</v>
      </c>
      <c r="J174" s="109" t="s">
        <v>342</v>
      </c>
      <c r="K174" s="95"/>
      <c r="L174" s="96" t="s">
        <v>111</v>
      </c>
      <c r="M174" s="97"/>
      <c r="N174" s="98"/>
    </row>
    <row r="175">
      <c r="A175" s="90" t="s">
        <v>322</v>
      </c>
      <c r="B175" s="91" t="s">
        <v>502</v>
      </c>
      <c r="C175" s="90" t="s">
        <v>271</v>
      </c>
      <c r="D175" s="90" t="s">
        <v>272</v>
      </c>
      <c r="E175" s="90" t="s">
        <v>273</v>
      </c>
      <c r="F175" s="90" t="s">
        <v>274</v>
      </c>
      <c r="G175" s="90" t="s">
        <v>275</v>
      </c>
      <c r="H175" s="92" t="s">
        <v>189</v>
      </c>
      <c r="I175" s="99" t="s">
        <v>111</v>
      </c>
      <c r="J175" s="109" t="s">
        <v>342</v>
      </c>
      <c r="K175" s="111"/>
      <c r="L175" s="112" t="s">
        <v>111</v>
      </c>
      <c r="M175" s="113"/>
      <c r="N175" s="114"/>
    </row>
    <row r="176">
      <c r="A176" s="90" t="s">
        <v>322</v>
      </c>
      <c r="B176" s="91" t="s">
        <v>503</v>
      </c>
      <c r="C176" s="92" t="s">
        <v>277</v>
      </c>
      <c r="D176" s="93" t="s">
        <v>278</v>
      </c>
      <c r="E176" s="93" t="s">
        <v>215</v>
      </c>
      <c r="F176" s="93" t="s">
        <v>279</v>
      </c>
      <c r="G176" s="93" t="s">
        <v>280</v>
      </c>
      <c r="H176" s="92" t="s">
        <v>189</v>
      </c>
      <c r="I176" s="94" t="s">
        <v>36</v>
      </c>
      <c r="J176" s="95"/>
      <c r="K176" s="95"/>
      <c r="L176" s="96" t="s">
        <v>36</v>
      </c>
      <c r="M176" s="97"/>
      <c r="N176" s="98"/>
    </row>
    <row r="177">
      <c r="A177" s="90" t="s">
        <v>322</v>
      </c>
      <c r="B177" s="91" t="s">
        <v>504</v>
      </c>
      <c r="C177" s="90" t="s">
        <v>282</v>
      </c>
      <c r="D177" s="90" t="s">
        <v>283</v>
      </c>
      <c r="E177" s="90" t="s">
        <v>284</v>
      </c>
      <c r="F177" s="90" t="s">
        <v>285</v>
      </c>
      <c r="G177" s="90" t="s">
        <v>286</v>
      </c>
      <c r="H177" s="92" t="s">
        <v>189</v>
      </c>
      <c r="I177" s="94" t="s">
        <v>36</v>
      </c>
      <c r="J177" s="104"/>
      <c r="K177" s="95"/>
      <c r="L177" s="96" t="s">
        <v>36</v>
      </c>
      <c r="M177" s="97"/>
      <c r="N177" s="98"/>
    </row>
    <row r="178">
      <c r="A178" s="90" t="s">
        <v>322</v>
      </c>
      <c r="B178" s="91" t="s">
        <v>505</v>
      </c>
      <c r="C178" s="90" t="s">
        <v>288</v>
      </c>
      <c r="D178" s="90" t="s">
        <v>289</v>
      </c>
      <c r="E178" s="90" t="s">
        <v>290</v>
      </c>
      <c r="F178" s="90" t="s">
        <v>274</v>
      </c>
      <c r="G178" s="90" t="s">
        <v>291</v>
      </c>
      <c r="H178" s="92" t="s">
        <v>189</v>
      </c>
      <c r="I178" s="94" t="s">
        <v>36</v>
      </c>
      <c r="J178" s="104"/>
      <c r="K178" s="95"/>
      <c r="L178" s="96" t="s">
        <v>36</v>
      </c>
      <c r="M178" s="97"/>
      <c r="N178" s="98"/>
    </row>
    <row r="179">
      <c r="A179" s="90" t="s">
        <v>322</v>
      </c>
      <c r="B179" s="91" t="s">
        <v>506</v>
      </c>
      <c r="C179" s="90" t="s">
        <v>293</v>
      </c>
      <c r="D179" s="90" t="s">
        <v>294</v>
      </c>
      <c r="E179" s="90" t="s">
        <v>284</v>
      </c>
      <c r="F179" s="90" t="s">
        <v>295</v>
      </c>
      <c r="G179" s="90" t="s">
        <v>296</v>
      </c>
      <c r="H179" s="92" t="s">
        <v>189</v>
      </c>
      <c r="I179" s="94" t="s">
        <v>36</v>
      </c>
      <c r="J179" s="104"/>
      <c r="K179" s="95"/>
      <c r="L179" s="96" t="s">
        <v>36</v>
      </c>
      <c r="M179" s="97"/>
      <c r="N179" s="98"/>
    </row>
    <row r="180">
      <c r="A180" s="90" t="s">
        <v>322</v>
      </c>
      <c r="B180" s="91" t="s">
        <v>507</v>
      </c>
      <c r="C180" s="90" t="s">
        <v>298</v>
      </c>
      <c r="D180" s="90" t="s">
        <v>299</v>
      </c>
      <c r="E180" s="90" t="s">
        <v>300</v>
      </c>
      <c r="F180" s="90" t="s">
        <v>301</v>
      </c>
      <c r="G180" s="90" t="s">
        <v>302</v>
      </c>
      <c r="H180" s="92" t="s">
        <v>189</v>
      </c>
      <c r="I180" s="94" t="s">
        <v>36</v>
      </c>
      <c r="J180" s="103"/>
      <c r="K180" s="95"/>
      <c r="L180" s="96" t="s">
        <v>36</v>
      </c>
      <c r="M180" s="97"/>
      <c r="N180" s="98"/>
    </row>
    <row r="181">
      <c r="A181" s="90" t="s">
        <v>322</v>
      </c>
      <c r="B181" s="91" t="s">
        <v>508</v>
      </c>
      <c r="C181" s="90" t="s">
        <v>304</v>
      </c>
      <c r="D181" s="90" t="s">
        <v>305</v>
      </c>
      <c r="E181" s="90" t="s">
        <v>284</v>
      </c>
      <c r="F181" s="90" t="s">
        <v>306</v>
      </c>
      <c r="G181" s="90" t="s">
        <v>307</v>
      </c>
      <c r="H181" s="92" t="s">
        <v>189</v>
      </c>
      <c r="I181" s="94" t="s">
        <v>36</v>
      </c>
      <c r="J181" s="104"/>
      <c r="K181" s="95"/>
      <c r="L181" s="96" t="s">
        <v>36</v>
      </c>
      <c r="M181" s="97"/>
      <c r="N181" s="98"/>
    </row>
    <row r="182" ht="15.75" customHeight="1">
      <c r="A182" s="90" t="s">
        <v>322</v>
      </c>
      <c r="B182" s="91" t="s">
        <v>509</v>
      </c>
      <c r="C182" s="105" t="s">
        <v>309</v>
      </c>
      <c r="D182" s="105" t="s">
        <v>310</v>
      </c>
      <c r="E182" s="105" t="s">
        <v>284</v>
      </c>
      <c r="F182" s="90" t="s">
        <v>311</v>
      </c>
      <c r="G182" s="105" t="s">
        <v>312</v>
      </c>
      <c r="H182" s="91" t="s">
        <v>189</v>
      </c>
      <c r="I182" s="122" t="s">
        <v>36</v>
      </c>
      <c r="J182" s="103"/>
      <c r="K182" s="95"/>
      <c r="L182" s="96" t="s">
        <v>36</v>
      </c>
      <c r="M182" s="97"/>
      <c r="N182" s="98"/>
    </row>
    <row r="183">
      <c r="A183" s="90" t="s">
        <v>322</v>
      </c>
      <c r="B183" s="91" t="s">
        <v>510</v>
      </c>
      <c r="C183" s="90" t="s">
        <v>314</v>
      </c>
      <c r="D183" s="90" t="s">
        <v>315</v>
      </c>
      <c r="E183" s="90" t="s">
        <v>316</v>
      </c>
      <c r="F183" s="90" t="s">
        <v>317</v>
      </c>
      <c r="G183" s="90" t="s">
        <v>318</v>
      </c>
      <c r="H183" s="92" t="s">
        <v>189</v>
      </c>
      <c r="I183" s="94" t="s">
        <v>36</v>
      </c>
      <c r="J183" s="103"/>
      <c r="K183" s="95"/>
      <c r="L183" s="96" t="s">
        <v>36</v>
      </c>
      <c r="M183" s="97"/>
      <c r="N183" s="98"/>
    </row>
    <row r="184">
      <c r="A184" s="92" t="s">
        <v>355</v>
      </c>
      <c r="B184" s="91" t="s">
        <v>511</v>
      </c>
      <c r="C184" s="101" t="s">
        <v>197</v>
      </c>
      <c r="D184" s="90" t="s">
        <v>198</v>
      </c>
      <c r="E184" s="90" t="s">
        <v>199</v>
      </c>
      <c r="F184" s="90" t="s">
        <v>200</v>
      </c>
      <c r="G184" s="90" t="s">
        <v>201</v>
      </c>
      <c r="H184" s="92" t="s">
        <v>189</v>
      </c>
      <c r="I184" s="107" t="s">
        <v>111</v>
      </c>
      <c r="J184" s="90" t="s">
        <v>357</v>
      </c>
      <c r="K184" s="115"/>
      <c r="L184" s="116" t="s">
        <v>111</v>
      </c>
      <c r="M184" s="117"/>
      <c r="N184" s="118"/>
    </row>
    <row r="185">
      <c r="A185" s="92" t="s">
        <v>355</v>
      </c>
      <c r="B185" s="91" t="s">
        <v>512</v>
      </c>
      <c r="C185" s="108" t="s">
        <v>203</v>
      </c>
      <c r="D185" s="105" t="s">
        <v>204</v>
      </c>
      <c r="E185" s="90" t="s">
        <v>199</v>
      </c>
      <c r="F185" s="90" t="s">
        <v>200</v>
      </c>
      <c r="G185" s="90" t="s">
        <v>205</v>
      </c>
      <c r="H185" s="92" t="s">
        <v>189</v>
      </c>
      <c r="I185" s="107" t="s">
        <v>111</v>
      </c>
      <c r="J185" s="95" t="s">
        <v>206</v>
      </c>
      <c r="K185" s="115"/>
      <c r="L185" s="116" t="s">
        <v>36</v>
      </c>
      <c r="M185" s="117"/>
      <c r="N185" s="118"/>
    </row>
    <row r="186">
      <c r="A186" s="92" t="s">
        <v>355</v>
      </c>
      <c r="B186" s="91" t="s">
        <v>513</v>
      </c>
      <c r="C186" s="108" t="s">
        <v>208</v>
      </c>
      <c r="D186" s="105" t="s">
        <v>209</v>
      </c>
      <c r="E186" s="90" t="s">
        <v>210</v>
      </c>
      <c r="F186" s="90" t="s">
        <v>211</v>
      </c>
      <c r="G186" s="90" t="s">
        <v>212</v>
      </c>
      <c r="H186" s="92" t="s">
        <v>189</v>
      </c>
      <c r="I186" s="106" t="s">
        <v>36</v>
      </c>
      <c r="J186" s="93"/>
      <c r="K186" s="115"/>
      <c r="L186" s="116" t="s">
        <v>36</v>
      </c>
      <c r="M186" s="117"/>
      <c r="N186" s="118"/>
    </row>
    <row r="187">
      <c r="A187" s="92" t="s">
        <v>355</v>
      </c>
      <c r="B187" s="91" t="s">
        <v>514</v>
      </c>
      <c r="C187" s="101" t="s">
        <v>214</v>
      </c>
      <c r="D187" s="90" t="s">
        <v>209</v>
      </c>
      <c r="E187" s="90" t="s">
        <v>215</v>
      </c>
      <c r="F187" s="90" t="s">
        <v>211</v>
      </c>
      <c r="G187" s="90" t="s">
        <v>216</v>
      </c>
      <c r="H187" s="92" t="s">
        <v>189</v>
      </c>
      <c r="I187" s="107" t="s">
        <v>111</v>
      </c>
      <c r="J187" s="95" t="s">
        <v>217</v>
      </c>
      <c r="K187" s="115"/>
      <c r="L187" s="116" t="s">
        <v>36</v>
      </c>
      <c r="M187" s="117"/>
      <c r="N187" s="118"/>
    </row>
    <row r="188">
      <c r="A188" s="92" t="s">
        <v>355</v>
      </c>
      <c r="B188" s="91" t="s">
        <v>515</v>
      </c>
      <c r="C188" s="101" t="s">
        <v>219</v>
      </c>
      <c r="D188" s="90" t="s">
        <v>220</v>
      </c>
      <c r="E188" s="90" t="s">
        <v>215</v>
      </c>
      <c r="F188" s="90" t="s">
        <v>211</v>
      </c>
      <c r="G188" s="90" t="s">
        <v>221</v>
      </c>
      <c r="H188" s="92" t="s">
        <v>189</v>
      </c>
      <c r="I188" s="106" t="s">
        <v>36</v>
      </c>
      <c r="J188" s="95"/>
      <c r="K188" s="115"/>
      <c r="L188" s="116" t="s">
        <v>36</v>
      </c>
      <c r="M188" s="117"/>
      <c r="N188" s="118"/>
    </row>
    <row r="189">
      <c r="A189" s="92" t="s">
        <v>355</v>
      </c>
      <c r="B189" s="91" t="s">
        <v>516</v>
      </c>
      <c r="C189" s="101" t="s">
        <v>223</v>
      </c>
      <c r="D189" s="90" t="s">
        <v>224</v>
      </c>
      <c r="E189" s="90" t="s">
        <v>215</v>
      </c>
      <c r="F189" s="90" t="s">
        <v>225</v>
      </c>
      <c r="G189" s="90" t="s">
        <v>226</v>
      </c>
      <c r="H189" s="92" t="s">
        <v>189</v>
      </c>
      <c r="I189" s="106" t="s">
        <v>36</v>
      </c>
      <c r="J189" s="95"/>
      <c r="K189" s="115"/>
      <c r="L189" s="116" t="s">
        <v>36</v>
      </c>
      <c r="M189" s="117"/>
      <c r="N189" s="118"/>
    </row>
    <row r="190">
      <c r="A190" s="92" t="s">
        <v>355</v>
      </c>
      <c r="B190" s="91" t="s">
        <v>517</v>
      </c>
      <c r="C190" s="101" t="s">
        <v>228</v>
      </c>
      <c r="D190" s="90" t="s">
        <v>229</v>
      </c>
      <c r="E190" s="90" t="s">
        <v>215</v>
      </c>
      <c r="F190" s="90" t="s">
        <v>230</v>
      </c>
      <c r="G190" s="90" t="s">
        <v>231</v>
      </c>
      <c r="H190" s="92" t="s">
        <v>189</v>
      </c>
      <c r="I190" s="106" t="s">
        <v>36</v>
      </c>
      <c r="J190" s="95"/>
      <c r="K190" s="115"/>
      <c r="L190" s="116" t="s">
        <v>36</v>
      </c>
      <c r="M190" s="117"/>
      <c r="N190" s="118"/>
    </row>
    <row r="191">
      <c r="A191" s="92" t="s">
        <v>355</v>
      </c>
      <c r="B191" s="91" t="s">
        <v>518</v>
      </c>
      <c r="C191" s="101" t="s">
        <v>233</v>
      </c>
      <c r="D191" s="90" t="s">
        <v>234</v>
      </c>
      <c r="E191" s="90" t="s">
        <v>235</v>
      </c>
      <c r="F191" s="119" t="s">
        <v>236</v>
      </c>
      <c r="G191" s="90" t="s">
        <v>237</v>
      </c>
      <c r="H191" s="92" t="s">
        <v>189</v>
      </c>
      <c r="I191" s="107" t="s">
        <v>111</v>
      </c>
      <c r="J191" s="105" t="s">
        <v>357</v>
      </c>
      <c r="K191" s="115"/>
      <c r="L191" s="116" t="s">
        <v>111</v>
      </c>
      <c r="M191" s="117"/>
      <c r="N191" s="118"/>
    </row>
    <row r="192">
      <c r="A192" s="92" t="s">
        <v>355</v>
      </c>
      <c r="B192" s="91" t="s">
        <v>519</v>
      </c>
      <c r="C192" s="101" t="s">
        <v>239</v>
      </c>
      <c r="D192" s="101" t="s">
        <v>240</v>
      </c>
      <c r="E192" s="90" t="s">
        <v>241</v>
      </c>
      <c r="F192" s="90" t="s">
        <v>200</v>
      </c>
      <c r="G192" s="90" t="s">
        <v>242</v>
      </c>
      <c r="H192" s="92" t="s">
        <v>189</v>
      </c>
      <c r="I192" s="106" t="s">
        <v>36</v>
      </c>
      <c r="J192" s="95"/>
      <c r="K192" s="115"/>
      <c r="L192" s="116" t="s">
        <v>36</v>
      </c>
      <c r="M192" s="117"/>
      <c r="N192" s="118"/>
    </row>
    <row r="193">
      <c r="A193" s="92" t="s">
        <v>355</v>
      </c>
      <c r="B193" s="91" t="s">
        <v>520</v>
      </c>
      <c r="C193" s="101" t="s">
        <v>244</v>
      </c>
      <c r="D193" s="101" t="s">
        <v>245</v>
      </c>
      <c r="E193" s="90" t="s">
        <v>241</v>
      </c>
      <c r="F193" s="90" t="s">
        <v>200</v>
      </c>
      <c r="G193" s="90" t="s">
        <v>246</v>
      </c>
      <c r="H193" s="92" t="s">
        <v>189</v>
      </c>
      <c r="I193" s="106" t="s">
        <v>36</v>
      </c>
      <c r="J193" s="95"/>
      <c r="K193" s="115"/>
      <c r="L193" s="116" t="s">
        <v>36</v>
      </c>
      <c r="M193" s="117"/>
      <c r="N193" s="118"/>
    </row>
    <row r="194">
      <c r="A194" s="92" t="s">
        <v>355</v>
      </c>
      <c r="B194" s="91" t="s">
        <v>521</v>
      </c>
      <c r="C194" s="101" t="s">
        <v>248</v>
      </c>
      <c r="D194" s="90" t="s">
        <v>224</v>
      </c>
      <c r="E194" s="90" t="s">
        <v>215</v>
      </c>
      <c r="F194" s="90" t="s">
        <v>200</v>
      </c>
      <c r="G194" s="90" t="s">
        <v>226</v>
      </c>
      <c r="H194" s="92" t="s">
        <v>189</v>
      </c>
      <c r="I194" s="106" t="s">
        <v>36</v>
      </c>
      <c r="J194" s="95"/>
      <c r="K194" s="115"/>
      <c r="L194" s="116" t="s">
        <v>36</v>
      </c>
      <c r="M194" s="117"/>
      <c r="N194" s="118"/>
    </row>
    <row r="195">
      <c r="A195" s="92" t="s">
        <v>355</v>
      </c>
      <c r="B195" s="91" t="s">
        <v>522</v>
      </c>
      <c r="C195" s="101" t="s">
        <v>250</v>
      </c>
      <c r="D195" s="90" t="s">
        <v>229</v>
      </c>
      <c r="E195" s="90" t="s">
        <v>215</v>
      </c>
      <c r="F195" s="90" t="s">
        <v>230</v>
      </c>
      <c r="G195" s="90" t="s">
        <v>231</v>
      </c>
      <c r="H195" s="92" t="s">
        <v>189</v>
      </c>
      <c r="I195" s="106" t="s">
        <v>36</v>
      </c>
      <c r="J195" s="95"/>
      <c r="K195" s="115"/>
      <c r="L195" s="116" t="s">
        <v>36</v>
      </c>
      <c r="M195" s="117"/>
      <c r="N195" s="118"/>
    </row>
    <row r="196">
      <c r="A196" s="92" t="s">
        <v>355</v>
      </c>
      <c r="B196" s="91" t="s">
        <v>523</v>
      </c>
      <c r="C196" s="101" t="s">
        <v>252</v>
      </c>
      <c r="D196" s="101" t="s">
        <v>253</v>
      </c>
      <c r="E196" s="90" t="s">
        <v>215</v>
      </c>
      <c r="F196" s="90" t="s">
        <v>254</v>
      </c>
      <c r="G196" s="90" t="s">
        <v>255</v>
      </c>
      <c r="H196" s="92" t="s">
        <v>189</v>
      </c>
      <c r="I196" s="107" t="s">
        <v>111</v>
      </c>
      <c r="J196" s="105" t="s">
        <v>357</v>
      </c>
      <c r="K196" s="115"/>
      <c r="L196" s="116" t="s">
        <v>111</v>
      </c>
      <c r="M196" s="117"/>
      <c r="N196" s="118"/>
    </row>
    <row r="197">
      <c r="A197" s="92" t="s">
        <v>355</v>
      </c>
      <c r="B197" s="91" t="s">
        <v>524</v>
      </c>
      <c r="C197" s="101" t="s">
        <v>257</v>
      </c>
      <c r="D197" s="101" t="s">
        <v>258</v>
      </c>
      <c r="E197" s="90" t="s">
        <v>215</v>
      </c>
      <c r="F197" s="90" t="s">
        <v>259</v>
      </c>
      <c r="G197" s="90" t="s">
        <v>260</v>
      </c>
      <c r="H197" s="92" t="s">
        <v>189</v>
      </c>
      <c r="I197" s="107" t="s">
        <v>111</v>
      </c>
      <c r="J197" s="105" t="s">
        <v>357</v>
      </c>
      <c r="K197" s="115"/>
      <c r="L197" s="116" t="s">
        <v>111</v>
      </c>
      <c r="M197" s="117"/>
      <c r="N197" s="118"/>
    </row>
    <row r="198">
      <c r="A198" s="92" t="s">
        <v>355</v>
      </c>
      <c r="B198" s="91" t="s">
        <v>525</v>
      </c>
      <c r="C198" s="101" t="s">
        <v>262</v>
      </c>
      <c r="D198" s="101" t="s">
        <v>263</v>
      </c>
      <c r="E198" s="90" t="s">
        <v>215</v>
      </c>
      <c r="F198" s="90" t="s">
        <v>264</v>
      </c>
      <c r="G198" s="90" t="s">
        <v>265</v>
      </c>
      <c r="H198" s="92" t="s">
        <v>189</v>
      </c>
      <c r="I198" s="107" t="s">
        <v>111</v>
      </c>
      <c r="J198" s="123" t="s">
        <v>357</v>
      </c>
      <c r="K198" s="115"/>
      <c r="L198" s="116" t="s">
        <v>111</v>
      </c>
      <c r="M198" s="117"/>
      <c r="N198" s="118"/>
    </row>
    <row r="199">
      <c r="A199" s="92" t="s">
        <v>355</v>
      </c>
      <c r="B199" s="91" t="s">
        <v>526</v>
      </c>
      <c r="C199" s="101" t="s">
        <v>262</v>
      </c>
      <c r="D199" s="101" t="s">
        <v>267</v>
      </c>
      <c r="E199" s="90" t="s">
        <v>215</v>
      </c>
      <c r="F199" s="90" t="s">
        <v>268</v>
      </c>
      <c r="G199" s="90" t="s">
        <v>269</v>
      </c>
      <c r="H199" s="92" t="s">
        <v>189</v>
      </c>
      <c r="I199" s="107" t="s">
        <v>111</v>
      </c>
      <c r="J199" s="105" t="s">
        <v>357</v>
      </c>
      <c r="K199" s="115"/>
      <c r="L199" s="116" t="s">
        <v>111</v>
      </c>
      <c r="M199" s="117"/>
      <c r="N199" s="118"/>
    </row>
    <row r="200">
      <c r="A200" s="92" t="s">
        <v>355</v>
      </c>
      <c r="B200" s="91" t="s">
        <v>527</v>
      </c>
      <c r="C200" s="90" t="s">
        <v>271</v>
      </c>
      <c r="D200" s="90" t="s">
        <v>272</v>
      </c>
      <c r="E200" s="90" t="s">
        <v>273</v>
      </c>
      <c r="F200" s="90" t="s">
        <v>274</v>
      </c>
      <c r="G200" s="90" t="s">
        <v>275</v>
      </c>
      <c r="H200" s="92" t="s">
        <v>189</v>
      </c>
      <c r="I200" s="106" t="s">
        <v>36</v>
      </c>
      <c r="J200" s="104"/>
      <c r="K200" s="115"/>
      <c r="L200" s="116" t="s">
        <v>36</v>
      </c>
      <c r="M200" s="117"/>
      <c r="N200" s="118"/>
    </row>
    <row r="201">
      <c r="A201" s="92" t="s">
        <v>355</v>
      </c>
      <c r="B201" s="91" t="s">
        <v>528</v>
      </c>
      <c r="C201" s="101" t="s">
        <v>277</v>
      </c>
      <c r="D201" s="90" t="s">
        <v>278</v>
      </c>
      <c r="E201" s="90" t="s">
        <v>215</v>
      </c>
      <c r="F201" s="90" t="s">
        <v>279</v>
      </c>
      <c r="G201" s="90" t="s">
        <v>280</v>
      </c>
      <c r="H201" s="92" t="s">
        <v>189</v>
      </c>
      <c r="I201" s="106" t="s">
        <v>36</v>
      </c>
      <c r="J201" s="95"/>
      <c r="K201" s="115"/>
      <c r="L201" s="116" t="s">
        <v>36</v>
      </c>
      <c r="M201" s="117"/>
      <c r="N201" s="118"/>
    </row>
    <row r="202">
      <c r="A202" s="92" t="s">
        <v>355</v>
      </c>
      <c r="B202" s="91" t="s">
        <v>529</v>
      </c>
      <c r="C202" s="90" t="s">
        <v>282</v>
      </c>
      <c r="D202" s="90" t="s">
        <v>283</v>
      </c>
      <c r="E202" s="90" t="s">
        <v>284</v>
      </c>
      <c r="F202" s="90" t="s">
        <v>285</v>
      </c>
      <c r="G202" s="90" t="s">
        <v>286</v>
      </c>
      <c r="H202" s="92" t="s">
        <v>189</v>
      </c>
      <c r="I202" s="106" t="s">
        <v>36</v>
      </c>
      <c r="J202" s="104"/>
      <c r="K202" s="115"/>
      <c r="L202" s="116" t="s">
        <v>36</v>
      </c>
      <c r="M202" s="117"/>
      <c r="N202" s="118"/>
    </row>
    <row r="203">
      <c r="A203" s="92" t="s">
        <v>355</v>
      </c>
      <c r="B203" s="91" t="s">
        <v>530</v>
      </c>
      <c r="C203" s="105" t="s">
        <v>288</v>
      </c>
      <c r="D203" s="105" t="s">
        <v>289</v>
      </c>
      <c r="E203" s="90" t="s">
        <v>290</v>
      </c>
      <c r="F203" s="90" t="s">
        <v>274</v>
      </c>
      <c r="G203" s="90" t="s">
        <v>291</v>
      </c>
      <c r="H203" s="92" t="s">
        <v>189</v>
      </c>
      <c r="I203" s="106" t="s">
        <v>36</v>
      </c>
      <c r="J203" s="104"/>
      <c r="K203" s="115"/>
      <c r="L203" s="116" t="s">
        <v>36</v>
      </c>
      <c r="M203" s="117"/>
      <c r="N203" s="118"/>
    </row>
    <row r="204">
      <c r="A204" s="92" t="s">
        <v>355</v>
      </c>
      <c r="B204" s="91" t="s">
        <v>531</v>
      </c>
      <c r="C204" s="105" t="s">
        <v>293</v>
      </c>
      <c r="D204" s="90" t="s">
        <v>294</v>
      </c>
      <c r="E204" s="90" t="s">
        <v>284</v>
      </c>
      <c r="F204" s="90" t="s">
        <v>295</v>
      </c>
      <c r="G204" s="90" t="s">
        <v>296</v>
      </c>
      <c r="H204" s="92" t="s">
        <v>189</v>
      </c>
      <c r="I204" s="106" t="s">
        <v>36</v>
      </c>
      <c r="J204" s="124"/>
      <c r="K204" s="118"/>
      <c r="L204" s="116" t="s">
        <v>36</v>
      </c>
      <c r="M204" s="117"/>
      <c r="N204" s="118"/>
    </row>
    <row r="205">
      <c r="A205" s="92" t="s">
        <v>355</v>
      </c>
      <c r="B205" s="91" t="s">
        <v>532</v>
      </c>
      <c r="C205" s="90" t="s">
        <v>298</v>
      </c>
      <c r="D205" s="90" t="s">
        <v>299</v>
      </c>
      <c r="E205" s="90" t="s">
        <v>300</v>
      </c>
      <c r="F205" s="90" t="s">
        <v>301</v>
      </c>
      <c r="G205" s="90" t="s">
        <v>302</v>
      </c>
      <c r="H205" s="92" t="s">
        <v>189</v>
      </c>
      <c r="I205" s="107" t="s">
        <v>111</v>
      </c>
      <c r="J205" s="109" t="s">
        <v>379</v>
      </c>
      <c r="K205" s="115"/>
      <c r="L205" s="116" t="s">
        <v>111</v>
      </c>
      <c r="M205" s="117"/>
      <c r="N205" s="118"/>
    </row>
    <row r="206">
      <c r="A206" s="92" t="s">
        <v>355</v>
      </c>
      <c r="B206" s="91" t="s">
        <v>533</v>
      </c>
      <c r="C206" s="90" t="s">
        <v>304</v>
      </c>
      <c r="D206" s="90" t="s">
        <v>305</v>
      </c>
      <c r="E206" s="90" t="s">
        <v>284</v>
      </c>
      <c r="F206" s="90" t="s">
        <v>306</v>
      </c>
      <c r="G206" s="90" t="s">
        <v>307</v>
      </c>
      <c r="H206" s="92" t="s">
        <v>189</v>
      </c>
      <c r="I206" s="106" t="s">
        <v>36</v>
      </c>
      <c r="J206" s="104"/>
      <c r="K206" s="115"/>
      <c r="L206" s="116" t="s">
        <v>36</v>
      </c>
      <c r="M206" s="117"/>
      <c r="N206" s="118"/>
    </row>
    <row r="207">
      <c r="A207" s="92" t="s">
        <v>355</v>
      </c>
      <c r="B207" s="91" t="s">
        <v>534</v>
      </c>
      <c r="C207" s="90" t="s">
        <v>309</v>
      </c>
      <c r="D207" s="90" t="s">
        <v>310</v>
      </c>
      <c r="E207" s="90" t="s">
        <v>284</v>
      </c>
      <c r="F207" s="90" t="s">
        <v>311</v>
      </c>
      <c r="G207" s="90" t="s">
        <v>312</v>
      </c>
      <c r="H207" s="92" t="s">
        <v>189</v>
      </c>
      <c r="I207" s="106" t="s">
        <v>36</v>
      </c>
      <c r="J207" s="104"/>
      <c r="K207" s="115"/>
      <c r="L207" s="116" t="s">
        <v>36</v>
      </c>
      <c r="M207" s="117"/>
      <c r="N207" s="118"/>
    </row>
    <row r="208">
      <c r="A208" s="92" t="s">
        <v>355</v>
      </c>
      <c r="B208" s="91" t="s">
        <v>535</v>
      </c>
      <c r="C208" s="90" t="s">
        <v>314</v>
      </c>
      <c r="D208" s="90" t="s">
        <v>315</v>
      </c>
      <c r="E208" s="90" t="s">
        <v>316</v>
      </c>
      <c r="F208" s="90" t="s">
        <v>317</v>
      </c>
      <c r="G208" s="90" t="s">
        <v>318</v>
      </c>
      <c r="H208" s="92" t="s">
        <v>189</v>
      </c>
      <c r="I208" s="106" t="s">
        <v>36</v>
      </c>
      <c r="J208" s="103"/>
      <c r="K208" s="115"/>
      <c r="L208" s="116" t="s">
        <v>36</v>
      </c>
      <c r="M208" s="117"/>
      <c r="N208" s="118"/>
    </row>
    <row r="209">
      <c r="A209" s="93" t="s">
        <v>383</v>
      </c>
      <c r="B209" s="91" t="s">
        <v>536</v>
      </c>
      <c r="C209" s="92" t="s">
        <v>197</v>
      </c>
      <c r="D209" s="93" t="s">
        <v>198</v>
      </c>
      <c r="E209" s="93" t="s">
        <v>199</v>
      </c>
      <c r="F209" s="93" t="s">
        <v>200</v>
      </c>
      <c r="G209" s="90" t="s">
        <v>201</v>
      </c>
      <c r="H209" s="92" t="s">
        <v>189</v>
      </c>
      <c r="I209" s="106" t="s">
        <v>36</v>
      </c>
      <c r="J209" s="93"/>
      <c r="K209" s="95"/>
      <c r="L209" s="96" t="s">
        <v>36</v>
      </c>
      <c r="M209" s="97"/>
      <c r="N209" s="98"/>
    </row>
    <row r="210">
      <c r="A210" s="93" t="s">
        <v>383</v>
      </c>
      <c r="B210" s="91" t="s">
        <v>537</v>
      </c>
      <c r="C210" s="92" t="s">
        <v>203</v>
      </c>
      <c r="D210" s="93" t="s">
        <v>204</v>
      </c>
      <c r="E210" s="93" t="s">
        <v>199</v>
      </c>
      <c r="F210" s="93" t="s">
        <v>200</v>
      </c>
      <c r="G210" s="90" t="s">
        <v>205</v>
      </c>
      <c r="H210" s="92" t="s">
        <v>189</v>
      </c>
      <c r="I210" s="107" t="s">
        <v>111</v>
      </c>
      <c r="J210" s="95" t="s">
        <v>386</v>
      </c>
      <c r="K210" s="95"/>
      <c r="L210" s="96" t="s">
        <v>36</v>
      </c>
      <c r="M210" s="97"/>
      <c r="N210" s="98"/>
    </row>
    <row r="211">
      <c r="A211" s="93" t="s">
        <v>383</v>
      </c>
      <c r="B211" s="91" t="s">
        <v>538</v>
      </c>
      <c r="C211" s="92" t="s">
        <v>208</v>
      </c>
      <c r="D211" s="93" t="s">
        <v>209</v>
      </c>
      <c r="E211" s="93" t="s">
        <v>210</v>
      </c>
      <c r="F211" s="93" t="s">
        <v>211</v>
      </c>
      <c r="G211" s="90" t="s">
        <v>212</v>
      </c>
      <c r="H211" s="92" t="s">
        <v>189</v>
      </c>
      <c r="I211" s="106" t="s">
        <v>36</v>
      </c>
      <c r="J211" s="93"/>
      <c r="K211" s="95"/>
      <c r="L211" s="96" t="s">
        <v>36</v>
      </c>
      <c r="M211" s="97"/>
      <c r="N211" s="98"/>
    </row>
    <row r="212">
      <c r="A212" s="93" t="s">
        <v>383</v>
      </c>
      <c r="B212" s="91" t="s">
        <v>539</v>
      </c>
      <c r="C212" s="92" t="s">
        <v>214</v>
      </c>
      <c r="D212" s="93" t="s">
        <v>209</v>
      </c>
      <c r="E212" s="93" t="s">
        <v>215</v>
      </c>
      <c r="F212" s="93" t="s">
        <v>211</v>
      </c>
      <c r="G212" s="90" t="s">
        <v>216</v>
      </c>
      <c r="H212" s="92" t="s">
        <v>189</v>
      </c>
      <c r="I212" s="107" t="s">
        <v>111</v>
      </c>
      <c r="J212" s="90" t="s">
        <v>389</v>
      </c>
      <c r="K212" s="95"/>
      <c r="L212" s="96" t="s">
        <v>111</v>
      </c>
      <c r="M212" s="97"/>
      <c r="N212" s="98"/>
    </row>
    <row r="213">
      <c r="A213" s="93" t="s">
        <v>383</v>
      </c>
      <c r="B213" s="91" t="s">
        <v>540</v>
      </c>
      <c r="C213" s="92" t="s">
        <v>219</v>
      </c>
      <c r="D213" s="93" t="s">
        <v>220</v>
      </c>
      <c r="E213" s="93" t="s">
        <v>215</v>
      </c>
      <c r="F213" s="93" t="s">
        <v>211</v>
      </c>
      <c r="G213" s="93" t="s">
        <v>221</v>
      </c>
      <c r="H213" s="92" t="s">
        <v>189</v>
      </c>
      <c r="I213" s="106" t="s">
        <v>36</v>
      </c>
      <c r="J213" s="93"/>
      <c r="K213" s="95"/>
      <c r="L213" s="96" t="s">
        <v>36</v>
      </c>
      <c r="M213" s="97"/>
      <c r="N213" s="98"/>
    </row>
    <row r="214">
      <c r="A214" s="93" t="s">
        <v>383</v>
      </c>
      <c r="B214" s="91" t="s">
        <v>541</v>
      </c>
      <c r="C214" s="92" t="s">
        <v>223</v>
      </c>
      <c r="D214" s="93" t="s">
        <v>224</v>
      </c>
      <c r="E214" s="93" t="s">
        <v>215</v>
      </c>
      <c r="F214" s="93" t="s">
        <v>225</v>
      </c>
      <c r="G214" s="93" t="s">
        <v>226</v>
      </c>
      <c r="H214" s="92" t="s">
        <v>189</v>
      </c>
      <c r="I214" s="107" t="s">
        <v>111</v>
      </c>
      <c r="J214" s="105" t="s">
        <v>392</v>
      </c>
      <c r="K214" s="95"/>
      <c r="L214" s="96" t="s">
        <v>111</v>
      </c>
      <c r="M214" s="97"/>
      <c r="N214" s="98"/>
    </row>
    <row r="215">
      <c r="A215" s="93" t="s">
        <v>383</v>
      </c>
      <c r="B215" s="91" t="s">
        <v>542</v>
      </c>
      <c r="C215" s="92" t="s">
        <v>228</v>
      </c>
      <c r="D215" s="93" t="s">
        <v>229</v>
      </c>
      <c r="E215" s="93" t="s">
        <v>215</v>
      </c>
      <c r="F215" s="93" t="s">
        <v>230</v>
      </c>
      <c r="G215" s="93" t="s">
        <v>231</v>
      </c>
      <c r="H215" s="92" t="s">
        <v>189</v>
      </c>
      <c r="I215" s="107" t="s">
        <v>111</v>
      </c>
      <c r="J215" s="105" t="s">
        <v>394</v>
      </c>
      <c r="K215" s="95"/>
      <c r="L215" s="96" t="s">
        <v>111</v>
      </c>
      <c r="M215" s="97"/>
      <c r="N215" s="98"/>
    </row>
    <row r="216">
      <c r="A216" s="93" t="s">
        <v>383</v>
      </c>
      <c r="B216" s="91" t="s">
        <v>543</v>
      </c>
      <c r="C216" s="92" t="s">
        <v>233</v>
      </c>
      <c r="D216" s="93" t="s">
        <v>234</v>
      </c>
      <c r="E216" s="93" t="s">
        <v>235</v>
      </c>
      <c r="F216" s="100" t="s">
        <v>236</v>
      </c>
      <c r="G216" s="93" t="s">
        <v>237</v>
      </c>
      <c r="H216" s="92" t="s">
        <v>189</v>
      </c>
      <c r="I216" s="106" t="s">
        <v>36</v>
      </c>
      <c r="J216" s="95"/>
      <c r="K216" s="95"/>
      <c r="L216" s="96" t="s">
        <v>111</v>
      </c>
      <c r="M216" s="97"/>
      <c r="N216" s="98"/>
    </row>
    <row r="217">
      <c r="A217" s="93" t="s">
        <v>383</v>
      </c>
      <c r="B217" s="91" t="s">
        <v>544</v>
      </c>
      <c r="C217" s="101" t="s">
        <v>239</v>
      </c>
      <c r="D217" s="101" t="s">
        <v>240</v>
      </c>
      <c r="E217" s="93" t="s">
        <v>241</v>
      </c>
      <c r="F217" s="93" t="s">
        <v>200</v>
      </c>
      <c r="G217" s="90" t="s">
        <v>242</v>
      </c>
      <c r="H217" s="92" t="s">
        <v>189</v>
      </c>
      <c r="I217" s="106" t="s">
        <v>36</v>
      </c>
      <c r="J217" s="93"/>
      <c r="K217" s="95"/>
      <c r="L217" s="96" t="s">
        <v>36</v>
      </c>
      <c r="M217" s="97"/>
      <c r="N217" s="98"/>
    </row>
    <row r="218">
      <c r="A218" s="93" t="s">
        <v>383</v>
      </c>
      <c r="B218" s="91" t="s">
        <v>545</v>
      </c>
      <c r="C218" s="101" t="s">
        <v>244</v>
      </c>
      <c r="D218" s="101" t="s">
        <v>245</v>
      </c>
      <c r="E218" s="93" t="s">
        <v>241</v>
      </c>
      <c r="F218" s="93" t="s">
        <v>200</v>
      </c>
      <c r="G218" s="93" t="s">
        <v>246</v>
      </c>
      <c r="H218" s="92" t="s">
        <v>189</v>
      </c>
      <c r="I218" s="106" t="s">
        <v>36</v>
      </c>
      <c r="J218" s="93"/>
      <c r="K218" s="95"/>
      <c r="L218" s="96" t="s">
        <v>36</v>
      </c>
      <c r="M218" s="97"/>
      <c r="N218" s="98"/>
    </row>
    <row r="219">
      <c r="A219" s="93" t="s">
        <v>383</v>
      </c>
      <c r="B219" s="91" t="s">
        <v>546</v>
      </c>
      <c r="C219" s="101" t="s">
        <v>248</v>
      </c>
      <c r="D219" s="93" t="s">
        <v>224</v>
      </c>
      <c r="E219" s="93" t="s">
        <v>215</v>
      </c>
      <c r="F219" s="93" t="s">
        <v>200</v>
      </c>
      <c r="G219" s="93" t="s">
        <v>226</v>
      </c>
      <c r="H219" s="92" t="s">
        <v>189</v>
      </c>
      <c r="I219" s="107" t="s">
        <v>111</v>
      </c>
      <c r="J219" s="105" t="s">
        <v>392</v>
      </c>
      <c r="K219" s="95"/>
      <c r="L219" s="96" t="s">
        <v>111</v>
      </c>
      <c r="M219" s="97"/>
      <c r="N219" s="98"/>
    </row>
    <row r="220">
      <c r="A220" s="93" t="s">
        <v>383</v>
      </c>
      <c r="B220" s="91" t="s">
        <v>547</v>
      </c>
      <c r="C220" s="108" t="s">
        <v>250</v>
      </c>
      <c r="D220" s="95" t="s">
        <v>229</v>
      </c>
      <c r="E220" s="93" t="s">
        <v>215</v>
      </c>
      <c r="F220" s="93" t="s">
        <v>230</v>
      </c>
      <c r="G220" s="93" t="s">
        <v>231</v>
      </c>
      <c r="H220" s="92" t="s">
        <v>189</v>
      </c>
      <c r="I220" s="107" t="s">
        <v>111</v>
      </c>
      <c r="J220" s="105" t="s">
        <v>394</v>
      </c>
      <c r="K220" s="95"/>
      <c r="L220" s="96" t="s">
        <v>111</v>
      </c>
      <c r="M220" s="97"/>
      <c r="N220" s="98"/>
    </row>
    <row r="221">
      <c r="A221" s="93" t="s">
        <v>383</v>
      </c>
      <c r="B221" s="91" t="s">
        <v>548</v>
      </c>
      <c r="C221" s="91" t="s">
        <v>252</v>
      </c>
      <c r="D221" s="101" t="s">
        <v>253</v>
      </c>
      <c r="E221" s="93" t="s">
        <v>215</v>
      </c>
      <c r="F221" s="93" t="s">
        <v>254</v>
      </c>
      <c r="G221" s="90" t="s">
        <v>255</v>
      </c>
      <c r="H221" s="92" t="s">
        <v>189</v>
      </c>
      <c r="I221" s="106" t="s">
        <v>36</v>
      </c>
      <c r="J221" s="105" t="s">
        <v>340</v>
      </c>
      <c r="K221" s="95"/>
      <c r="L221" s="96" t="s">
        <v>36</v>
      </c>
      <c r="M221" s="97"/>
      <c r="N221" s="98"/>
    </row>
    <row r="222">
      <c r="A222" s="93" t="s">
        <v>383</v>
      </c>
      <c r="B222" s="91" t="s">
        <v>549</v>
      </c>
      <c r="C222" s="92" t="s">
        <v>257</v>
      </c>
      <c r="D222" s="101" t="s">
        <v>258</v>
      </c>
      <c r="E222" s="93" t="s">
        <v>215</v>
      </c>
      <c r="F222" s="93" t="s">
        <v>259</v>
      </c>
      <c r="G222" s="90" t="s">
        <v>260</v>
      </c>
      <c r="H222" s="92" t="s">
        <v>189</v>
      </c>
      <c r="I222" s="107" t="s">
        <v>111</v>
      </c>
      <c r="J222" s="105" t="s">
        <v>389</v>
      </c>
      <c r="K222" s="95"/>
      <c r="L222" s="96" t="s">
        <v>111</v>
      </c>
      <c r="M222" s="97"/>
      <c r="N222" s="98"/>
    </row>
    <row r="223">
      <c r="A223" s="93" t="s">
        <v>383</v>
      </c>
      <c r="B223" s="91" t="s">
        <v>550</v>
      </c>
      <c r="C223" s="92" t="s">
        <v>262</v>
      </c>
      <c r="D223" s="101" t="s">
        <v>263</v>
      </c>
      <c r="E223" s="93" t="s">
        <v>215</v>
      </c>
      <c r="F223" s="93" t="s">
        <v>264</v>
      </c>
      <c r="G223" s="90" t="s">
        <v>265</v>
      </c>
      <c r="H223" s="92" t="s">
        <v>189</v>
      </c>
      <c r="I223" s="107" t="s">
        <v>111</v>
      </c>
      <c r="J223" s="105" t="s">
        <v>389</v>
      </c>
      <c r="K223" s="95"/>
      <c r="L223" s="96" t="s">
        <v>111</v>
      </c>
      <c r="M223" s="97"/>
      <c r="N223" s="98"/>
    </row>
    <row r="224">
      <c r="A224" s="93" t="s">
        <v>383</v>
      </c>
      <c r="B224" s="91" t="s">
        <v>551</v>
      </c>
      <c r="C224" s="92" t="s">
        <v>262</v>
      </c>
      <c r="D224" s="101" t="s">
        <v>267</v>
      </c>
      <c r="E224" s="93" t="s">
        <v>215</v>
      </c>
      <c r="F224" s="93" t="s">
        <v>268</v>
      </c>
      <c r="G224" s="90" t="s">
        <v>269</v>
      </c>
      <c r="H224" s="92" t="s">
        <v>189</v>
      </c>
      <c r="I224" s="107" t="s">
        <v>111</v>
      </c>
      <c r="J224" s="105" t="s">
        <v>389</v>
      </c>
      <c r="K224" s="95"/>
      <c r="L224" s="96" t="s">
        <v>111</v>
      </c>
      <c r="M224" s="97"/>
      <c r="N224" s="98"/>
    </row>
    <row r="225">
      <c r="A225" s="93" t="s">
        <v>383</v>
      </c>
      <c r="B225" s="91" t="s">
        <v>552</v>
      </c>
      <c r="C225" s="90" t="s">
        <v>271</v>
      </c>
      <c r="D225" s="90" t="s">
        <v>272</v>
      </c>
      <c r="E225" s="90" t="s">
        <v>273</v>
      </c>
      <c r="F225" s="90" t="s">
        <v>274</v>
      </c>
      <c r="G225" s="90" t="s">
        <v>275</v>
      </c>
      <c r="H225" s="92" t="s">
        <v>189</v>
      </c>
      <c r="I225" s="99" t="s">
        <v>111</v>
      </c>
      <c r="J225" s="90" t="s">
        <v>389</v>
      </c>
      <c r="K225" s="95"/>
      <c r="L225" s="96" t="s">
        <v>111</v>
      </c>
      <c r="M225" s="97"/>
      <c r="N225" s="98"/>
    </row>
    <row r="226">
      <c r="A226" s="93" t="s">
        <v>383</v>
      </c>
      <c r="B226" s="91" t="s">
        <v>553</v>
      </c>
      <c r="C226" s="92" t="s">
        <v>277</v>
      </c>
      <c r="D226" s="93" t="s">
        <v>278</v>
      </c>
      <c r="E226" s="93" t="s">
        <v>215</v>
      </c>
      <c r="F226" s="93" t="s">
        <v>279</v>
      </c>
      <c r="G226" s="93" t="s">
        <v>280</v>
      </c>
      <c r="H226" s="92" t="s">
        <v>189</v>
      </c>
      <c r="I226" s="94" t="s">
        <v>36</v>
      </c>
      <c r="J226" s="95"/>
      <c r="K226" s="95"/>
      <c r="L226" s="96" t="s">
        <v>36</v>
      </c>
      <c r="M226" s="97"/>
      <c r="N226" s="98"/>
    </row>
    <row r="227">
      <c r="A227" s="93" t="s">
        <v>383</v>
      </c>
      <c r="B227" s="91" t="s">
        <v>554</v>
      </c>
      <c r="C227" s="90" t="s">
        <v>282</v>
      </c>
      <c r="D227" s="90" t="s">
        <v>283</v>
      </c>
      <c r="E227" s="90" t="s">
        <v>284</v>
      </c>
      <c r="F227" s="90" t="s">
        <v>285</v>
      </c>
      <c r="G227" s="90" t="s">
        <v>286</v>
      </c>
      <c r="H227" s="92" t="s">
        <v>189</v>
      </c>
      <c r="I227" s="94" t="s">
        <v>36</v>
      </c>
      <c r="J227" s="103"/>
      <c r="K227" s="95"/>
      <c r="L227" s="96" t="s">
        <v>36</v>
      </c>
      <c r="M227" s="97"/>
      <c r="N227" s="98"/>
    </row>
    <row r="228">
      <c r="A228" s="93" t="s">
        <v>383</v>
      </c>
      <c r="B228" s="91" t="s">
        <v>555</v>
      </c>
      <c r="C228" s="90" t="s">
        <v>288</v>
      </c>
      <c r="D228" s="90" t="s">
        <v>289</v>
      </c>
      <c r="E228" s="90" t="s">
        <v>290</v>
      </c>
      <c r="F228" s="90" t="s">
        <v>274</v>
      </c>
      <c r="G228" s="90" t="s">
        <v>291</v>
      </c>
      <c r="H228" s="92" t="s">
        <v>189</v>
      </c>
      <c r="I228" s="94" t="s">
        <v>36</v>
      </c>
      <c r="J228" s="103"/>
      <c r="K228" s="95"/>
      <c r="L228" s="96" t="s">
        <v>36</v>
      </c>
      <c r="M228" s="97"/>
      <c r="N228" s="98"/>
    </row>
    <row r="229">
      <c r="A229" s="93" t="s">
        <v>383</v>
      </c>
      <c r="B229" s="91" t="s">
        <v>556</v>
      </c>
      <c r="C229" s="90" t="s">
        <v>293</v>
      </c>
      <c r="D229" s="90" t="s">
        <v>294</v>
      </c>
      <c r="E229" s="90" t="s">
        <v>284</v>
      </c>
      <c r="F229" s="90" t="s">
        <v>295</v>
      </c>
      <c r="G229" s="90" t="s">
        <v>296</v>
      </c>
      <c r="H229" s="92" t="s">
        <v>189</v>
      </c>
      <c r="I229" s="94" t="s">
        <v>36</v>
      </c>
      <c r="J229" s="103"/>
      <c r="K229" s="95"/>
      <c r="L229" s="96" t="s">
        <v>36</v>
      </c>
      <c r="M229" s="97"/>
      <c r="N229" s="98"/>
    </row>
    <row r="230">
      <c r="A230" s="93" t="s">
        <v>383</v>
      </c>
      <c r="B230" s="91" t="s">
        <v>557</v>
      </c>
      <c r="C230" s="90" t="s">
        <v>298</v>
      </c>
      <c r="D230" s="90" t="s">
        <v>299</v>
      </c>
      <c r="E230" s="90" t="s">
        <v>300</v>
      </c>
      <c r="F230" s="90" t="s">
        <v>301</v>
      </c>
      <c r="G230" s="90" t="s">
        <v>302</v>
      </c>
      <c r="H230" s="92" t="s">
        <v>189</v>
      </c>
      <c r="I230" s="94" t="s">
        <v>36</v>
      </c>
      <c r="J230" s="104"/>
      <c r="K230" s="95"/>
      <c r="L230" s="96" t="s">
        <v>36</v>
      </c>
      <c r="M230" s="97"/>
      <c r="N230" s="98"/>
    </row>
    <row r="231">
      <c r="A231" s="93" t="s">
        <v>383</v>
      </c>
      <c r="B231" s="91" t="s">
        <v>558</v>
      </c>
      <c r="C231" s="90" t="s">
        <v>304</v>
      </c>
      <c r="D231" s="90" t="s">
        <v>305</v>
      </c>
      <c r="E231" s="90" t="s">
        <v>284</v>
      </c>
      <c r="F231" s="90" t="s">
        <v>306</v>
      </c>
      <c r="G231" s="90" t="s">
        <v>307</v>
      </c>
      <c r="H231" s="92" t="s">
        <v>189</v>
      </c>
      <c r="I231" s="94" t="s">
        <v>36</v>
      </c>
      <c r="J231" s="104"/>
      <c r="K231" s="95"/>
      <c r="L231" s="96" t="s">
        <v>36</v>
      </c>
      <c r="M231" s="97"/>
      <c r="N231" s="98"/>
    </row>
    <row r="232">
      <c r="A232" s="93" t="s">
        <v>383</v>
      </c>
      <c r="B232" s="91" t="s">
        <v>559</v>
      </c>
      <c r="C232" s="90" t="s">
        <v>309</v>
      </c>
      <c r="D232" s="90" t="s">
        <v>310</v>
      </c>
      <c r="E232" s="90" t="s">
        <v>284</v>
      </c>
      <c r="F232" s="90" t="s">
        <v>311</v>
      </c>
      <c r="G232" s="90" t="s">
        <v>312</v>
      </c>
      <c r="H232" s="92" t="s">
        <v>189</v>
      </c>
      <c r="I232" s="94" t="s">
        <v>36</v>
      </c>
      <c r="J232" s="104"/>
      <c r="K232" s="95"/>
      <c r="L232" s="96" t="s">
        <v>36</v>
      </c>
      <c r="M232" s="97"/>
      <c r="N232" s="98"/>
    </row>
    <row r="233">
      <c r="A233" s="93" t="s">
        <v>383</v>
      </c>
      <c r="B233" s="91" t="s">
        <v>560</v>
      </c>
      <c r="C233" s="90" t="s">
        <v>314</v>
      </c>
      <c r="D233" s="90" t="s">
        <v>315</v>
      </c>
      <c r="E233" s="90" t="s">
        <v>316</v>
      </c>
      <c r="F233" s="90" t="s">
        <v>317</v>
      </c>
      <c r="G233" s="90" t="s">
        <v>318</v>
      </c>
      <c r="H233" s="92" t="s">
        <v>189</v>
      </c>
      <c r="I233" s="94" t="s">
        <v>36</v>
      </c>
      <c r="J233" s="104"/>
      <c r="K233" s="95"/>
      <c r="L233" s="96" t="s">
        <v>36</v>
      </c>
      <c r="M233" s="97"/>
      <c r="N233" s="98"/>
    </row>
    <row r="234">
      <c r="A234" s="93" t="s">
        <v>413</v>
      </c>
      <c r="B234" s="91" t="s">
        <v>561</v>
      </c>
      <c r="C234" s="92" t="s">
        <v>197</v>
      </c>
      <c r="D234" s="93" t="s">
        <v>198</v>
      </c>
      <c r="E234" s="93" t="s">
        <v>199</v>
      </c>
      <c r="F234" s="93" t="s">
        <v>200</v>
      </c>
      <c r="G234" s="90" t="s">
        <v>415</v>
      </c>
      <c r="H234" s="92" t="s">
        <v>189</v>
      </c>
      <c r="I234" s="94" t="s">
        <v>36</v>
      </c>
      <c r="J234" s="95"/>
      <c r="K234" s="95"/>
      <c r="L234" s="96" t="s">
        <v>36</v>
      </c>
      <c r="M234" s="97"/>
      <c r="N234" s="98"/>
    </row>
    <row r="235">
      <c r="A235" s="93" t="s">
        <v>413</v>
      </c>
      <c r="B235" s="91" t="s">
        <v>562</v>
      </c>
      <c r="C235" s="92" t="s">
        <v>203</v>
      </c>
      <c r="D235" s="93" t="s">
        <v>204</v>
      </c>
      <c r="E235" s="93" t="s">
        <v>199</v>
      </c>
      <c r="F235" s="93" t="s">
        <v>200</v>
      </c>
      <c r="G235" s="90" t="s">
        <v>205</v>
      </c>
      <c r="H235" s="92" t="s">
        <v>189</v>
      </c>
      <c r="I235" s="99" t="s">
        <v>111</v>
      </c>
      <c r="J235" s="105" t="s">
        <v>417</v>
      </c>
      <c r="K235" s="95"/>
      <c r="L235" s="96" t="s">
        <v>36</v>
      </c>
      <c r="M235" s="97"/>
      <c r="N235" s="98"/>
    </row>
    <row r="236">
      <c r="A236" s="93" t="s">
        <v>413</v>
      </c>
      <c r="B236" s="91" t="s">
        <v>563</v>
      </c>
      <c r="C236" s="92" t="s">
        <v>208</v>
      </c>
      <c r="D236" s="93" t="s">
        <v>209</v>
      </c>
      <c r="E236" s="93" t="s">
        <v>210</v>
      </c>
      <c r="F236" s="93" t="s">
        <v>211</v>
      </c>
      <c r="G236" s="90" t="s">
        <v>212</v>
      </c>
      <c r="H236" s="92" t="s">
        <v>189</v>
      </c>
      <c r="I236" s="94" t="s">
        <v>36</v>
      </c>
      <c r="J236" s="95"/>
      <c r="K236" s="95"/>
      <c r="L236" s="96" t="s">
        <v>36</v>
      </c>
      <c r="M236" s="97"/>
      <c r="N236" s="98"/>
    </row>
    <row r="237">
      <c r="A237" s="93" t="s">
        <v>413</v>
      </c>
      <c r="B237" s="91" t="s">
        <v>564</v>
      </c>
      <c r="C237" s="91" t="s">
        <v>214</v>
      </c>
      <c r="D237" s="95" t="s">
        <v>420</v>
      </c>
      <c r="E237" s="93" t="s">
        <v>215</v>
      </c>
      <c r="F237" s="93" t="s">
        <v>211</v>
      </c>
      <c r="G237" s="90" t="s">
        <v>216</v>
      </c>
      <c r="H237" s="92" t="s">
        <v>189</v>
      </c>
      <c r="I237" s="99" t="s">
        <v>111</v>
      </c>
      <c r="J237" s="95" t="s">
        <v>421</v>
      </c>
      <c r="K237" s="95"/>
      <c r="L237" s="96" t="s">
        <v>36</v>
      </c>
      <c r="M237" s="97"/>
      <c r="N237" s="98"/>
    </row>
    <row r="238">
      <c r="A238" s="93" t="s">
        <v>413</v>
      </c>
      <c r="B238" s="91" t="s">
        <v>565</v>
      </c>
      <c r="C238" s="91" t="s">
        <v>219</v>
      </c>
      <c r="D238" s="93" t="s">
        <v>220</v>
      </c>
      <c r="E238" s="93" t="s">
        <v>215</v>
      </c>
      <c r="F238" s="93" t="s">
        <v>211</v>
      </c>
      <c r="G238" s="93" t="s">
        <v>221</v>
      </c>
      <c r="H238" s="92" t="s">
        <v>189</v>
      </c>
      <c r="I238" s="94" t="s">
        <v>36</v>
      </c>
      <c r="J238" s="93"/>
      <c r="K238" s="95"/>
      <c r="L238" s="96" t="s">
        <v>36</v>
      </c>
      <c r="M238" s="97"/>
      <c r="N238" s="98"/>
    </row>
    <row r="239">
      <c r="A239" s="93" t="s">
        <v>413</v>
      </c>
      <c r="B239" s="91" t="s">
        <v>566</v>
      </c>
      <c r="C239" s="92" t="s">
        <v>223</v>
      </c>
      <c r="D239" s="93" t="s">
        <v>224</v>
      </c>
      <c r="E239" s="93" t="s">
        <v>215</v>
      </c>
      <c r="F239" s="93" t="s">
        <v>225</v>
      </c>
      <c r="G239" s="93" t="s">
        <v>226</v>
      </c>
      <c r="H239" s="92" t="s">
        <v>189</v>
      </c>
      <c r="I239" s="94" t="s">
        <v>36</v>
      </c>
      <c r="J239" s="95"/>
      <c r="K239" s="95"/>
      <c r="L239" s="96" t="s">
        <v>36</v>
      </c>
      <c r="M239" s="97"/>
      <c r="N239" s="98"/>
    </row>
    <row r="240">
      <c r="A240" s="93" t="s">
        <v>413</v>
      </c>
      <c r="B240" s="91" t="s">
        <v>567</v>
      </c>
      <c r="C240" s="92" t="s">
        <v>228</v>
      </c>
      <c r="D240" s="93" t="s">
        <v>229</v>
      </c>
      <c r="E240" s="93" t="s">
        <v>215</v>
      </c>
      <c r="F240" s="93" t="s">
        <v>230</v>
      </c>
      <c r="G240" s="93" t="s">
        <v>231</v>
      </c>
      <c r="H240" s="92" t="s">
        <v>189</v>
      </c>
      <c r="I240" s="94" t="s">
        <v>36</v>
      </c>
      <c r="J240" s="93"/>
      <c r="K240" s="95"/>
      <c r="L240" s="96" t="s">
        <v>36</v>
      </c>
      <c r="M240" s="97"/>
      <c r="N240" s="98"/>
    </row>
    <row r="241">
      <c r="A241" s="93" t="s">
        <v>413</v>
      </c>
      <c r="B241" s="91" t="s">
        <v>568</v>
      </c>
      <c r="C241" s="92" t="s">
        <v>233</v>
      </c>
      <c r="D241" s="93" t="s">
        <v>234</v>
      </c>
      <c r="E241" s="93" t="s">
        <v>235</v>
      </c>
      <c r="F241" s="100" t="s">
        <v>236</v>
      </c>
      <c r="G241" s="93" t="s">
        <v>237</v>
      </c>
      <c r="H241" s="92" t="s">
        <v>189</v>
      </c>
      <c r="I241" s="94" t="s">
        <v>36</v>
      </c>
      <c r="J241" s="93"/>
      <c r="K241" s="95"/>
      <c r="L241" s="96" t="s">
        <v>36</v>
      </c>
      <c r="M241" s="97"/>
      <c r="N241" s="98"/>
    </row>
    <row r="242">
      <c r="A242" s="93" t="s">
        <v>413</v>
      </c>
      <c r="B242" s="91" t="s">
        <v>569</v>
      </c>
      <c r="C242" s="101" t="s">
        <v>239</v>
      </c>
      <c r="D242" s="101" t="s">
        <v>240</v>
      </c>
      <c r="E242" s="93" t="s">
        <v>241</v>
      </c>
      <c r="F242" s="93" t="s">
        <v>200</v>
      </c>
      <c r="G242" s="90" t="s">
        <v>242</v>
      </c>
      <c r="H242" s="92" t="s">
        <v>189</v>
      </c>
      <c r="I242" s="99" t="s">
        <v>111</v>
      </c>
      <c r="J242" s="95" t="s">
        <v>427</v>
      </c>
      <c r="K242" s="95"/>
      <c r="L242" s="96" t="s">
        <v>36</v>
      </c>
      <c r="M242" s="97"/>
      <c r="N242" s="98"/>
    </row>
    <row r="243">
      <c r="A243" s="93" t="s">
        <v>413</v>
      </c>
      <c r="B243" s="91" t="s">
        <v>570</v>
      </c>
      <c r="C243" s="101" t="s">
        <v>244</v>
      </c>
      <c r="D243" s="101" t="s">
        <v>245</v>
      </c>
      <c r="E243" s="93" t="s">
        <v>241</v>
      </c>
      <c r="F243" s="93" t="s">
        <v>200</v>
      </c>
      <c r="G243" s="93" t="s">
        <v>246</v>
      </c>
      <c r="H243" s="92" t="s">
        <v>189</v>
      </c>
      <c r="I243" s="99" t="s">
        <v>111</v>
      </c>
      <c r="J243" s="95" t="s">
        <v>429</v>
      </c>
      <c r="K243" s="95"/>
      <c r="L243" s="96" t="s">
        <v>36</v>
      </c>
      <c r="M243" s="97"/>
      <c r="N243" s="98"/>
    </row>
    <row r="244">
      <c r="A244" s="93" t="s">
        <v>413</v>
      </c>
      <c r="B244" s="91" t="s">
        <v>571</v>
      </c>
      <c r="C244" s="101" t="s">
        <v>431</v>
      </c>
      <c r="D244" s="93" t="s">
        <v>432</v>
      </c>
      <c r="E244" s="93" t="s">
        <v>215</v>
      </c>
      <c r="F244" s="93" t="s">
        <v>200</v>
      </c>
      <c r="G244" s="93" t="s">
        <v>433</v>
      </c>
      <c r="H244" s="92" t="s">
        <v>189</v>
      </c>
      <c r="I244" s="99" t="s">
        <v>111</v>
      </c>
      <c r="J244" s="95" t="s">
        <v>434</v>
      </c>
      <c r="K244" s="95"/>
      <c r="L244" s="96" t="s">
        <v>36</v>
      </c>
      <c r="M244" s="97"/>
      <c r="N244" s="98"/>
    </row>
    <row r="245">
      <c r="A245" s="93" t="s">
        <v>413</v>
      </c>
      <c r="B245" s="91" t="s">
        <v>572</v>
      </c>
      <c r="C245" s="101" t="s">
        <v>248</v>
      </c>
      <c r="D245" s="93" t="s">
        <v>224</v>
      </c>
      <c r="E245" s="93" t="s">
        <v>215</v>
      </c>
      <c r="F245" s="93" t="s">
        <v>200</v>
      </c>
      <c r="G245" s="93" t="s">
        <v>226</v>
      </c>
      <c r="H245" s="92" t="s">
        <v>189</v>
      </c>
      <c r="I245" s="94" t="s">
        <v>36</v>
      </c>
      <c r="J245" s="93"/>
      <c r="K245" s="95"/>
      <c r="L245" s="96" t="s">
        <v>36</v>
      </c>
      <c r="M245" s="97"/>
      <c r="N245" s="98"/>
    </row>
    <row r="246">
      <c r="A246" s="93" t="s">
        <v>413</v>
      </c>
      <c r="B246" s="91" t="s">
        <v>573</v>
      </c>
      <c r="C246" s="101" t="s">
        <v>250</v>
      </c>
      <c r="D246" s="93" t="s">
        <v>229</v>
      </c>
      <c r="E246" s="93" t="s">
        <v>215</v>
      </c>
      <c r="F246" s="93" t="s">
        <v>230</v>
      </c>
      <c r="G246" s="93" t="s">
        <v>231</v>
      </c>
      <c r="H246" s="92" t="s">
        <v>189</v>
      </c>
      <c r="I246" s="94" t="s">
        <v>36</v>
      </c>
      <c r="J246" s="93"/>
      <c r="K246" s="95"/>
      <c r="L246" s="96" t="s">
        <v>36</v>
      </c>
      <c r="M246" s="97"/>
      <c r="N246" s="98"/>
    </row>
    <row r="247">
      <c r="A247" s="93" t="s">
        <v>413</v>
      </c>
      <c r="B247" s="91" t="s">
        <v>574</v>
      </c>
      <c r="C247" s="92" t="s">
        <v>252</v>
      </c>
      <c r="D247" s="101" t="s">
        <v>253</v>
      </c>
      <c r="E247" s="93" t="s">
        <v>215</v>
      </c>
      <c r="F247" s="93" t="s">
        <v>254</v>
      </c>
      <c r="G247" s="90" t="s">
        <v>255</v>
      </c>
      <c r="H247" s="92" t="s">
        <v>189</v>
      </c>
      <c r="I247" s="94" t="s">
        <v>36</v>
      </c>
      <c r="J247" s="93"/>
      <c r="K247" s="95"/>
      <c r="L247" s="96" t="s">
        <v>36</v>
      </c>
      <c r="M247" s="97"/>
      <c r="N247" s="98"/>
    </row>
    <row r="248">
      <c r="A248" s="93" t="s">
        <v>413</v>
      </c>
      <c r="B248" s="91" t="s">
        <v>575</v>
      </c>
      <c r="C248" s="92" t="s">
        <v>257</v>
      </c>
      <c r="D248" s="101" t="s">
        <v>258</v>
      </c>
      <c r="E248" s="93" t="s">
        <v>215</v>
      </c>
      <c r="F248" s="93" t="s">
        <v>259</v>
      </c>
      <c r="G248" s="90" t="s">
        <v>260</v>
      </c>
      <c r="H248" s="92" t="s">
        <v>189</v>
      </c>
      <c r="I248" s="94" t="s">
        <v>36</v>
      </c>
      <c r="J248" s="93"/>
      <c r="K248" s="95"/>
      <c r="L248" s="96" t="s">
        <v>36</v>
      </c>
      <c r="M248" s="97"/>
      <c r="N248" s="98"/>
    </row>
    <row r="249">
      <c r="A249" s="93" t="s">
        <v>413</v>
      </c>
      <c r="B249" s="91" t="s">
        <v>576</v>
      </c>
      <c r="C249" s="92" t="s">
        <v>262</v>
      </c>
      <c r="D249" s="101" t="s">
        <v>263</v>
      </c>
      <c r="E249" s="93" t="s">
        <v>215</v>
      </c>
      <c r="F249" s="93" t="s">
        <v>264</v>
      </c>
      <c r="G249" s="90" t="s">
        <v>265</v>
      </c>
      <c r="H249" s="92" t="s">
        <v>189</v>
      </c>
      <c r="I249" s="99" t="s">
        <v>111</v>
      </c>
      <c r="J249" s="93" t="s">
        <v>440</v>
      </c>
      <c r="K249" s="95"/>
      <c r="L249" s="96" t="s">
        <v>36</v>
      </c>
      <c r="M249" s="97"/>
      <c r="N249" s="98"/>
    </row>
    <row r="250">
      <c r="A250" s="93" t="s">
        <v>413</v>
      </c>
      <c r="B250" s="91" t="s">
        <v>577</v>
      </c>
      <c r="C250" s="92" t="s">
        <v>262</v>
      </c>
      <c r="D250" s="101" t="s">
        <v>267</v>
      </c>
      <c r="E250" s="93" t="s">
        <v>215</v>
      </c>
      <c r="F250" s="93" t="s">
        <v>268</v>
      </c>
      <c r="G250" s="90" t="s">
        <v>269</v>
      </c>
      <c r="H250" s="92" t="s">
        <v>189</v>
      </c>
      <c r="I250" s="99" t="s">
        <v>111</v>
      </c>
      <c r="J250" s="93" t="s">
        <v>440</v>
      </c>
      <c r="K250" s="95"/>
      <c r="L250" s="96" t="s">
        <v>36</v>
      </c>
      <c r="M250" s="97"/>
      <c r="N250" s="98"/>
    </row>
    <row r="251">
      <c r="A251" s="90" t="s">
        <v>383</v>
      </c>
      <c r="B251" s="91" t="s">
        <v>578</v>
      </c>
      <c r="C251" s="90" t="s">
        <v>271</v>
      </c>
      <c r="D251" s="90" t="s">
        <v>272</v>
      </c>
      <c r="E251" s="90" t="s">
        <v>273</v>
      </c>
      <c r="F251" s="90" t="s">
        <v>274</v>
      </c>
      <c r="G251" s="90" t="s">
        <v>275</v>
      </c>
      <c r="H251" s="92" t="s">
        <v>189</v>
      </c>
      <c r="I251" s="106" t="s">
        <v>36</v>
      </c>
      <c r="J251" s="103"/>
      <c r="K251" s="95"/>
      <c r="L251" s="96" t="s">
        <v>36</v>
      </c>
      <c r="M251" s="97"/>
      <c r="N251" s="98"/>
    </row>
    <row r="252">
      <c r="A252" s="93" t="s">
        <v>413</v>
      </c>
      <c r="B252" s="91" t="s">
        <v>579</v>
      </c>
      <c r="C252" s="92" t="s">
        <v>444</v>
      </c>
      <c r="D252" s="93" t="s">
        <v>445</v>
      </c>
      <c r="E252" s="93" t="s">
        <v>215</v>
      </c>
      <c r="F252" s="93" t="s">
        <v>200</v>
      </c>
      <c r="G252" s="90" t="s">
        <v>446</v>
      </c>
      <c r="H252" s="92" t="s">
        <v>189</v>
      </c>
      <c r="I252" s="99" t="s">
        <v>111</v>
      </c>
      <c r="J252" s="95" t="s">
        <v>447</v>
      </c>
      <c r="K252" s="95"/>
      <c r="L252" s="96" t="s">
        <v>36</v>
      </c>
      <c r="M252" s="97"/>
      <c r="N252" s="98"/>
    </row>
    <row r="253">
      <c r="A253" s="93" t="s">
        <v>413</v>
      </c>
      <c r="B253" s="91" t="s">
        <v>580</v>
      </c>
      <c r="C253" s="92" t="s">
        <v>277</v>
      </c>
      <c r="D253" s="93" t="s">
        <v>278</v>
      </c>
      <c r="E253" s="93" t="s">
        <v>215</v>
      </c>
      <c r="F253" s="93" t="s">
        <v>279</v>
      </c>
      <c r="G253" s="93" t="s">
        <v>280</v>
      </c>
      <c r="H253" s="92" t="s">
        <v>189</v>
      </c>
      <c r="I253" s="94" t="s">
        <v>36</v>
      </c>
      <c r="J253" s="93"/>
      <c r="K253" s="95"/>
      <c r="L253" s="96" t="s">
        <v>36</v>
      </c>
      <c r="M253" s="97"/>
      <c r="N253" s="98"/>
    </row>
    <row r="254">
      <c r="A254" s="93" t="s">
        <v>413</v>
      </c>
      <c r="B254" s="91" t="s">
        <v>581</v>
      </c>
      <c r="C254" s="91" t="s">
        <v>450</v>
      </c>
      <c r="D254" s="95" t="s">
        <v>451</v>
      </c>
      <c r="E254" s="93" t="s">
        <v>215</v>
      </c>
      <c r="F254" s="93" t="s">
        <v>200</v>
      </c>
      <c r="G254" s="93" t="s">
        <v>452</v>
      </c>
      <c r="H254" s="92" t="s">
        <v>189</v>
      </c>
      <c r="I254" s="99" t="s">
        <v>111</v>
      </c>
      <c r="J254" s="95" t="s">
        <v>453</v>
      </c>
      <c r="K254" s="95"/>
      <c r="L254" s="96" t="s">
        <v>36</v>
      </c>
      <c r="M254" s="97"/>
      <c r="N254" s="98"/>
    </row>
    <row r="255">
      <c r="A255" s="93" t="s">
        <v>413</v>
      </c>
      <c r="B255" s="91" t="s">
        <v>582</v>
      </c>
      <c r="C255" s="105" t="s">
        <v>282</v>
      </c>
      <c r="D255" s="90" t="s">
        <v>283</v>
      </c>
      <c r="E255" s="90" t="s">
        <v>284</v>
      </c>
      <c r="F255" s="90" t="s">
        <v>285</v>
      </c>
      <c r="G255" s="90" t="s">
        <v>286</v>
      </c>
      <c r="H255" s="92" t="s">
        <v>189</v>
      </c>
      <c r="I255" s="106" t="s">
        <v>36</v>
      </c>
      <c r="J255" s="104"/>
      <c r="K255" s="95"/>
      <c r="L255" s="96" t="s">
        <v>36</v>
      </c>
      <c r="M255" s="97"/>
      <c r="N255" s="98"/>
    </row>
    <row r="256">
      <c r="A256" s="93" t="s">
        <v>413</v>
      </c>
      <c r="B256" s="91" t="s">
        <v>583</v>
      </c>
      <c r="C256" s="90" t="s">
        <v>288</v>
      </c>
      <c r="D256" s="90" t="s">
        <v>289</v>
      </c>
      <c r="E256" s="90" t="s">
        <v>290</v>
      </c>
      <c r="F256" s="90" t="s">
        <v>274</v>
      </c>
      <c r="G256" s="90" t="s">
        <v>291</v>
      </c>
      <c r="H256" s="92" t="s">
        <v>189</v>
      </c>
      <c r="I256" s="106" t="s">
        <v>36</v>
      </c>
      <c r="J256" s="103"/>
      <c r="K256" s="95"/>
      <c r="L256" s="96" t="s">
        <v>36</v>
      </c>
      <c r="M256" s="97"/>
      <c r="N256" s="98"/>
    </row>
    <row r="257">
      <c r="A257" s="93" t="s">
        <v>413</v>
      </c>
      <c r="B257" s="91" t="s">
        <v>584</v>
      </c>
      <c r="C257" s="90" t="s">
        <v>293</v>
      </c>
      <c r="D257" s="90" t="s">
        <v>294</v>
      </c>
      <c r="E257" s="90" t="s">
        <v>284</v>
      </c>
      <c r="F257" s="90" t="s">
        <v>295</v>
      </c>
      <c r="G257" s="90" t="s">
        <v>296</v>
      </c>
      <c r="H257" s="92" t="s">
        <v>189</v>
      </c>
      <c r="I257" s="106" t="s">
        <v>36</v>
      </c>
      <c r="J257" s="103"/>
      <c r="K257" s="95"/>
      <c r="L257" s="96" t="s">
        <v>36</v>
      </c>
      <c r="M257" s="97"/>
      <c r="N257" s="98"/>
    </row>
    <row r="258">
      <c r="A258" s="93" t="s">
        <v>413</v>
      </c>
      <c r="B258" s="91" t="s">
        <v>585</v>
      </c>
      <c r="C258" s="90" t="s">
        <v>298</v>
      </c>
      <c r="D258" s="90" t="s">
        <v>299</v>
      </c>
      <c r="E258" s="90" t="s">
        <v>300</v>
      </c>
      <c r="F258" s="90" t="s">
        <v>301</v>
      </c>
      <c r="G258" s="90" t="s">
        <v>302</v>
      </c>
      <c r="H258" s="92" t="s">
        <v>189</v>
      </c>
      <c r="I258" s="106" t="s">
        <v>36</v>
      </c>
      <c r="J258" s="103"/>
      <c r="K258" s="95"/>
      <c r="L258" s="96" t="s">
        <v>36</v>
      </c>
      <c r="M258" s="97"/>
      <c r="N258" s="98"/>
    </row>
    <row r="259">
      <c r="A259" s="93" t="s">
        <v>413</v>
      </c>
      <c r="B259" s="91" t="s">
        <v>586</v>
      </c>
      <c r="C259" s="90" t="s">
        <v>304</v>
      </c>
      <c r="D259" s="90" t="s">
        <v>305</v>
      </c>
      <c r="E259" s="90" t="s">
        <v>284</v>
      </c>
      <c r="F259" s="90" t="s">
        <v>306</v>
      </c>
      <c r="G259" s="90" t="s">
        <v>307</v>
      </c>
      <c r="H259" s="92" t="s">
        <v>189</v>
      </c>
      <c r="I259" s="107" t="s">
        <v>111</v>
      </c>
      <c r="J259" s="109" t="s">
        <v>459</v>
      </c>
      <c r="K259" s="95"/>
      <c r="L259" s="96" t="s">
        <v>36</v>
      </c>
      <c r="M259" s="97"/>
      <c r="N259" s="98"/>
    </row>
    <row r="260">
      <c r="A260" s="93" t="s">
        <v>413</v>
      </c>
      <c r="B260" s="91" t="s">
        <v>587</v>
      </c>
      <c r="C260" s="90" t="s">
        <v>309</v>
      </c>
      <c r="D260" s="90" t="s">
        <v>310</v>
      </c>
      <c r="E260" s="90" t="s">
        <v>284</v>
      </c>
      <c r="F260" s="90" t="s">
        <v>311</v>
      </c>
      <c r="G260" s="90" t="s">
        <v>312</v>
      </c>
      <c r="H260" s="92" t="s">
        <v>189</v>
      </c>
      <c r="I260" s="106" t="s">
        <v>36</v>
      </c>
      <c r="J260" s="104"/>
      <c r="K260" s="95"/>
      <c r="L260" s="96" t="s">
        <v>36</v>
      </c>
      <c r="M260" s="97"/>
      <c r="N260" s="98"/>
    </row>
    <row r="261">
      <c r="A261" s="93" t="s">
        <v>413</v>
      </c>
      <c r="B261" s="91" t="s">
        <v>588</v>
      </c>
      <c r="C261" s="90" t="s">
        <v>314</v>
      </c>
      <c r="D261" s="90" t="s">
        <v>315</v>
      </c>
      <c r="E261" s="90" t="s">
        <v>316</v>
      </c>
      <c r="F261" s="90" t="s">
        <v>317</v>
      </c>
      <c r="G261" s="90" t="s">
        <v>318</v>
      </c>
      <c r="H261" s="92" t="s">
        <v>189</v>
      </c>
      <c r="I261" s="106" t="s">
        <v>36</v>
      </c>
      <c r="J261" s="104"/>
      <c r="K261" s="95"/>
      <c r="L261" s="96" t="s">
        <v>36</v>
      </c>
      <c r="M261" s="97"/>
      <c r="N261" s="98"/>
    </row>
    <row r="262">
      <c r="A262" s="83"/>
      <c r="B262" s="83"/>
      <c r="C262" s="83"/>
      <c r="D262" s="83"/>
      <c r="E262" s="83"/>
      <c r="F262" s="85" t="s">
        <v>193</v>
      </c>
      <c r="G262" s="83"/>
      <c r="H262" s="83"/>
      <c r="I262" s="83"/>
      <c r="J262" s="83"/>
      <c r="K262" s="86"/>
      <c r="L262" s="87"/>
      <c r="M262" s="88"/>
      <c r="N262" s="89"/>
    </row>
    <row r="263">
      <c r="A263" s="90" t="s">
        <v>195</v>
      </c>
      <c r="B263" s="91" t="s">
        <v>589</v>
      </c>
      <c r="C263" s="92" t="s">
        <v>197</v>
      </c>
      <c r="D263" s="93" t="s">
        <v>198</v>
      </c>
      <c r="E263" s="93" t="s">
        <v>199</v>
      </c>
      <c r="F263" s="93" t="s">
        <v>200</v>
      </c>
      <c r="G263" s="90" t="s">
        <v>201</v>
      </c>
      <c r="H263" s="92" t="s">
        <v>193</v>
      </c>
      <c r="I263" s="94" t="s">
        <v>36</v>
      </c>
      <c r="J263" s="95"/>
      <c r="K263" s="95"/>
      <c r="L263" s="96" t="s">
        <v>36</v>
      </c>
      <c r="M263" s="97"/>
      <c r="N263" s="98"/>
    </row>
    <row r="264">
      <c r="A264" s="90" t="s">
        <v>195</v>
      </c>
      <c r="B264" s="91" t="s">
        <v>590</v>
      </c>
      <c r="C264" s="92" t="s">
        <v>203</v>
      </c>
      <c r="D264" s="93" t="s">
        <v>204</v>
      </c>
      <c r="E264" s="93" t="s">
        <v>199</v>
      </c>
      <c r="F264" s="93" t="s">
        <v>200</v>
      </c>
      <c r="G264" s="90" t="s">
        <v>205</v>
      </c>
      <c r="H264" s="92" t="s">
        <v>193</v>
      </c>
      <c r="I264" s="99" t="s">
        <v>111</v>
      </c>
      <c r="J264" s="95" t="s">
        <v>206</v>
      </c>
      <c r="K264" s="95"/>
      <c r="L264" s="96" t="s">
        <v>36</v>
      </c>
      <c r="M264" s="97"/>
      <c r="N264" s="98"/>
    </row>
    <row r="265">
      <c r="A265" s="90" t="s">
        <v>195</v>
      </c>
      <c r="B265" s="91" t="s">
        <v>591</v>
      </c>
      <c r="C265" s="92" t="s">
        <v>208</v>
      </c>
      <c r="D265" s="93" t="s">
        <v>209</v>
      </c>
      <c r="E265" s="93" t="s">
        <v>210</v>
      </c>
      <c r="F265" s="93" t="s">
        <v>211</v>
      </c>
      <c r="G265" s="90" t="s">
        <v>212</v>
      </c>
      <c r="H265" s="92" t="s">
        <v>193</v>
      </c>
      <c r="I265" s="94" t="s">
        <v>36</v>
      </c>
      <c r="J265" s="95"/>
      <c r="K265" s="95"/>
      <c r="L265" s="96" t="s">
        <v>36</v>
      </c>
      <c r="M265" s="97"/>
      <c r="N265" s="98"/>
    </row>
    <row r="266">
      <c r="A266" s="90" t="s">
        <v>195</v>
      </c>
      <c r="B266" s="91" t="s">
        <v>592</v>
      </c>
      <c r="C266" s="92" t="s">
        <v>214</v>
      </c>
      <c r="D266" s="93" t="s">
        <v>209</v>
      </c>
      <c r="E266" s="93" t="s">
        <v>215</v>
      </c>
      <c r="F266" s="93" t="s">
        <v>211</v>
      </c>
      <c r="G266" s="90" t="s">
        <v>216</v>
      </c>
      <c r="H266" s="92" t="s">
        <v>193</v>
      </c>
      <c r="I266" s="99" t="s">
        <v>111</v>
      </c>
      <c r="J266" s="95" t="s">
        <v>217</v>
      </c>
      <c r="K266" s="95"/>
      <c r="L266" s="96" t="s">
        <v>36</v>
      </c>
      <c r="M266" s="97"/>
      <c r="N266" s="98"/>
    </row>
    <row r="267">
      <c r="A267" s="90" t="s">
        <v>195</v>
      </c>
      <c r="B267" s="91" t="s">
        <v>593</v>
      </c>
      <c r="C267" s="92" t="s">
        <v>219</v>
      </c>
      <c r="D267" s="93" t="s">
        <v>220</v>
      </c>
      <c r="E267" s="93" t="s">
        <v>215</v>
      </c>
      <c r="F267" s="93" t="s">
        <v>211</v>
      </c>
      <c r="G267" s="93" t="s">
        <v>221</v>
      </c>
      <c r="H267" s="92" t="s">
        <v>193</v>
      </c>
      <c r="I267" s="94" t="s">
        <v>36</v>
      </c>
      <c r="J267" s="93"/>
      <c r="K267" s="95"/>
      <c r="L267" s="96" t="s">
        <v>36</v>
      </c>
      <c r="M267" s="97"/>
      <c r="N267" s="98"/>
    </row>
    <row r="268">
      <c r="A268" s="90" t="s">
        <v>195</v>
      </c>
      <c r="B268" s="91" t="s">
        <v>594</v>
      </c>
      <c r="C268" s="92" t="s">
        <v>223</v>
      </c>
      <c r="D268" s="93" t="s">
        <v>224</v>
      </c>
      <c r="E268" s="93" t="s">
        <v>215</v>
      </c>
      <c r="F268" s="93" t="s">
        <v>225</v>
      </c>
      <c r="G268" s="93" t="s">
        <v>226</v>
      </c>
      <c r="H268" s="92" t="s">
        <v>193</v>
      </c>
      <c r="I268" s="94" t="s">
        <v>36</v>
      </c>
      <c r="J268" s="93"/>
      <c r="K268" s="95"/>
      <c r="L268" s="96" t="s">
        <v>36</v>
      </c>
      <c r="M268" s="97"/>
      <c r="N268" s="98"/>
    </row>
    <row r="269">
      <c r="A269" s="90" t="s">
        <v>195</v>
      </c>
      <c r="B269" s="91" t="s">
        <v>595</v>
      </c>
      <c r="C269" s="92" t="s">
        <v>228</v>
      </c>
      <c r="D269" s="93" t="s">
        <v>229</v>
      </c>
      <c r="E269" s="93" t="s">
        <v>215</v>
      </c>
      <c r="F269" s="93" t="s">
        <v>230</v>
      </c>
      <c r="G269" s="93" t="s">
        <v>231</v>
      </c>
      <c r="H269" s="92" t="s">
        <v>193</v>
      </c>
      <c r="I269" s="94" t="s">
        <v>36</v>
      </c>
      <c r="J269" s="93"/>
      <c r="K269" s="95"/>
      <c r="L269" s="96" t="s">
        <v>36</v>
      </c>
      <c r="M269" s="97"/>
      <c r="N269" s="98"/>
    </row>
    <row r="270">
      <c r="A270" s="90" t="s">
        <v>195</v>
      </c>
      <c r="B270" s="91" t="s">
        <v>596</v>
      </c>
      <c r="C270" s="92" t="s">
        <v>233</v>
      </c>
      <c r="D270" s="93" t="s">
        <v>234</v>
      </c>
      <c r="E270" s="93" t="s">
        <v>235</v>
      </c>
      <c r="F270" s="100" t="s">
        <v>236</v>
      </c>
      <c r="G270" s="93" t="s">
        <v>237</v>
      </c>
      <c r="H270" s="92" t="s">
        <v>193</v>
      </c>
      <c r="I270" s="94" t="s">
        <v>36</v>
      </c>
      <c r="J270" s="95"/>
      <c r="K270" s="95"/>
      <c r="L270" s="96" t="s">
        <v>36</v>
      </c>
      <c r="M270" s="97"/>
      <c r="N270" s="98"/>
    </row>
    <row r="271">
      <c r="A271" s="90" t="s">
        <v>195</v>
      </c>
      <c r="B271" s="91" t="s">
        <v>597</v>
      </c>
      <c r="C271" s="101" t="s">
        <v>239</v>
      </c>
      <c r="D271" s="101" t="s">
        <v>240</v>
      </c>
      <c r="E271" s="93" t="s">
        <v>241</v>
      </c>
      <c r="F271" s="93" t="s">
        <v>200</v>
      </c>
      <c r="G271" s="90" t="s">
        <v>242</v>
      </c>
      <c r="H271" s="92" t="s">
        <v>193</v>
      </c>
      <c r="I271" s="94" t="s">
        <v>36</v>
      </c>
      <c r="J271" s="93"/>
      <c r="K271" s="95"/>
      <c r="L271" s="96" t="s">
        <v>36</v>
      </c>
      <c r="M271" s="97"/>
      <c r="N271" s="98"/>
    </row>
    <row r="272">
      <c r="A272" s="105" t="s">
        <v>195</v>
      </c>
      <c r="B272" s="91" t="s">
        <v>598</v>
      </c>
      <c r="C272" s="108" t="s">
        <v>244</v>
      </c>
      <c r="D272" s="108" t="s">
        <v>245</v>
      </c>
      <c r="E272" s="95" t="s">
        <v>241</v>
      </c>
      <c r="F272" s="95" t="s">
        <v>200</v>
      </c>
      <c r="G272" s="95" t="s">
        <v>246</v>
      </c>
      <c r="H272" s="91" t="s">
        <v>193</v>
      </c>
      <c r="I272" s="122" t="s">
        <v>36</v>
      </c>
      <c r="J272" s="95"/>
      <c r="K272" s="95"/>
      <c r="L272" s="96" t="s">
        <v>36</v>
      </c>
      <c r="M272" s="97"/>
      <c r="N272" s="98"/>
    </row>
    <row r="273">
      <c r="A273" s="105" t="s">
        <v>195</v>
      </c>
      <c r="B273" s="91" t="s">
        <v>599</v>
      </c>
      <c r="C273" s="108" t="s">
        <v>248</v>
      </c>
      <c r="D273" s="95" t="s">
        <v>224</v>
      </c>
      <c r="E273" s="95" t="s">
        <v>215</v>
      </c>
      <c r="F273" s="95" t="s">
        <v>200</v>
      </c>
      <c r="G273" s="95" t="s">
        <v>226</v>
      </c>
      <c r="H273" s="91" t="s">
        <v>193</v>
      </c>
      <c r="I273" s="122" t="s">
        <v>36</v>
      </c>
      <c r="J273" s="95"/>
      <c r="K273" s="95"/>
      <c r="L273" s="96" t="s">
        <v>36</v>
      </c>
      <c r="M273" s="97"/>
      <c r="N273" s="98"/>
    </row>
    <row r="274">
      <c r="A274" s="105" t="s">
        <v>195</v>
      </c>
      <c r="B274" s="91" t="s">
        <v>600</v>
      </c>
      <c r="C274" s="108" t="s">
        <v>250</v>
      </c>
      <c r="D274" s="95" t="s">
        <v>229</v>
      </c>
      <c r="E274" s="95" t="s">
        <v>215</v>
      </c>
      <c r="F274" s="95" t="s">
        <v>230</v>
      </c>
      <c r="G274" s="95" t="s">
        <v>231</v>
      </c>
      <c r="H274" s="91" t="s">
        <v>193</v>
      </c>
      <c r="I274" s="122" t="s">
        <v>36</v>
      </c>
      <c r="J274" s="95"/>
      <c r="K274" s="95"/>
      <c r="L274" s="96" t="s">
        <v>36</v>
      </c>
      <c r="M274" s="97"/>
      <c r="N274" s="98"/>
    </row>
    <row r="275">
      <c r="A275" s="105" t="s">
        <v>195</v>
      </c>
      <c r="B275" s="91" t="s">
        <v>601</v>
      </c>
      <c r="C275" s="91" t="s">
        <v>252</v>
      </c>
      <c r="D275" s="108" t="s">
        <v>253</v>
      </c>
      <c r="E275" s="95" t="s">
        <v>215</v>
      </c>
      <c r="F275" s="95" t="s">
        <v>254</v>
      </c>
      <c r="G275" s="105" t="s">
        <v>255</v>
      </c>
      <c r="H275" s="91" t="s">
        <v>193</v>
      </c>
      <c r="I275" s="122" t="s">
        <v>36</v>
      </c>
      <c r="J275" s="95"/>
      <c r="K275" s="95"/>
      <c r="L275" s="96" t="s">
        <v>36</v>
      </c>
      <c r="M275" s="97"/>
      <c r="N275" s="98"/>
    </row>
    <row r="276">
      <c r="A276" s="105" t="s">
        <v>195</v>
      </c>
      <c r="B276" s="91" t="s">
        <v>602</v>
      </c>
      <c r="C276" s="91" t="s">
        <v>257</v>
      </c>
      <c r="D276" s="108" t="s">
        <v>258</v>
      </c>
      <c r="E276" s="95" t="s">
        <v>215</v>
      </c>
      <c r="F276" s="95" t="s">
        <v>259</v>
      </c>
      <c r="G276" s="105" t="s">
        <v>260</v>
      </c>
      <c r="H276" s="91" t="s">
        <v>193</v>
      </c>
      <c r="I276" s="122" t="s">
        <v>36</v>
      </c>
      <c r="J276" s="95"/>
      <c r="K276" s="95"/>
      <c r="L276" s="96" t="s">
        <v>36</v>
      </c>
      <c r="M276" s="97"/>
      <c r="N276" s="98"/>
    </row>
    <row r="277">
      <c r="A277" s="105" t="s">
        <v>195</v>
      </c>
      <c r="B277" s="91" t="s">
        <v>603</v>
      </c>
      <c r="C277" s="91" t="s">
        <v>262</v>
      </c>
      <c r="D277" s="108" t="s">
        <v>263</v>
      </c>
      <c r="E277" s="95" t="s">
        <v>215</v>
      </c>
      <c r="F277" s="95" t="s">
        <v>264</v>
      </c>
      <c r="G277" s="105" t="s">
        <v>265</v>
      </c>
      <c r="H277" s="91" t="s">
        <v>193</v>
      </c>
      <c r="I277" s="122" t="s">
        <v>36</v>
      </c>
      <c r="J277" s="95"/>
      <c r="K277" s="95"/>
      <c r="L277" s="96" t="s">
        <v>36</v>
      </c>
      <c r="M277" s="97"/>
      <c r="N277" s="98"/>
    </row>
    <row r="278">
      <c r="A278" s="105" t="s">
        <v>195</v>
      </c>
      <c r="B278" s="91" t="s">
        <v>604</v>
      </c>
      <c r="C278" s="91" t="s">
        <v>262</v>
      </c>
      <c r="D278" s="108" t="s">
        <v>267</v>
      </c>
      <c r="E278" s="95" t="s">
        <v>215</v>
      </c>
      <c r="F278" s="95" t="s">
        <v>268</v>
      </c>
      <c r="G278" s="105" t="s">
        <v>269</v>
      </c>
      <c r="H278" s="91" t="s">
        <v>193</v>
      </c>
      <c r="I278" s="122" t="s">
        <v>36</v>
      </c>
      <c r="J278" s="95"/>
      <c r="K278" s="95"/>
      <c r="L278" s="96" t="s">
        <v>36</v>
      </c>
      <c r="M278" s="97"/>
      <c r="N278" s="98"/>
    </row>
    <row r="279">
      <c r="A279" s="105" t="s">
        <v>195</v>
      </c>
      <c r="B279" s="91" t="s">
        <v>605</v>
      </c>
      <c r="C279" s="105" t="s">
        <v>271</v>
      </c>
      <c r="D279" s="105" t="s">
        <v>272</v>
      </c>
      <c r="E279" s="105" t="s">
        <v>273</v>
      </c>
      <c r="F279" s="105" t="s">
        <v>274</v>
      </c>
      <c r="G279" s="105" t="s">
        <v>275</v>
      </c>
      <c r="H279" s="91" t="s">
        <v>193</v>
      </c>
      <c r="I279" s="122" t="s">
        <v>36</v>
      </c>
      <c r="J279" s="103"/>
      <c r="K279" s="95"/>
      <c r="L279" s="96" t="s">
        <v>36</v>
      </c>
      <c r="M279" s="97"/>
      <c r="N279" s="98"/>
    </row>
    <row r="280">
      <c r="A280" s="123" t="s">
        <v>195</v>
      </c>
      <c r="B280" s="91" t="s">
        <v>606</v>
      </c>
      <c r="C280" s="125" t="s">
        <v>277</v>
      </c>
      <c r="D280" s="102" t="s">
        <v>278</v>
      </c>
      <c r="E280" s="102" t="s">
        <v>215</v>
      </c>
      <c r="F280" s="102" t="s">
        <v>279</v>
      </c>
      <c r="G280" s="102" t="s">
        <v>280</v>
      </c>
      <c r="H280" s="125" t="s">
        <v>193</v>
      </c>
      <c r="I280" s="126" t="s">
        <v>36</v>
      </c>
      <c r="J280" s="102"/>
      <c r="K280" s="102"/>
      <c r="L280" s="127" t="s">
        <v>36</v>
      </c>
      <c r="M280" s="128"/>
      <c r="N280" s="129"/>
    </row>
    <row r="281">
      <c r="A281" s="123" t="s">
        <v>195</v>
      </c>
      <c r="B281" s="91" t="s">
        <v>607</v>
      </c>
      <c r="C281" s="123" t="s">
        <v>282</v>
      </c>
      <c r="D281" s="123" t="s">
        <v>283</v>
      </c>
      <c r="E281" s="123" t="s">
        <v>284</v>
      </c>
      <c r="F281" s="123" t="s">
        <v>285</v>
      </c>
      <c r="G281" s="123" t="s">
        <v>286</v>
      </c>
      <c r="H281" s="125" t="s">
        <v>193</v>
      </c>
      <c r="I281" s="126" t="s">
        <v>36</v>
      </c>
      <c r="J281" s="130"/>
      <c r="K281" s="102"/>
      <c r="L281" s="127" t="s">
        <v>36</v>
      </c>
      <c r="M281" s="128"/>
      <c r="N281" s="129"/>
    </row>
    <row r="282">
      <c r="A282" s="123" t="s">
        <v>195</v>
      </c>
      <c r="B282" s="91" t="s">
        <v>608</v>
      </c>
      <c r="C282" s="123" t="s">
        <v>288</v>
      </c>
      <c r="D282" s="123" t="s">
        <v>289</v>
      </c>
      <c r="E282" s="123" t="s">
        <v>290</v>
      </c>
      <c r="F282" s="123" t="s">
        <v>274</v>
      </c>
      <c r="G282" s="123" t="s">
        <v>291</v>
      </c>
      <c r="H282" s="125" t="s">
        <v>193</v>
      </c>
      <c r="I282" s="126" t="s">
        <v>36</v>
      </c>
      <c r="J282" s="130"/>
      <c r="K282" s="102"/>
      <c r="L282" s="127" t="s">
        <v>36</v>
      </c>
      <c r="M282" s="128"/>
      <c r="N282" s="129"/>
    </row>
    <row r="283">
      <c r="A283" s="123" t="s">
        <v>195</v>
      </c>
      <c r="B283" s="91" t="s">
        <v>609</v>
      </c>
      <c r="C283" s="123" t="s">
        <v>293</v>
      </c>
      <c r="D283" s="123" t="s">
        <v>294</v>
      </c>
      <c r="E283" s="123" t="s">
        <v>284</v>
      </c>
      <c r="F283" s="123" t="s">
        <v>295</v>
      </c>
      <c r="G283" s="123" t="s">
        <v>296</v>
      </c>
      <c r="H283" s="125" t="s">
        <v>193</v>
      </c>
      <c r="I283" s="126" t="s">
        <v>36</v>
      </c>
      <c r="J283" s="130"/>
      <c r="K283" s="102"/>
      <c r="L283" s="127" t="s">
        <v>36</v>
      </c>
      <c r="M283" s="128"/>
      <c r="N283" s="129"/>
    </row>
    <row r="284">
      <c r="A284" s="123" t="s">
        <v>195</v>
      </c>
      <c r="B284" s="91" t="s">
        <v>610</v>
      </c>
      <c r="C284" s="123" t="s">
        <v>298</v>
      </c>
      <c r="D284" s="123" t="s">
        <v>299</v>
      </c>
      <c r="E284" s="123" t="s">
        <v>300</v>
      </c>
      <c r="F284" s="123" t="s">
        <v>301</v>
      </c>
      <c r="G284" s="123" t="s">
        <v>302</v>
      </c>
      <c r="H284" s="125" t="s">
        <v>193</v>
      </c>
      <c r="I284" s="126" t="s">
        <v>36</v>
      </c>
      <c r="J284" s="130"/>
      <c r="K284" s="102"/>
      <c r="L284" s="127" t="s">
        <v>36</v>
      </c>
      <c r="M284" s="128"/>
      <c r="N284" s="129"/>
    </row>
    <row r="285">
      <c r="A285" s="123" t="s">
        <v>195</v>
      </c>
      <c r="B285" s="91" t="s">
        <v>611</v>
      </c>
      <c r="C285" s="123" t="s">
        <v>304</v>
      </c>
      <c r="D285" s="123" t="s">
        <v>305</v>
      </c>
      <c r="E285" s="123" t="s">
        <v>284</v>
      </c>
      <c r="F285" s="123" t="s">
        <v>306</v>
      </c>
      <c r="G285" s="123" t="s">
        <v>307</v>
      </c>
      <c r="H285" s="125" t="s">
        <v>193</v>
      </c>
      <c r="I285" s="126" t="s">
        <v>36</v>
      </c>
      <c r="J285" s="130"/>
      <c r="K285" s="102"/>
      <c r="L285" s="127" t="s">
        <v>36</v>
      </c>
      <c r="M285" s="128"/>
      <c r="N285" s="129"/>
    </row>
    <row r="286">
      <c r="A286" s="123" t="s">
        <v>195</v>
      </c>
      <c r="B286" s="91" t="s">
        <v>612</v>
      </c>
      <c r="C286" s="123" t="s">
        <v>309</v>
      </c>
      <c r="D286" s="123" t="s">
        <v>310</v>
      </c>
      <c r="E286" s="123" t="s">
        <v>284</v>
      </c>
      <c r="F286" s="123" t="s">
        <v>311</v>
      </c>
      <c r="G286" s="123" t="s">
        <v>312</v>
      </c>
      <c r="H286" s="125" t="s">
        <v>193</v>
      </c>
      <c r="I286" s="126" t="s">
        <v>36</v>
      </c>
      <c r="J286" s="130"/>
      <c r="K286" s="102"/>
      <c r="L286" s="127" t="s">
        <v>36</v>
      </c>
      <c r="M286" s="128"/>
      <c r="N286" s="129"/>
    </row>
    <row r="287">
      <c r="A287" s="123" t="s">
        <v>195</v>
      </c>
      <c r="B287" s="91" t="s">
        <v>613</v>
      </c>
      <c r="C287" s="123" t="s">
        <v>314</v>
      </c>
      <c r="D287" s="123" t="s">
        <v>315</v>
      </c>
      <c r="E287" s="123" t="s">
        <v>316</v>
      </c>
      <c r="F287" s="123" t="s">
        <v>317</v>
      </c>
      <c r="G287" s="123" t="s">
        <v>318</v>
      </c>
      <c r="H287" s="125" t="s">
        <v>193</v>
      </c>
      <c r="I287" s="126" t="s">
        <v>36</v>
      </c>
      <c r="J287" s="130"/>
      <c r="K287" s="102"/>
      <c r="L287" s="127" t="s">
        <v>36</v>
      </c>
      <c r="M287" s="128"/>
      <c r="N287" s="129"/>
    </row>
    <row r="288">
      <c r="A288" s="125" t="s">
        <v>319</v>
      </c>
      <c r="B288" s="91" t="s">
        <v>614</v>
      </c>
      <c r="C288" s="125" t="s">
        <v>197</v>
      </c>
      <c r="D288" s="102" t="s">
        <v>198</v>
      </c>
      <c r="E288" s="102" t="s">
        <v>199</v>
      </c>
      <c r="F288" s="102" t="s">
        <v>200</v>
      </c>
      <c r="G288" s="123" t="s">
        <v>201</v>
      </c>
      <c r="H288" s="125" t="s">
        <v>193</v>
      </c>
      <c r="I288" s="131" t="s">
        <v>111</v>
      </c>
      <c r="J288" s="102" t="s">
        <v>321</v>
      </c>
      <c r="K288" s="102"/>
      <c r="L288" s="127" t="s">
        <v>111</v>
      </c>
      <c r="M288" s="128"/>
      <c r="N288" s="129"/>
    </row>
    <row r="289">
      <c r="A289" s="123" t="s">
        <v>322</v>
      </c>
      <c r="B289" s="91" t="s">
        <v>615</v>
      </c>
      <c r="C289" s="125" t="s">
        <v>197</v>
      </c>
      <c r="D289" s="102" t="s">
        <v>198</v>
      </c>
      <c r="E289" s="102" t="s">
        <v>199</v>
      </c>
      <c r="F289" s="102" t="s">
        <v>200</v>
      </c>
      <c r="G289" s="123" t="s">
        <v>201</v>
      </c>
      <c r="H289" s="125" t="s">
        <v>193</v>
      </c>
      <c r="I289" s="132" t="s">
        <v>36</v>
      </c>
      <c r="J289" s="102"/>
      <c r="K289" s="102"/>
      <c r="L289" s="127" t="s">
        <v>36</v>
      </c>
      <c r="M289" s="128"/>
      <c r="N289" s="129"/>
    </row>
    <row r="290">
      <c r="A290" s="123" t="s">
        <v>322</v>
      </c>
      <c r="B290" s="91" t="s">
        <v>616</v>
      </c>
      <c r="C290" s="125" t="s">
        <v>203</v>
      </c>
      <c r="D290" s="102" t="s">
        <v>204</v>
      </c>
      <c r="E290" s="102" t="s">
        <v>199</v>
      </c>
      <c r="F290" s="102" t="s">
        <v>200</v>
      </c>
      <c r="G290" s="123" t="s">
        <v>205</v>
      </c>
      <c r="H290" s="125" t="s">
        <v>193</v>
      </c>
      <c r="I290" s="133" t="s">
        <v>111</v>
      </c>
      <c r="J290" s="123" t="s">
        <v>206</v>
      </c>
      <c r="K290" s="102"/>
      <c r="L290" s="127" t="s">
        <v>36</v>
      </c>
      <c r="M290" s="128"/>
      <c r="N290" s="129"/>
    </row>
    <row r="291">
      <c r="A291" s="123" t="s">
        <v>322</v>
      </c>
      <c r="B291" s="91" t="s">
        <v>617</v>
      </c>
      <c r="C291" s="125" t="s">
        <v>208</v>
      </c>
      <c r="D291" s="102" t="s">
        <v>209</v>
      </c>
      <c r="E291" s="102" t="s">
        <v>210</v>
      </c>
      <c r="F291" s="102" t="s">
        <v>211</v>
      </c>
      <c r="G291" s="123" t="s">
        <v>212</v>
      </c>
      <c r="H291" s="125" t="s">
        <v>193</v>
      </c>
      <c r="I291" s="133" t="s">
        <v>111</v>
      </c>
      <c r="J291" s="123" t="s">
        <v>326</v>
      </c>
      <c r="K291" s="102"/>
      <c r="L291" s="127" t="s">
        <v>111</v>
      </c>
      <c r="M291" s="128"/>
      <c r="N291" s="129"/>
    </row>
    <row r="292">
      <c r="A292" s="123" t="s">
        <v>322</v>
      </c>
      <c r="B292" s="91" t="s">
        <v>618</v>
      </c>
      <c r="C292" s="125" t="s">
        <v>214</v>
      </c>
      <c r="D292" s="102" t="s">
        <v>209</v>
      </c>
      <c r="E292" s="102" t="s">
        <v>215</v>
      </c>
      <c r="F292" s="102" t="s">
        <v>211</v>
      </c>
      <c r="G292" s="123" t="s">
        <v>216</v>
      </c>
      <c r="H292" s="125" t="s">
        <v>193</v>
      </c>
      <c r="I292" s="133" t="s">
        <v>111</v>
      </c>
      <c r="J292" s="123" t="s">
        <v>217</v>
      </c>
      <c r="K292" s="102"/>
      <c r="L292" s="127" t="s">
        <v>36</v>
      </c>
      <c r="M292" s="128"/>
      <c r="N292" s="129"/>
    </row>
    <row r="293">
      <c r="A293" s="123" t="s">
        <v>322</v>
      </c>
      <c r="B293" s="91" t="s">
        <v>619</v>
      </c>
      <c r="C293" s="125" t="s">
        <v>219</v>
      </c>
      <c r="D293" s="102" t="s">
        <v>220</v>
      </c>
      <c r="E293" s="102" t="s">
        <v>215</v>
      </c>
      <c r="F293" s="102" t="s">
        <v>211</v>
      </c>
      <c r="G293" s="102" t="s">
        <v>221</v>
      </c>
      <c r="H293" s="125" t="s">
        <v>193</v>
      </c>
      <c r="I293" s="132" t="s">
        <v>36</v>
      </c>
      <c r="J293" s="102"/>
      <c r="K293" s="102"/>
      <c r="L293" s="127" t="s">
        <v>36</v>
      </c>
      <c r="M293" s="128"/>
      <c r="N293" s="129"/>
    </row>
    <row r="294">
      <c r="A294" s="123" t="s">
        <v>322</v>
      </c>
      <c r="B294" s="91" t="s">
        <v>620</v>
      </c>
      <c r="C294" s="125" t="s">
        <v>223</v>
      </c>
      <c r="D294" s="102" t="s">
        <v>224</v>
      </c>
      <c r="E294" s="102" t="s">
        <v>215</v>
      </c>
      <c r="F294" s="102" t="s">
        <v>225</v>
      </c>
      <c r="G294" s="102" t="s">
        <v>226</v>
      </c>
      <c r="H294" s="125" t="s">
        <v>193</v>
      </c>
      <c r="I294" s="133" t="s">
        <v>111</v>
      </c>
      <c r="J294" s="123" t="s">
        <v>330</v>
      </c>
      <c r="K294" s="102"/>
      <c r="L294" s="127" t="s">
        <v>111</v>
      </c>
      <c r="M294" s="128"/>
      <c r="N294" s="129"/>
    </row>
    <row r="295">
      <c r="A295" s="123" t="s">
        <v>322</v>
      </c>
      <c r="B295" s="91" t="s">
        <v>621</v>
      </c>
      <c r="C295" s="125" t="s">
        <v>228</v>
      </c>
      <c r="D295" s="102" t="s">
        <v>229</v>
      </c>
      <c r="E295" s="102" t="s">
        <v>215</v>
      </c>
      <c r="F295" s="102" t="s">
        <v>230</v>
      </c>
      <c r="G295" s="102" t="s">
        <v>231</v>
      </c>
      <c r="H295" s="125" t="s">
        <v>193</v>
      </c>
      <c r="I295" s="133" t="s">
        <v>111</v>
      </c>
      <c r="J295" s="123" t="s">
        <v>332</v>
      </c>
      <c r="K295" s="102"/>
      <c r="L295" s="127" t="s">
        <v>111</v>
      </c>
      <c r="M295" s="128"/>
      <c r="N295" s="129"/>
    </row>
    <row r="296">
      <c r="A296" s="123" t="s">
        <v>322</v>
      </c>
      <c r="B296" s="91" t="s">
        <v>622</v>
      </c>
      <c r="C296" s="125" t="s">
        <v>233</v>
      </c>
      <c r="D296" s="102" t="s">
        <v>234</v>
      </c>
      <c r="E296" s="102" t="s">
        <v>235</v>
      </c>
      <c r="F296" s="134" t="s">
        <v>236</v>
      </c>
      <c r="G296" s="102" t="s">
        <v>237</v>
      </c>
      <c r="H296" s="125" t="s">
        <v>193</v>
      </c>
      <c r="I296" s="132" t="s">
        <v>36</v>
      </c>
      <c r="J296" s="102"/>
      <c r="K296" s="102"/>
      <c r="L296" s="127" t="s">
        <v>36</v>
      </c>
      <c r="M296" s="128"/>
      <c r="N296" s="129"/>
    </row>
    <row r="297">
      <c r="A297" s="123" t="s">
        <v>322</v>
      </c>
      <c r="B297" s="91" t="s">
        <v>623</v>
      </c>
      <c r="C297" s="135" t="s">
        <v>239</v>
      </c>
      <c r="D297" s="135" t="s">
        <v>240</v>
      </c>
      <c r="E297" s="102" t="s">
        <v>241</v>
      </c>
      <c r="F297" s="102" t="s">
        <v>200</v>
      </c>
      <c r="G297" s="123" t="s">
        <v>242</v>
      </c>
      <c r="H297" s="125" t="s">
        <v>193</v>
      </c>
      <c r="I297" s="133" t="s">
        <v>111</v>
      </c>
      <c r="J297" s="123" t="s">
        <v>335</v>
      </c>
      <c r="K297" s="102"/>
      <c r="L297" s="127" t="s">
        <v>36</v>
      </c>
      <c r="M297" s="128"/>
      <c r="N297" s="129"/>
    </row>
    <row r="298">
      <c r="A298" s="123" t="s">
        <v>322</v>
      </c>
      <c r="B298" s="91" t="s">
        <v>624</v>
      </c>
      <c r="C298" s="135" t="s">
        <v>244</v>
      </c>
      <c r="D298" s="135" t="s">
        <v>245</v>
      </c>
      <c r="E298" s="102" t="s">
        <v>241</v>
      </c>
      <c r="F298" s="102" t="s">
        <v>200</v>
      </c>
      <c r="G298" s="102" t="s">
        <v>246</v>
      </c>
      <c r="H298" s="125" t="s">
        <v>193</v>
      </c>
      <c r="I298" s="132" t="s">
        <v>36</v>
      </c>
      <c r="J298" s="102"/>
      <c r="K298" s="102"/>
      <c r="L298" s="127" t="s">
        <v>36</v>
      </c>
      <c r="M298" s="128"/>
      <c r="N298" s="129"/>
    </row>
    <row r="299">
      <c r="A299" s="123" t="s">
        <v>322</v>
      </c>
      <c r="B299" s="91" t="s">
        <v>625</v>
      </c>
      <c r="C299" s="135" t="s">
        <v>248</v>
      </c>
      <c r="D299" s="102" t="s">
        <v>224</v>
      </c>
      <c r="E299" s="102" t="s">
        <v>215</v>
      </c>
      <c r="F299" s="102" t="s">
        <v>200</v>
      </c>
      <c r="G299" s="102" t="s">
        <v>226</v>
      </c>
      <c r="H299" s="125" t="s">
        <v>193</v>
      </c>
      <c r="I299" s="133" t="s">
        <v>111</v>
      </c>
      <c r="J299" s="123" t="s">
        <v>330</v>
      </c>
      <c r="K299" s="102"/>
      <c r="L299" s="127" t="s">
        <v>111</v>
      </c>
      <c r="M299" s="128"/>
      <c r="N299" s="129"/>
    </row>
    <row r="300">
      <c r="A300" s="123" t="s">
        <v>322</v>
      </c>
      <c r="B300" s="91" t="s">
        <v>626</v>
      </c>
      <c r="C300" s="135" t="s">
        <v>250</v>
      </c>
      <c r="D300" s="102" t="s">
        <v>229</v>
      </c>
      <c r="E300" s="102" t="s">
        <v>215</v>
      </c>
      <c r="F300" s="102" t="s">
        <v>230</v>
      </c>
      <c r="G300" s="102" t="s">
        <v>231</v>
      </c>
      <c r="H300" s="125" t="s">
        <v>193</v>
      </c>
      <c r="I300" s="133" t="s">
        <v>111</v>
      </c>
      <c r="J300" s="123" t="s">
        <v>332</v>
      </c>
      <c r="K300" s="102"/>
      <c r="L300" s="127" t="s">
        <v>111</v>
      </c>
      <c r="M300" s="128"/>
      <c r="N300" s="129"/>
    </row>
    <row r="301">
      <c r="A301" s="123" t="s">
        <v>322</v>
      </c>
      <c r="B301" s="91" t="s">
        <v>627</v>
      </c>
      <c r="C301" s="125" t="s">
        <v>252</v>
      </c>
      <c r="D301" s="135" t="s">
        <v>253</v>
      </c>
      <c r="E301" s="102" t="s">
        <v>215</v>
      </c>
      <c r="F301" s="102" t="s">
        <v>254</v>
      </c>
      <c r="G301" s="123" t="s">
        <v>255</v>
      </c>
      <c r="H301" s="125" t="s">
        <v>193</v>
      </c>
      <c r="I301" s="132" t="s">
        <v>36</v>
      </c>
      <c r="J301" s="123" t="s">
        <v>340</v>
      </c>
      <c r="K301" s="102"/>
      <c r="L301" s="127" t="s">
        <v>36</v>
      </c>
      <c r="M301" s="128"/>
      <c r="N301" s="129"/>
    </row>
    <row r="302">
      <c r="A302" s="123" t="s">
        <v>322</v>
      </c>
      <c r="B302" s="91" t="s">
        <v>628</v>
      </c>
      <c r="C302" s="125" t="s">
        <v>257</v>
      </c>
      <c r="D302" s="135" t="s">
        <v>258</v>
      </c>
      <c r="E302" s="102" t="s">
        <v>215</v>
      </c>
      <c r="F302" s="102" t="s">
        <v>259</v>
      </c>
      <c r="G302" s="123" t="s">
        <v>260</v>
      </c>
      <c r="H302" s="125" t="s">
        <v>193</v>
      </c>
      <c r="I302" s="133" t="s">
        <v>111</v>
      </c>
      <c r="J302" s="136" t="s">
        <v>342</v>
      </c>
      <c r="K302" s="102"/>
      <c r="L302" s="127" t="s">
        <v>111</v>
      </c>
      <c r="M302" s="128"/>
      <c r="N302" s="129"/>
    </row>
    <row r="303">
      <c r="A303" s="123" t="s">
        <v>322</v>
      </c>
      <c r="B303" s="91" t="s">
        <v>629</v>
      </c>
      <c r="C303" s="125" t="s">
        <v>262</v>
      </c>
      <c r="D303" s="135" t="s">
        <v>263</v>
      </c>
      <c r="E303" s="102" t="s">
        <v>215</v>
      </c>
      <c r="F303" s="102" t="s">
        <v>264</v>
      </c>
      <c r="G303" s="123" t="s">
        <v>265</v>
      </c>
      <c r="H303" s="125" t="s">
        <v>193</v>
      </c>
      <c r="I303" s="133" t="s">
        <v>111</v>
      </c>
      <c r="J303" s="136" t="s">
        <v>342</v>
      </c>
      <c r="K303" s="102"/>
      <c r="L303" s="127" t="s">
        <v>344</v>
      </c>
      <c r="M303" s="128"/>
      <c r="N303" s="129"/>
    </row>
    <row r="304">
      <c r="A304" s="123" t="s">
        <v>322</v>
      </c>
      <c r="B304" s="91" t="s">
        <v>630</v>
      </c>
      <c r="C304" s="125" t="s">
        <v>262</v>
      </c>
      <c r="D304" s="135" t="s">
        <v>267</v>
      </c>
      <c r="E304" s="102" t="s">
        <v>215</v>
      </c>
      <c r="F304" s="102" t="s">
        <v>268</v>
      </c>
      <c r="G304" s="123" t="s">
        <v>269</v>
      </c>
      <c r="H304" s="125" t="s">
        <v>193</v>
      </c>
      <c r="I304" s="133" t="s">
        <v>111</v>
      </c>
      <c r="J304" s="136" t="s">
        <v>342</v>
      </c>
      <c r="K304" s="102"/>
      <c r="L304" s="127" t="s">
        <v>111</v>
      </c>
      <c r="M304" s="128"/>
      <c r="N304" s="129"/>
    </row>
    <row r="305">
      <c r="A305" s="123" t="s">
        <v>322</v>
      </c>
      <c r="B305" s="91" t="s">
        <v>631</v>
      </c>
      <c r="C305" s="123" t="s">
        <v>271</v>
      </c>
      <c r="D305" s="123" t="s">
        <v>272</v>
      </c>
      <c r="E305" s="123" t="s">
        <v>273</v>
      </c>
      <c r="F305" s="123" t="s">
        <v>274</v>
      </c>
      <c r="G305" s="123" t="s">
        <v>275</v>
      </c>
      <c r="H305" s="125" t="s">
        <v>193</v>
      </c>
      <c r="I305" s="131" t="s">
        <v>111</v>
      </c>
      <c r="J305" s="136" t="s">
        <v>342</v>
      </c>
      <c r="K305" s="136"/>
      <c r="L305" s="137" t="s">
        <v>111</v>
      </c>
      <c r="M305" s="138"/>
      <c r="N305" s="139"/>
    </row>
    <row r="306">
      <c r="A306" s="123" t="s">
        <v>322</v>
      </c>
      <c r="B306" s="91" t="s">
        <v>632</v>
      </c>
      <c r="C306" s="125" t="s">
        <v>277</v>
      </c>
      <c r="D306" s="102" t="s">
        <v>278</v>
      </c>
      <c r="E306" s="102" t="s">
        <v>215</v>
      </c>
      <c r="F306" s="102" t="s">
        <v>279</v>
      </c>
      <c r="G306" s="102" t="s">
        <v>280</v>
      </c>
      <c r="H306" s="125" t="s">
        <v>193</v>
      </c>
      <c r="I306" s="126" t="s">
        <v>36</v>
      </c>
      <c r="J306" s="102"/>
      <c r="K306" s="102"/>
      <c r="L306" s="127" t="s">
        <v>36</v>
      </c>
      <c r="M306" s="128"/>
      <c r="N306" s="129"/>
    </row>
    <row r="307">
      <c r="A307" s="123" t="s">
        <v>322</v>
      </c>
      <c r="B307" s="91" t="s">
        <v>633</v>
      </c>
      <c r="C307" s="123" t="s">
        <v>282</v>
      </c>
      <c r="D307" s="123" t="s">
        <v>283</v>
      </c>
      <c r="E307" s="123" t="s">
        <v>284</v>
      </c>
      <c r="F307" s="123" t="s">
        <v>285</v>
      </c>
      <c r="G307" s="123" t="s">
        <v>286</v>
      </c>
      <c r="H307" s="125" t="s">
        <v>193</v>
      </c>
      <c r="I307" s="126" t="s">
        <v>36</v>
      </c>
      <c r="J307" s="130"/>
      <c r="K307" s="102"/>
      <c r="L307" s="127" t="s">
        <v>36</v>
      </c>
      <c r="M307" s="128"/>
      <c r="N307" s="129"/>
    </row>
    <row r="308">
      <c r="A308" s="123" t="s">
        <v>322</v>
      </c>
      <c r="B308" s="91" t="s">
        <v>634</v>
      </c>
      <c r="C308" s="123" t="s">
        <v>288</v>
      </c>
      <c r="D308" s="123" t="s">
        <v>289</v>
      </c>
      <c r="E308" s="123" t="s">
        <v>290</v>
      </c>
      <c r="F308" s="123" t="s">
        <v>274</v>
      </c>
      <c r="G308" s="123" t="s">
        <v>291</v>
      </c>
      <c r="H308" s="125" t="s">
        <v>193</v>
      </c>
      <c r="I308" s="126" t="s">
        <v>36</v>
      </c>
      <c r="J308" s="130"/>
      <c r="K308" s="102"/>
      <c r="L308" s="127" t="s">
        <v>36</v>
      </c>
      <c r="M308" s="128"/>
      <c r="N308" s="129"/>
    </row>
    <row r="309">
      <c r="A309" s="123" t="s">
        <v>322</v>
      </c>
      <c r="B309" s="91" t="s">
        <v>635</v>
      </c>
      <c r="C309" s="123" t="s">
        <v>293</v>
      </c>
      <c r="D309" s="123" t="s">
        <v>294</v>
      </c>
      <c r="E309" s="123" t="s">
        <v>284</v>
      </c>
      <c r="F309" s="123" t="s">
        <v>295</v>
      </c>
      <c r="G309" s="123" t="s">
        <v>296</v>
      </c>
      <c r="H309" s="125" t="s">
        <v>193</v>
      </c>
      <c r="I309" s="126" t="s">
        <v>36</v>
      </c>
      <c r="J309" s="130"/>
      <c r="K309" s="102"/>
      <c r="L309" s="127" t="s">
        <v>36</v>
      </c>
      <c r="M309" s="128"/>
      <c r="N309" s="129"/>
    </row>
    <row r="310">
      <c r="A310" s="123" t="s">
        <v>322</v>
      </c>
      <c r="B310" s="91" t="s">
        <v>636</v>
      </c>
      <c r="C310" s="123" t="s">
        <v>298</v>
      </c>
      <c r="D310" s="123" t="s">
        <v>299</v>
      </c>
      <c r="E310" s="123" t="s">
        <v>300</v>
      </c>
      <c r="F310" s="123" t="s">
        <v>301</v>
      </c>
      <c r="G310" s="123" t="s">
        <v>302</v>
      </c>
      <c r="H310" s="125" t="s">
        <v>193</v>
      </c>
      <c r="I310" s="126" t="s">
        <v>36</v>
      </c>
      <c r="J310" s="130"/>
      <c r="K310" s="102"/>
      <c r="L310" s="127" t="s">
        <v>36</v>
      </c>
      <c r="M310" s="128"/>
      <c r="N310" s="129"/>
    </row>
    <row r="311">
      <c r="A311" s="123" t="s">
        <v>322</v>
      </c>
      <c r="B311" s="91" t="s">
        <v>637</v>
      </c>
      <c r="C311" s="123" t="s">
        <v>304</v>
      </c>
      <c r="D311" s="123" t="s">
        <v>305</v>
      </c>
      <c r="E311" s="123" t="s">
        <v>284</v>
      </c>
      <c r="F311" s="123" t="s">
        <v>306</v>
      </c>
      <c r="G311" s="123" t="s">
        <v>307</v>
      </c>
      <c r="H311" s="125" t="s">
        <v>193</v>
      </c>
      <c r="I311" s="126" t="s">
        <v>36</v>
      </c>
      <c r="J311" s="130"/>
      <c r="K311" s="102"/>
      <c r="L311" s="127" t="s">
        <v>36</v>
      </c>
      <c r="M311" s="128"/>
      <c r="N311" s="129"/>
    </row>
    <row r="312">
      <c r="A312" s="123" t="s">
        <v>322</v>
      </c>
      <c r="B312" s="91" t="s">
        <v>638</v>
      </c>
      <c r="C312" s="123" t="s">
        <v>309</v>
      </c>
      <c r="D312" s="123" t="s">
        <v>310</v>
      </c>
      <c r="E312" s="123" t="s">
        <v>284</v>
      </c>
      <c r="F312" s="123" t="s">
        <v>311</v>
      </c>
      <c r="G312" s="123" t="s">
        <v>312</v>
      </c>
      <c r="H312" s="125" t="s">
        <v>193</v>
      </c>
      <c r="I312" s="126" t="s">
        <v>36</v>
      </c>
      <c r="J312" s="130"/>
      <c r="K312" s="102"/>
      <c r="L312" s="127" t="s">
        <v>36</v>
      </c>
      <c r="M312" s="128"/>
      <c r="N312" s="129"/>
    </row>
    <row r="313">
      <c r="A313" s="123" t="s">
        <v>322</v>
      </c>
      <c r="B313" s="91" t="s">
        <v>639</v>
      </c>
      <c r="C313" s="123" t="s">
        <v>314</v>
      </c>
      <c r="D313" s="123" t="s">
        <v>315</v>
      </c>
      <c r="E313" s="123" t="s">
        <v>316</v>
      </c>
      <c r="F313" s="123" t="s">
        <v>317</v>
      </c>
      <c r="G313" s="123" t="s">
        <v>318</v>
      </c>
      <c r="H313" s="125" t="s">
        <v>193</v>
      </c>
      <c r="I313" s="126" t="s">
        <v>36</v>
      </c>
      <c r="J313" s="130"/>
      <c r="K313" s="102"/>
      <c r="L313" s="127" t="s">
        <v>36</v>
      </c>
      <c r="M313" s="128"/>
      <c r="N313" s="129"/>
    </row>
    <row r="314">
      <c r="A314" s="125" t="s">
        <v>355</v>
      </c>
      <c r="B314" s="91" t="s">
        <v>640</v>
      </c>
      <c r="C314" s="135" t="s">
        <v>197</v>
      </c>
      <c r="D314" s="123" t="s">
        <v>198</v>
      </c>
      <c r="E314" s="123" t="s">
        <v>199</v>
      </c>
      <c r="F314" s="123" t="s">
        <v>200</v>
      </c>
      <c r="G314" s="123" t="s">
        <v>201</v>
      </c>
      <c r="H314" s="125" t="s">
        <v>193</v>
      </c>
      <c r="I314" s="133" t="s">
        <v>111</v>
      </c>
      <c r="J314" s="123" t="s">
        <v>357</v>
      </c>
      <c r="K314" s="123"/>
      <c r="L314" s="140" t="s">
        <v>111</v>
      </c>
      <c r="M314" s="141"/>
      <c r="N314" s="142"/>
    </row>
    <row r="315">
      <c r="A315" s="125" t="s">
        <v>355</v>
      </c>
      <c r="B315" s="91" t="s">
        <v>641</v>
      </c>
      <c r="C315" s="135" t="s">
        <v>203</v>
      </c>
      <c r="D315" s="123" t="s">
        <v>204</v>
      </c>
      <c r="E315" s="123" t="s">
        <v>199</v>
      </c>
      <c r="F315" s="123" t="s">
        <v>200</v>
      </c>
      <c r="G315" s="123" t="s">
        <v>205</v>
      </c>
      <c r="H315" s="125" t="s">
        <v>193</v>
      </c>
      <c r="I315" s="133" t="s">
        <v>111</v>
      </c>
      <c r="J315" s="102" t="s">
        <v>206</v>
      </c>
      <c r="K315" s="123"/>
      <c r="L315" s="140" t="s">
        <v>36</v>
      </c>
      <c r="M315" s="141"/>
      <c r="N315" s="142"/>
    </row>
    <row r="316">
      <c r="A316" s="125" t="s">
        <v>355</v>
      </c>
      <c r="B316" s="91" t="s">
        <v>642</v>
      </c>
      <c r="C316" s="135" t="s">
        <v>208</v>
      </c>
      <c r="D316" s="123" t="s">
        <v>209</v>
      </c>
      <c r="E316" s="123" t="s">
        <v>210</v>
      </c>
      <c r="F316" s="123" t="s">
        <v>211</v>
      </c>
      <c r="G316" s="123" t="s">
        <v>212</v>
      </c>
      <c r="H316" s="125" t="s">
        <v>193</v>
      </c>
      <c r="I316" s="132" t="s">
        <v>36</v>
      </c>
      <c r="J316" s="102"/>
      <c r="K316" s="123"/>
      <c r="L316" s="140" t="s">
        <v>36</v>
      </c>
      <c r="M316" s="141"/>
      <c r="N316" s="142"/>
    </row>
    <row r="317">
      <c r="A317" s="125" t="s">
        <v>355</v>
      </c>
      <c r="B317" s="91" t="s">
        <v>643</v>
      </c>
      <c r="C317" s="135" t="s">
        <v>214</v>
      </c>
      <c r="D317" s="123" t="s">
        <v>209</v>
      </c>
      <c r="E317" s="123" t="s">
        <v>215</v>
      </c>
      <c r="F317" s="123" t="s">
        <v>211</v>
      </c>
      <c r="G317" s="123" t="s">
        <v>216</v>
      </c>
      <c r="H317" s="125" t="s">
        <v>193</v>
      </c>
      <c r="I317" s="133" t="s">
        <v>111</v>
      </c>
      <c r="J317" s="102" t="s">
        <v>217</v>
      </c>
      <c r="K317" s="123"/>
      <c r="L317" s="140" t="s">
        <v>36</v>
      </c>
      <c r="M317" s="141"/>
      <c r="N317" s="142"/>
    </row>
    <row r="318">
      <c r="A318" s="125" t="s">
        <v>355</v>
      </c>
      <c r="B318" s="91" t="s">
        <v>644</v>
      </c>
      <c r="C318" s="135" t="s">
        <v>219</v>
      </c>
      <c r="D318" s="123" t="s">
        <v>220</v>
      </c>
      <c r="E318" s="123" t="s">
        <v>215</v>
      </c>
      <c r="F318" s="123" t="s">
        <v>211</v>
      </c>
      <c r="G318" s="123" t="s">
        <v>221</v>
      </c>
      <c r="H318" s="125" t="s">
        <v>193</v>
      </c>
      <c r="I318" s="132" t="s">
        <v>36</v>
      </c>
      <c r="J318" s="102"/>
      <c r="K318" s="123"/>
      <c r="L318" s="140" t="s">
        <v>36</v>
      </c>
      <c r="M318" s="141"/>
      <c r="N318" s="142"/>
    </row>
    <row r="319">
      <c r="A319" s="125" t="s">
        <v>355</v>
      </c>
      <c r="B319" s="91" t="s">
        <v>645</v>
      </c>
      <c r="C319" s="135" t="s">
        <v>223</v>
      </c>
      <c r="D319" s="123" t="s">
        <v>224</v>
      </c>
      <c r="E319" s="123" t="s">
        <v>215</v>
      </c>
      <c r="F319" s="123" t="s">
        <v>225</v>
      </c>
      <c r="G319" s="123" t="s">
        <v>226</v>
      </c>
      <c r="H319" s="125" t="s">
        <v>193</v>
      </c>
      <c r="I319" s="132" t="s">
        <v>36</v>
      </c>
      <c r="J319" s="102"/>
      <c r="K319" s="123"/>
      <c r="L319" s="140" t="s">
        <v>36</v>
      </c>
      <c r="M319" s="141"/>
      <c r="N319" s="142"/>
    </row>
    <row r="320">
      <c r="A320" s="125" t="s">
        <v>355</v>
      </c>
      <c r="B320" s="91" t="s">
        <v>646</v>
      </c>
      <c r="C320" s="135" t="s">
        <v>228</v>
      </c>
      <c r="D320" s="123" t="s">
        <v>229</v>
      </c>
      <c r="E320" s="123" t="s">
        <v>215</v>
      </c>
      <c r="F320" s="123" t="s">
        <v>230</v>
      </c>
      <c r="G320" s="123" t="s">
        <v>231</v>
      </c>
      <c r="H320" s="125" t="s">
        <v>193</v>
      </c>
      <c r="I320" s="132" t="s">
        <v>36</v>
      </c>
      <c r="J320" s="102"/>
      <c r="K320" s="123"/>
      <c r="L320" s="140" t="s">
        <v>36</v>
      </c>
      <c r="M320" s="141"/>
      <c r="N320" s="142"/>
    </row>
    <row r="321">
      <c r="A321" s="125" t="s">
        <v>355</v>
      </c>
      <c r="B321" s="91" t="s">
        <v>647</v>
      </c>
      <c r="C321" s="135" t="s">
        <v>233</v>
      </c>
      <c r="D321" s="123" t="s">
        <v>234</v>
      </c>
      <c r="E321" s="123" t="s">
        <v>235</v>
      </c>
      <c r="F321" s="143" t="s">
        <v>236</v>
      </c>
      <c r="G321" s="123" t="s">
        <v>237</v>
      </c>
      <c r="H321" s="125" t="s">
        <v>193</v>
      </c>
      <c r="I321" s="133" t="s">
        <v>111</v>
      </c>
      <c r="J321" s="123" t="s">
        <v>357</v>
      </c>
      <c r="K321" s="123"/>
      <c r="L321" s="140" t="s">
        <v>111</v>
      </c>
      <c r="M321" s="141"/>
      <c r="N321" s="142"/>
    </row>
    <row r="322">
      <c r="A322" s="125" t="s">
        <v>355</v>
      </c>
      <c r="B322" s="91" t="s">
        <v>648</v>
      </c>
      <c r="C322" s="135" t="s">
        <v>239</v>
      </c>
      <c r="D322" s="135" t="s">
        <v>240</v>
      </c>
      <c r="E322" s="123" t="s">
        <v>241</v>
      </c>
      <c r="F322" s="123" t="s">
        <v>200</v>
      </c>
      <c r="G322" s="123" t="s">
        <v>242</v>
      </c>
      <c r="H322" s="125" t="s">
        <v>193</v>
      </c>
      <c r="I322" s="132" t="s">
        <v>36</v>
      </c>
      <c r="J322" s="102"/>
      <c r="K322" s="123"/>
      <c r="L322" s="140" t="s">
        <v>36</v>
      </c>
      <c r="M322" s="141"/>
      <c r="N322" s="142"/>
    </row>
    <row r="323">
      <c r="A323" s="125" t="s">
        <v>355</v>
      </c>
      <c r="B323" s="91" t="s">
        <v>649</v>
      </c>
      <c r="C323" s="135" t="s">
        <v>244</v>
      </c>
      <c r="D323" s="135" t="s">
        <v>245</v>
      </c>
      <c r="E323" s="123" t="s">
        <v>241</v>
      </c>
      <c r="F323" s="123" t="s">
        <v>200</v>
      </c>
      <c r="G323" s="123" t="s">
        <v>246</v>
      </c>
      <c r="H323" s="125" t="s">
        <v>193</v>
      </c>
      <c r="I323" s="132" t="s">
        <v>36</v>
      </c>
      <c r="J323" s="102"/>
      <c r="K323" s="123"/>
      <c r="L323" s="140" t="s">
        <v>36</v>
      </c>
      <c r="M323" s="141"/>
      <c r="N323" s="142"/>
    </row>
    <row r="324">
      <c r="A324" s="125" t="s">
        <v>355</v>
      </c>
      <c r="B324" s="91" t="s">
        <v>650</v>
      </c>
      <c r="C324" s="135" t="s">
        <v>248</v>
      </c>
      <c r="D324" s="123" t="s">
        <v>224</v>
      </c>
      <c r="E324" s="123" t="s">
        <v>215</v>
      </c>
      <c r="F324" s="123" t="s">
        <v>200</v>
      </c>
      <c r="G324" s="123" t="s">
        <v>226</v>
      </c>
      <c r="H324" s="125" t="s">
        <v>193</v>
      </c>
      <c r="I324" s="132" t="s">
        <v>36</v>
      </c>
      <c r="J324" s="102"/>
      <c r="K324" s="123"/>
      <c r="L324" s="140" t="s">
        <v>36</v>
      </c>
      <c r="M324" s="141"/>
      <c r="N324" s="142"/>
    </row>
    <row r="325">
      <c r="A325" s="125" t="s">
        <v>355</v>
      </c>
      <c r="B325" s="91" t="s">
        <v>651</v>
      </c>
      <c r="C325" s="135" t="s">
        <v>250</v>
      </c>
      <c r="D325" s="123" t="s">
        <v>229</v>
      </c>
      <c r="E325" s="123" t="s">
        <v>215</v>
      </c>
      <c r="F325" s="123" t="s">
        <v>230</v>
      </c>
      <c r="G325" s="123" t="s">
        <v>231</v>
      </c>
      <c r="H325" s="125" t="s">
        <v>193</v>
      </c>
      <c r="I325" s="132" t="s">
        <v>36</v>
      </c>
      <c r="J325" s="102"/>
      <c r="K325" s="123"/>
      <c r="L325" s="140" t="s">
        <v>36</v>
      </c>
      <c r="M325" s="141"/>
      <c r="N325" s="142"/>
    </row>
    <row r="326">
      <c r="A326" s="125" t="s">
        <v>355</v>
      </c>
      <c r="B326" s="91" t="s">
        <v>652</v>
      </c>
      <c r="C326" s="135" t="s">
        <v>252</v>
      </c>
      <c r="D326" s="135" t="s">
        <v>253</v>
      </c>
      <c r="E326" s="123" t="s">
        <v>215</v>
      </c>
      <c r="F326" s="123" t="s">
        <v>254</v>
      </c>
      <c r="G326" s="123" t="s">
        <v>255</v>
      </c>
      <c r="H326" s="125" t="s">
        <v>193</v>
      </c>
      <c r="I326" s="133" t="s">
        <v>111</v>
      </c>
      <c r="J326" s="123" t="s">
        <v>357</v>
      </c>
      <c r="K326" s="123"/>
      <c r="L326" s="140" t="s">
        <v>111</v>
      </c>
      <c r="M326" s="141"/>
      <c r="N326" s="142"/>
    </row>
    <row r="327">
      <c r="A327" s="125" t="s">
        <v>355</v>
      </c>
      <c r="B327" s="91" t="s">
        <v>653</v>
      </c>
      <c r="C327" s="135" t="s">
        <v>257</v>
      </c>
      <c r="D327" s="135" t="s">
        <v>258</v>
      </c>
      <c r="E327" s="123" t="s">
        <v>215</v>
      </c>
      <c r="F327" s="123" t="s">
        <v>259</v>
      </c>
      <c r="G327" s="123" t="s">
        <v>260</v>
      </c>
      <c r="H327" s="125" t="s">
        <v>193</v>
      </c>
      <c r="I327" s="133" t="s">
        <v>111</v>
      </c>
      <c r="J327" s="123" t="s">
        <v>357</v>
      </c>
      <c r="K327" s="123"/>
      <c r="L327" s="140" t="s">
        <v>111</v>
      </c>
      <c r="M327" s="141"/>
      <c r="N327" s="142"/>
    </row>
    <row r="328">
      <c r="A328" s="125" t="s">
        <v>355</v>
      </c>
      <c r="B328" s="91" t="s">
        <v>654</v>
      </c>
      <c r="C328" s="135" t="s">
        <v>262</v>
      </c>
      <c r="D328" s="135" t="s">
        <v>263</v>
      </c>
      <c r="E328" s="123" t="s">
        <v>215</v>
      </c>
      <c r="F328" s="123" t="s">
        <v>264</v>
      </c>
      <c r="G328" s="123" t="s">
        <v>265</v>
      </c>
      <c r="H328" s="125" t="s">
        <v>193</v>
      </c>
      <c r="I328" s="133" t="s">
        <v>111</v>
      </c>
      <c r="J328" s="123" t="s">
        <v>357</v>
      </c>
      <c r="K328" s="123"/>
      <c r="L328" s="140" t="s">
        <v>111</v>
      </c>
      <c r="M328" s="141"/>
      <c r="N328" s="142"/>
    </row>
    <row r="329">
      <c r="A329" s="125" t="s">
        <v>355</v>
      </c>
      <c r="B329" s="91" t="s">
        <v>655</v>
      </c>
      <c r="C329" s="135" t="s">
        <v>262</v>
      </c>
      <c r="D329" s="135" t="s">
        <v>267</v>
      </c>
      <c r="E329" s="123" t="s">
        <v>215</v>
      </c>
      <c r="F329" s="123" t="s">
        <v>268</v>
      </c>
      <c r="G329" s="123" t="s">
        <v>269</v>
      </c>
      <c r="H329" s="125" t="s">
        <v>193</v>
      </c>
      <c r="I329" s="133" t="s">
        <v>111</v>
      </c>
      <c r="J329" s="123" t="s">
        <v>357</v>
      </c>
      <c r="K329" s="123"/>
      <c r="L329" s="140" t="s">
        <v>111</v>
      </c>
      <c r="M329" s="141"/>
      <c r="N329" s="142"/>
    </row>
    <row r="330">
      <c r="A330" s="125" t="s">
        <v>355</v>
      </c>
      <c r="B330" s="91" t="s">
        <v>656</v>
      </c>
      <c r="C330" s="123" t="s">
        <v>271</v>
      </c>
      <c r="D330" s="123" t="s">
        <v>272</v>
      </c>
      <c r="E330" s="123" t="s">
        <v>273</v>
      </c>
      <c r="F330" s="123" t="s">
        <v>274</v>
      </c>
      <c r="G330" s="123" t="s">
        <v>275</v>
      </c>
      <c r="H330" s="125" t="s">
        <v>193</v>
      </c>
      <c r="I330" s="132" t="s">
        <v>36</v>
      </c>
      <c r="J330" s="130"/>
      <c r="K330" s="123"/>
      <c r="L330" s="140" t="s">
        <v>36</v>
      </c>
      <c r="M330" s="141"/>
      <c r="N330" s="142"/>
    </row>
    <row r="331">
      <c r="A331" s="125" t="s">
        <v>355</v>
      </c>
      <c r="B331" s="91" t="s">
        <v>657</v>
      </c>
      <c r="C331" s="135" t="s">
        <v>277</v>
      </c>
      <c r="D331" s="123" t="s">
        <v>278</v>
      </c>
      <c r="E331" s="123" t="s">
        <v>215</v>
      </c>
      <c r="F331" s="123" t="s">
        <v>279</v>
      </c>
      <c r="G331" s="123" t="s">
        <v>280</v>
      </c>
      <c r="H331" s="125" t="s">
        <v>193</v>
      </c>
      <c r="I331" s="132" t="s">
        <v>36</v>
      </c>
      <c r="J331" s="102"/>
      <c r="K331" s="123"/>
      <c r="L331" s="140" t="s">
        <v>36</v>
      </c>
      <c r="M331" s="141"/>
      <c r="N331" s="142"/>
    </row>
    <row r="332">
      <c r="A332" s="125" t="s">
        <v>355</v>
      </c>
      <c r="B332" s="91" t="s">
        <v>658</v>
      </c>
      <c r="C332" s="123" t="s">
        <v>282</v>
      </c>
      <c r="D332" s="123" t="s">
        <v>283</v>
      </c>
      <c r="E332" s="123" t="s">
        <v>284</v>
      </c>
      <c r="F332" s="123" t="s">
        <v>285</v>
      </c>
      <c r="G332" s="123" t="s">
        <v>286</v>
      </c>
      <c r="H332" s="125" t="s">
        <v>193</v>
      </c>
      <c r="I332" s="132" t="s">
        <v>36</v>
      </c>
      <c r="J332" s="130"/>
      <c r="K332" s="123"/>
      <c r="L332" s="140" t="s">
        <v>36</v>
      </c>
      <c r="M332" s="141"/>
      <c r="N332" s="142"/>
    </row>
    <row r="333">
      <c r="A333" s="125" t="s">
        <v>355</v>
      </c>
      <c r="B333" s="91" t="s">
        <v>659</v>
      </c>
      <c r="C333" s="123" t="s">
        <v>288</v>
      </c>
      <c r="D333" s="123" t="s">
        <v>289</v>
      </c>
      <c r="E333" s="123" t="s">
        <v>290</v>
      </c>
      <c r="F333" s="123" t="s">
        <v>274</v>
      </c>
      <c r="G333" s="123" t="s">
        <v>291</v>
      </c>
      <c r="H333" s="125" t="s">
        <v>193</v>
      </c>
      <c r="I333" s="132" t="s">
        <v>36</v>
      </c>
      <c r="J333" s="130"/>
      <c r="K333" s="123"/>
      <c r="L333" s="140" t="s">
        <v>36</v>
      </c>
      <c r="M333" s="141"/>
      <c r="N333" s="142"/>
    </row>
    <row r="334">
      <c r="A334" s="125" t="s">
        <v>355</v>
      </c>
      <c r="B334" s="91" t="s">
        <v>660</v>
      </c>
      <c r="C334" s="123" t="s">
        <v>293</v>
      </c>
      <c r="D334" s="123" t="s">
        <v>294</v>
      </c>
      <c r="E334" s="123" t="s">
        <v>284</v>
      </c>
      <c r="F334" s="123" t="s">
        <v>295</v>
      </c>
      <c r="G334" s="123" t="s">
        <v>296</v>
      </c>
      <c r="H334" s="125" t="s">
        <v>193</v>
      </c>
      <c r="I334" s="132" t="s">
        <v>36</v>
      </c>
      <c r="J334" s="144"/>
      <c r="K334" s="142"/>
      <c r="L334" s="140" t="s">
        <v>36</v>
      </c>
      <c r="M334" s="141"/>
      <c r="N334" s="142"/>
    </row>
    <row r="335">
      <c r="A335" s="125" t="s">
        <v>355</v>
      </c>
      <c r="B335" s="91" t="s">
        <v>661</v>
      </c>
      <c r="C335" s="123" t="s">
        <v>298</v>
      </c>
      <c r="D335" s="123" t="s">
        <v>299</v>
      </c>
      <c r="E335" s="123" t="s">
        <v>300</v>
      </c>
      <c r="F335" s="123" t="s">
        <v>301</v>
      </c>
      <c r="G335" s="123" t="s">
        <v>302</v>
      </c>
      <c r="H335" s="125" t="s">
        <v>193</v>
      </c>
      <c r="I335" s="133" t="s">
        <v>111</v>
      </c>
      <c r="J335" s="136" t="s">
        <v>379</v>
      </c>
      <c r="K335" s="123"/>
      <c r="L335" s="140" t="s">
        <v>111</v>
      </c>
      <c r="M335" s="141"/>
      <c r="N335" s="142"/>
    </row>
    <row r="336">
      <c r="A336" s="125" t="s">
        <v>355</v>
      </c>
      <c r="B336" s="91" t="s">
        <v>662</v>
      </c>
      <c r="C336" s="123" t="s">
        <v>304</v>
      </c>
      <c r="D336" s="123" t="s">
        <v>305</v>
      </c>
      <c r="E336" s="123" t="s">
        <v>284</v>
      </c>
      <c r="F336" s="123" t="s">
        <v>306</v>
      </c>
      <c r="G336" s="123" t="s">
        <v>307</v>
      </c>
      <c r="H336" s="125" t="s">
        <v>193</v>
      </c>
      <c r="I336" s="132" t="s">
        <v>36</v>
      </c>
      <c r="J336" s="130"/>
      <c r="K336" s="123"/>
      <c r="L336" s="140" t="s">
        <v>36</v>
      </c>
      <c r="M336" s="141"/>
      <c r="N336" s="142"/>
    </row>
    <row r="337">
      <c r="A337" s="125" t="s">
        <v>355</v>
      </c>
      <c r="B337" s="91" t="s">
        <v>663</v>
      </c>
      <c r="C337" s="123" t="s">
        <v>309</v>
      </c>
      <c r="D337" s="123" t="s">
        <v>310</v>
      </c>
      <c r="E337" s="123" t="s">
        <v>284</v>
      </c>
      <c r="F337" s="123" t="s">
        <v>311</v>
      </c>
      <c r="G337" s="123" t="s">
        <v>312</v>
      </c>
      <c r="H337" s="125" t="s">
        <v>193</v>
      </c>
      <c r="I337" s="132" t="s">
        <v>36</v>
      </c>
      <c r="J337" s="130"/>
      <c r="K337" s="123"/>
      <c r="L337" s="140" t="s">
        <v>36</v>
      </c>
      <c r="M337" s="141"/>
      <c r="N337" s="142"/>
    </row>
    <row r="338">
      <c r="A338" s="125" t="s">
        <v>355</v>
      </c>
      <c r="B338" s="91" t="s">
        <v>664</v>
      </c>
      <c r="C338" s="123" t="s">
        <v>314</v>
      </c>
      <c r="D338" s="123" t="s">
        <v>315</v>
      </c>
      <c r="E338" s="123" t="s">
        <v>316</v>
      </c>
      <c r="F338" s="123" t="s">
        <v>317</v>
      </c>
      <c r="G338" s="123" t="s">
        <v>318</v>
      </c>
      <c r="H338" s="125" t="s">
        <v>193</v>
      </c>
      <c r="I338" s="132" t="s">
        <v>36</v>
      </c>
      <c r="J338" s="130"/>
      <c r="K338" s="123"/>
      <c r="L338" s="140" t="s">
        <v>36</v>
      </c>
      <c r="M338" s="141"/>
      <c r="N338" s="142"/>
    </row>
    <row r="339">
      <c r="A339" s="102" t="s">
        <v>383</v>
      </c>
      <c r="B339" s="91" t="s">
        <v>665</v>
      </c>
      <c r="C339" s="125" t="s">
        <v>197</v>
      </c>
      <c r="D339" s="102" t="s">
        <v>198</v>
      </c>
      <c r="E339" s="102" t="s">
        <v>199</v>
      </c>
      <c r="F339" s="102" t="s">
        <v>200</v>
      </c>
      <c r="G339" s="123" t="s">
        <v>201</v>
      </c>
      <c r="H339" s="125" t="s">
        <v>193</v>
      </c>
      <c r="I339" s="132" t="s">
        <v>36</v>
      </c>
      <c r="J339" s="102"/>
      <c r="K339" s="102"/>
      <c r="L339" s="127" t="s">
        <v>36</v>
      </c>
      <c r="M339" s="128"/>
      <c r="N339" s="129"/>
    </row>
    <row r="340">
      <c r="A340" s="102" t="s">
        <v>383</v>
      </c>
      <c r="B340" s="91" t="s">
        <v>666</v>
      </c>
      <c r="C340" s="125" t="s">
        <v>203</v>
      </c>
      <c r="D340" s="102" t="s">
        <v>204</v>
      </c>
      <c r="E340" s="102" t="s">
        <v>199</v>
      </c>
      <c r="F340" s="102" t="s">
        <v>200</v>
      </c>
      <c r="G340" s="123" t="s">
        <v>205</v>
      </c>
      <c r="H340" s="125" t="s">
        <v>193</v>
      </c>
      <c r="I340" s="133" t="s">
        <v>111</v>
      </c>
      <c r="J340" s="102" t="s">
        <v>386</v>
      </c>
      <c r="K340" s="102"/>
      <c r="L340" s="127" t="s">
        <v>36</v>
      </c>
      <c r="M340" s="128"/>
      <c r="N340" s="129"/>
    </row>
    <row r="341">
      <c r="A341" s="102" t="s">
        <v>383</v>
      </c>
      <c r="B341" s="91" t="s">
        <v>667</v>
      </c>
      <c r="C341" s="125" t="s">
        <v>208</v>
      </c>
      <c r="D341" s="102" t="s">
        <v>209</v>
      </c>
      <c r="E341" s="102" t="s">
        <v>210</v>
      </c>
      <c r="F341" s="102" t="s">
        <v>211</v>
      </c>
      <c r="G341" s="123" t="s">
        <v>212</v>
      </c>
      <c r="H341" s="125" t="s">
        <v>193</v>
      </c>
      <c r="I341" s="132" t="s">
        <v>36</v>
      </c>
      <c r="J341" s="102"/>
      <c r="K341" s="102"/>
      <c r="L341" s="127" t="s">
        <v>36</v>
      </c>
      <c r="M341" s="128"/>
      <c r="N341" s="129"/>
    </row>
    <row r="342">
      <c r="A342" s="102" t="s">
        <v>383</v>
      </c>
      <c r="B342" s="91" t="s">
        <v>668</v>
      </c>
      <c r="C342" s="125" t="s">
        <v>214</v>
      </c>
      <c r="D342" s="102" t="s">
        <v>209</v>
      </c>
      <c r="E342" s="102" t="s">
        <v>215</v>
      </c>
      <c r="F342" s="102" t="s">
        <v>211</v>
      </c>
      <c r="G342" s="123" t="s">
        <v>216</v>
      </c>
      <c r="H342" s="125" t="s">
        <v>193</v>
      </c>
      <c r="I342" s="133" t="s">
        <v>111</v>
      </c>
      <c r="J342" s="123" t="s">
        <v>389</v>
      </c>
      <c r="K342" s="102"/>
      <c r="L342" s="127" t="s">
        <v>111</v>
      </c>
      <c r="M342" s="128"/>
      <c r="N342" s="129"/>
    </row>
    <row r="343">
      <c r="A343" s="102" t="s">
        <v>383</v>
      </c>
      <c r="B343" s="91" t="s">
        <v>669</v>
      </c>
      <c r="C343" s="125" t="s">
        <v>219</v>
      </c>
      <c r="D343" s="102" t="s">
        <v>220</v>
      </c>
      <c r="E343" s="102" t="s">
        <v>215</v>
      </c>
      <c r="F343" s="102" t="s">
        <v>211</v>
      </c>
      <c r="G343" s="102" t="s">
        <v>221</v>
      </c>
      <c r="H343" s="125" t="s">
        <v>193</v>
      </c>
      <c r="I343" s="132" t="s">
        <v>36</v>
      </c>
      <c r="J343" s="102"/>
      <c r="K343" s="102"/>
      <c r="L343" s="127" t="s">
        <v>36</v>
      </c>
      <c r="M343" s="128"/>
      <c r="N343" s="129"/>
    </row>
    <row r="344">
      <c r="A344" s="102" t="s">
        <v>383</v>
      </c>
      <c r="B344" s="91" t="s">
        <v>670</v>
      </c>
      <c r="C344" s="125" t="s">
        <v>223</v>
      </c>
      <c r="D344" s="102" t="s">
        <v>224</v>
      </c>
      <c r="E344" s="102" t="s">
        <v>215</v>
      </c>
      <c r="F344" s="102" t="s">
        <v>225</v>
      </c>
      <c r="G344" s="102" t="s">
        <v>226</v>
      </c>
      <c r="H344" s="125" t="s">
        <v>193</v>
      </c>
      <c r="I344" s="133" t="s">
        <v>111</v>
      </c>
      <c r="J344" s="123" t="s">
        <v>392</v>
      </c>
      <c r="K344" s="102"/>
      <c r="L344" s="127" t="s">
        <v>111</v>
      </c>
      <c r="M344" s="128"/>
      <c r="N344" s="129"/>
    </row>
    <row r="345">
      <c r="A345" s="102" t="s">
        <v>383</v>
      </c>
      <c r="B345" s="91" t="s">
        <v>671</v>
      </c>
      <c r="C345" s="125" t="s">
        <v>228</v>
      </c>
      <c r="D345" s="102" t="s">
        <v>229</v>
      </c>
      <c r="E345" s="102" t="s">
        <v>215</v>
      </c>
      <c r="F345" s="102" t="s">
        <v>230</v>
      </c>
      <c r="G345" s="102" t="s">
        <v>231</v>
      </c>
      <c r="H345" s="125" t="s">
        <v>193</v>
      </c>
      <c r="I345" s="133" t="s">
        <v>111</v>
      </c>
      <c r="J345" s="123" t="s">
        <v>394</v>
      </c>
      <c r="K345" s="102"/>
      <c r="L345" s="127" t="s">
        <v>111</v>
      </c>
      <c r="M345" s="128"/>
      <c r="N345" s="129"/>
    </row>
    <row r="346">
      <c r="A346" s="102" t="s">
        <v>383</v>
      </c>
      <c r="B346" s="91" t="s">
        <v>672</v>
      </c>
      <c r="C346" s="125" t="s">
        <v>233</v>
      </c>
      <c r="D346" s="102" t="s">
        <v>234</v>
      </c>
      <c r="E346" s="102" t="s">
        <v>235</v>
      </c>
      <c r="F346" s="134" t="s">
        <v>236</v>
      </c>
      <c r="G346" s="102" t="s">
        <v>237</v>
      </c>
      <c r="H346" s="125" t="s">
        <v>193</v>
      </c>
      <c r="I346" s="132" t="s">
        <v>36</v>
      </c>
      <c r="J346" s="102"/>
      <c r="K346" s="102"/>
      <c r="L346" s="127" t="s">
        <v>111</v>
      </c>
      <c r="M346" s="128"/>
      <c r="N346" s="129"/>
    </row>
    <row r="347">
      <c r="A347" s="102" t="s">
        <v>383</v>
      </c>
      <c r="B347" s="91" t="s">
        <v>673</v>
      </c>
      <c r="C347" s="135" t="s">
        <v>239</v>
      </c>
      <c r="D347" s="135" t="s">
        <v>240</v>
      </c>
      <c r="E347" s="102" t="s">
        <v>241</v>
      </c>
      <c r="F347" s="102" t="s">
        <v>200</v>
      </c>
      <c r="G347" s="123" t="s">
        <v>242</v>
      </c>
      <c r="H347" s="125" t="s">
        <v>193</v>
      </c>
      <c r="I347" s="132" t="s">
        <v>36</v>
      </c>
      <c r="J347" s="102"/>
      <c r="K347" s="102"/>
      <c r="L347" s="127" t="s">
        <v>36</v>
      </c>
      <c r="M347" s="128"/>
      <c r="N347" s="129"/>
    </row>
    <row r="348">
      <c r="A348" s="102" t="s">
        <v>383</v>
      </c>
      <c r="B348" s="91" t="s">
        <v>674</v>
      </c>
      <c r="C348" s="135" t="s">
        <v>244</v>
      </c>
      <c r="D348" s="135" t="s">
        <v>245</v>
      </c>
      <c r="E348" s="102" t="s">
        <v>241</v>
      </c>
      <c r="F348" s="102" t="s">
        <v>200</v>
      </c>
      <c r="G348" s="102" t="s">
        <v>246</v>
      </c>
      <c r="H348" s="125" t="s">
        <v>193</v>
      </c>
      <c r="I348" s="132" t="s">
        <v>36</v>
      </c>
      <c r="J348" s="102"/>
      <c r="K348" s="102"/>
      <c r="L348" s="127" t="s">
        <v>36</v>
      </c>
      <c r="M348" s="128"/>
      <c r="N348" s="129"/>
    </row>
    <row r="349">
      <c r="A349" s="102" t="s">
        <v>383</v>
      </c>
      <c r="B349" s="91" t="s">
        <v>675</v>
      </c>
      <c r="C349" s="135" t="s">
        <v>248</v>
      </c>
      <c r="D349" s="102" t="s">
        <v>224</v>
      </c>
      <c r="E349" s="102" t="s">
        <v>215</v>
      </c>
      <c r="F349" s="102" t="s">
        <v>200</v>
      </c>
      <c r="G349" s="102" t="s">
        <v>226</v>
      </c>
      <c r="H349" s="125" t="s">
        <v>193</v>
      </c>
      <c r="I349" s="133" t="s">
        <v>111</v>
      </c>
      <c r="J349" s="123" t="s">
        <v>392</v>
      </c>
      <c r="K349" s="102"/>
      <c r="L349" s="127" t="s">
        <v>111</v>
      </c>
      <c r="M349" s="128"/>
      <c r="N349" s="129"/>
    </row>
    <row r="350">
      <c r="A350" s="102" t="s">
        <v>383</v>
      </c>
      <c r="B350" s="91" t="s">
        <v>676</v>
      </c>
      <c r="C350" s="135" t="s">
        <v>250</v>
      </c>
      <c r="D350" s="102" t="s">
        <v>229</v>
      </c>
      <c r="E350" s="102" t="s">
        <v>215</v>
      </c>
      <c r="F350" s="102" t="s">
        <v>230</v>
      </c>
      <c r="G350" s="102" t="s">
        <v>231</v>
      </c>
      <c r="H350" s="125" t="s">
        <v>193</v>
      </c>
      <c r="I350" s="133" t="s">
        <v>111</v>
      </c>
      <c r="J350" s="123" t="s">
        <v>394</v>
      </c>
      <c r="K350" s="102"/>
      <c r="L350" s="127" t="s">
        <v>111</v>
      </c>
      <c r="M350" s="128"/>
      <c r="N350" s="129"/>
    </row>
    <row r="351">
      <c r="A351" s="102" t="s">
        <v>383</v>
      </c>
      <c r="B351" s="91" t="s">
        <v>677</v>
      </c>
      <c r="C351" s="125" t="s">
        <v>252</v>
      </c>
      <c r="D351" s="135" t="s">
        <v>253</v>
      </c>
      <c r="E351" s="102" t="s">
        <v>215</v>
      </c>
      <c r="F351" s="102" t="s">
        <v>254</v>
      </c>
      <c r="G351" s="123" t="s">
        <v>255</v>
      </c>
      <c r="H351" s="125" t="s">
        <v>193</v>
      </c>
      <c r="I351" s="132" t="s">
        <v>36</v>
      </c>
      <c r="J351" s="123" t="s">
        <v>340</v>
      </c>
      <c r="K351" s="102"/>
      <c r="L351" s="127" t="s">
        <v>36</v>
      </c>
      <c r="M351" s="128"/>
      <c r="N351" s="129"/>
    </row>
    <row r="352">
      <c r="A352" s="102" t="s">
        <v>383</v>
      </c>
      <c r="B352" s="91" t="s">
        <v>678</v>
      </c>
      <c r="C352" s="125" t="s">
        <v>257</v>
      </c>
      <c r="D352" s="135" t="s">
        <v>258</v>
      </c>
      <c r="E352" s="102" t="s">
        <v>215</v>
      </c>
      <c r="F352" s="102" t="s">
        <v>259</v>
      </c>
      <c r="G352" s="123" t="s">
        <v>260</v>
      </c>
      <c r="H352" s="125" t="s">
        <v>193</v>
      </c>
      <c r="I352" s="133" t="s">
        <v>111</v>
      </c>
      <c r="J352" s="123" t="s">
        <v>389</v>
      </c>
      <c r="K352" s="102"/>
      <c r="L352" s="127" t="s">
        <v>111</v>
      </c>
      <c r="M352" s="128"/>
      <c r="N352" s="129"/>
    </row>
    <row r="353">
      <c r="A353" s="102" t="s">
        <v>383</v>
      </c>
      <c r="B353" s="91" t="s">
        <v>679</v>
      </c>
      <c r="C353" s="125" t="s">
        <v>262</v>
      </c>
      <c r="D353" s="135" t="s">
        <v>263</v>
      </c>
      <c r="E353" s="102" t="s">
        <v>215</v>
      </c>
      <c r="F353" s="102" t="s">
        <v>264</v>
      </c>
      <c r="G353" s="123" t="s">
        <v>265</v>
      </c>
      <c r="H353" s="125" t="s">
        <v>193</v>
      </c>
      <c r="I353" s="133" t="s">
        <v>111</v>
      </c>
      <c r="J353" s="123" t="s">
        <v>389</v>
      </c>
      <c r="K353" s="102"/>
      <c r="L353" s="127" t="s">
        <v>111</v>
      </c>
      <c r="M353" s="128"/>
      <c r="N353" s="129"/>
    </row>
    <row r="354">
      <c r="A354" s="102" t="s">
        <v>383</v>
      </c>
      <c r="B354" s="91" t="s">
        <v>680</v>
      </c>
      <c r="C354" s="125" t="s">
        <v>262</v>
      </c>
      <c r="D354" s="135" t="s">
        <v>267</v>
      </c>
      <c r="E354" s="102" t="s">
        <v>215</v>
      </c>
      <c r="F354" s="102" t="s">
        <v>268</v>
      </c>
      <c r="G354" s="123" t="s">
        <v>269</v>
      </c>
      <c r="H354" s="125" t="s">
        <v>193</v>
      </c>
      <c r="I354" s="133" t="s">
        <v>111</v>
      </c>
      <c r="J354" s="123" t="s">
        <v>389</v>
      </c>
      <c r="K354" s="102"/>
      <c r="L354" s="127" t="s">
        <v>111</v>
      </c>
      <c r="M354" s="128"/>
      <c r="N354" s="129"/>
    </row>
    <row r="355">
      <c r="A355" s="102" t="s">
        <v>383</v>
      </c>
      <c r="B355" s="91" t="s">
        <v>681</v>
      </c>
      <c r="C355" s="123" t="s">
        <v>271</v>
      </c>
      <c r="D355" s="123" t="s">
        <v>272</v>
      </c>
      <c r="E355" s="123" t="s">
        <v>273</v>
      </c>
      <c r="F355" s="123" t="s">
        <v>274</v>
      </c>
      <c r="G355" s="123" t="s">
        <v>275</v>
      </c>
      <c r="H355" s="125" t="s">
        <v>193</v>
      </c>
      <c r="I355" s="131" t="s">
        <v>111</v>
      </c>
      <c r="J355" s="123" t="s">
        <v>389</v>
      </c>
      <c r="K355" s="102"/>
      <c r="L355" s="127" t="s">
        <v>111</v>
      </c>
      <c r="M355" s="128"/>
      <c r="N355" s="129"/>
    </row>
    <row r="356">
      <c r="A356" s="102" t="s">
        <v>383</v>
      </c>
      <c r="B356" s="91" t="s">
        <v>682</v>
      </c>
      <c r="C356" s="125" t="s">
        <v>277</v>
      </c>
      <c r="D356" s="102" t="s">
        <v>278</v>
      </c>
      <c r="E356" s="102" t="s">
        <v>215</v>
      </c>
      <c r="F356" s="102" t="s">
        <v>279</v>
      </c>
      <c r="G356" s="102" t="s">
        <v>280</v>
      </c>
      <c r="H356" s="125" t="s">
        <v>193</v>
      </c>
      <c r="I356" s="126" t="s">
        <v>36</v>
      </c>
      <c r="J356" s="102"/>
      <c r="K356" s="102"/>
      <c r="L356" s="127" t="s">
        <v>36</v>
      </c>
      <c r="M356" s="128"/>
      <c r="N356" s="129"/>
    </row>
    <row r="357">
      <c r="A357" s="102" t="s">
        <v>383</v>
      </c>
      <c r="B357" s="91" t="s">
        <v>683</v>
      </c>
      <c r="C357" s="123" t="s">
        <v>282</v>
      </c>
      <c r="D357" s="123" t="s">
        <v>283</v>
      </c>
      <c r="E357" s="123" t="s">
        <v>284</v>
      </c>
      <c r="F357" s="123" t="s">
        <v>285</v>
      </c>
      <c r="G357" s="123" t="s">
        <v>286</v>
      </c>
      <c r="H357" s="125" t="s">
        <v>193</v>
      </c>
      <c r="I357" s="126" t="s">
        <v>36</v>
      </c>
      <c r="J357" s="130"/>
      <c r="K357" s="102"/>
      <c r="L357" s="127" t="s">
        <v>36</v>
      </c>
      <c r="M357" s="128"/>
      <c r="N357" s="129"/>
    </row>
    <row r="358">
      <c r="A358" s="102" t="s">
        <v>383</v>
      </c>
      <c r="B358" s="91" t="s">
        <v>684</v>
      </c>
      <c r="C358" s="123" t="s">
        <v>288</v>
      </c>
      <c r="D358" s="123" t="s">
        <v>289</v>
      </c>
      <c r="E358" s="123" t="s">
        <v>290</v>
      </c>
      <c r="F358" s="123" t="s">
        <v>274</v>
      </c>
      <c r="G358" s="123" t="s">
        <v>291</v>
      </c>
      <c r="H358" s="125" t="s">
        <v>193</v>
      </c>
      <c r="I358" s="126" t="s">
        <v>36</v>
      </c>
      <c r="J358" s="130"/>
      <c r="K358" s="102"/>
      <c r="L358" s="127" t="s">
        <v>36</v>
      </c>
      <c r="M358" s="128"/>
      <c r="N358" s="129"/>
    </row>
    <row r="359">
      <c r="A359" s="102" t="s">
        <v>383</v>
      </c>
      <c r="B359" s="91" t="s">
        <v>685</v>
      </c>
      <c r="C359" s="123" t="s">
        <v>293</v>
      </c>
      <c r="D359" s="123" t="s">
        <v>294</v>
      </c>
      <c r="E359" s="123" t="s">
        <v>284</v>
      </c>
      <c r="F359" s="123" t="s">
        <v>295</v>
      </c>
      <c r="G359" s="123" t="s">
        <v>296</v>
      </c>
      <c r="H359" s="125" t="s">
        <v>193</v>
      </c>
      <c r="I359" s="126" t="s">
        <v>36</v>
      </c>
      <c r="J359" s="130"/>
      <c r="K359" s="102"/>
      <c r="L359" s="127" t="s">
        <v>36</v>
      </c>
      <c r="M359" s="128"/>
      <c r="N359" s="129"/>
    </row>
    <row r="360">
      <c r="A360" s="102" t="s">
        <v>383</v>
      </c>
      <c r="B360" s="91" t="s">
        <v>686</v>
      </c>
      <c r="C360" s="123" t="s">
        <v>298</v>
      </c>
      <c r="D360" s="123" t="s">
        <v>299</v>
      </c>
      <c r="E360" s="123" t="s">
        <v>300</v>
      </c>
      <c r="F360" s="123" t="s">
        <v>301</v>
      </c>
      <c r="G360" s="123" t="s">
        <v>302</v>
      </c>
      <c r="H360" s="125" t="s">
        <v>193</v>
      </c>
      <c r="I360" s="126" t="s">
        <v>36</v>
      </c>
      <c r="J360" s="130"/>
      <c r="K360" s="102"/>
      <c r="L360" s="127" t="s">
        <v>36</v>
      </c>
      <c r="M360" s="128"/>
      <c r="N360" s="129"/>
    </row>
    <row r="361">
      <c r="A361" s="102" t="s">
        <v>383</v>
      </c>
      <c r="B361" s="91" t="s">
        <v>687</v>
      </c>
      <c r="C361" s="123" t="s">
        <v>304</v>
      </c>
      <c r="D361" s="123" t="s">
        <v>305</v>
      </c>
      <c r="E361" s="123" t="s">
        <v>284</v>
      </c>
      <c r="F361" s="123" t="s">
        <v>306</v>
      </c>
      <c r="G361" s="123" t="s">
        <v>307</v>
      </c>
      <c r="H361" s="125" t="s">
        <v>193</v>
      </c>
      <c r="I361" s="126" t="s">
        <v>36</v>
      </c>
      <c r="J361" s="130"/>
      <c r="K361" s="102"/>
      <c r="L361" s="127" t="s">
        <v>36</v>
      </c>
      <c r="M361" s="128"/>
      <c r="N361" s="129"/>
    </row>
    <row r="362">
      <c r="A362" s="102" t="s">
        <v>383</v>
      </c>
      <c r="B362" s="91" t="s">
        <v>688</v>
      </c>
      <c r="C362" s="123" t="s">
        <v>309</v>
      </c>
      <c r="D362" s="123" t="s">
        <v>310</v>
      </c>
      <c r="E362" s="123" t="s">
        <v>284</v>
      </c>
      <c r="F362" s="123" t="s">
        <v>311</v>
      </c>
      <c r="G362" s="123" t="s">
        <v>312</v>
      </c>
      <c r="H362" s="125" t="s">
        <v>193</v>
      </c>
      <c r="I362" s="126" t="s">
        <v>36</v>
      </c>
      <c r="J362" s="130"/>
      <c r="K362" s="102"/>
      <c r="L362" s="127" t="s">
        <v>36</v>
      </c>
      <c r="M362" s="128"/>
      <c r="N362" s="129"/>
    </row>
    <row r="363">
      <c r="A363" s="102" t="s">
        <v>383</v>
      </c>
      <c r="B363" s="91" t="s">
        <v>689</v>
      </c>
      <c r="C363" s="123" t="s">
        <v>314</v>
      </c>
      <c r="D363" s="123" t="s">
        <v>315</v>
      </c>
      <c r="E363" s="123" t="s">
        <v>316</v>
      </c>
      <c r="F363" s="123" t="s">
        <v>317</v>
      </c>
      <c r="G363" s="123" t="s">
        <v>318</v>
      </c>
      <c r="H363" s="125" t="s">
        <v>193</v>
      </c>
      <c r="I363" s="126" t="s">
        <v>36</v>
      </c>
      <c r="J363" s="130"/>
      <c r="K363" s="102"/>
      <c r="L363" s="127" t="s">
        <v>36</v>
      </c>
      <c r="M363" s="128"/>
      <c r="N363" s="129"/>
    </row>
    <row r="364">
      <c r="A364" s="102" t="s">
        <v>413</v>
      </c>
      <c r="B364" s="91" t="s">
        <v>690</v>
      </c>
      <c r="C364" s="125" t="s">
        <v>197</v>
      </c>
      <c r="D364" s="102" t="s">
        <v>198</v>
      </c>
      <c r="E364" s="102" t="s">
        <v>199</v>
      </c>
      <c r="F364" s="102" t="s">
        <v>200</v>
      </c>
      <c r="G364" s="123" t="s">
        <v>415</v>
      </c>
      <c r="H364" s="125" t="s">
        <v>193</v>
      </c>
      <c r="I364" s="126" t="s">
        <v>36</v>
      </c>
      <c r="J364" s="102"/>
      <c r="K364" s="102"/>
      <c r="L364" s="127" t="s">
        <v>36</v>
      </c>
      <c r="M364" s="128"/>
      <c r="N364" s="129"/>
    </row>
    <row r="365">
      <c r="A365" s="102" t="s">
        <v>413</v>
      </c>
      <c r="B365" s="91" t="s">
        <v>691</v>
      </c>
      <c r="C365" s="125" t="s">
        <v>203</v>
      </c>
      <c r="D365" s="102" t="s">
        <v>204</v>
      </c>
      <c r="E365" s="102" t="s">
        <v>199</v>
      </c>
      <c r="F365" s="102" t="s">
        <v>200</v>
      </c>
      <c r="G365" s="123" t="s">
        <v>205</v>
      </c>
      <c r="H365" s="125" t="s">
        <v>193</v>
      </c>
      <c r="I365" s="131" t="s">
        <v>111</v>
      </c>
      <c r="J365" s="123" t="s">
        <v>417</v>
      </c>
      <c r="K365" s="102"/>
      <c r="L365" s="127" t="s">
        <v>36</v>
      </c>
      <c r="M365" s="128"/>
      <c r="N365" s="129"/>
    </row>
    <row r="366">
      <c r="A366" s="102" t="s">
        <v>413</v>
      </c>
      <c r="B366" s="91" t="s">
        <v>692</v>
      </c>
      <c r="C366" s="125" t="s">
        <v>208</v>
      </c>
      <c r="D366" s="102" t="s">
        <v>209</v>
      </c>
      <c r="E366" s="102" t="s">
        <v>210</v>
      </c>
      <c r="F366" s="102" t="s">
        <v>211</v>
      </c>
      <c r="G366" s="123" t="s">
        <v>212</v>
      </c>
      <c r="H366" s="125" t="s">
        <v>193</v>
      </c>
      <c r="I366" s="126" t="s">
        <v>36</v>
      </c>
      <c r="J366" s="102"/>
      <c r="K366" s="102"/>
      <c r="L366" s="127" t="s">
        <v>36</v>
      </c>
      <c r="M366" s="128"/>
      <c r="N366" s="129"/>
    </row>
    <row r="367">
      <c r="A367" s="102" t="s">
        <v>413</v>
      </c>
      <c r="B367" s="91" t="s">
        <v>693</v>
      </c>
      <c r="C367" s="125" t="s">
        <v>214</v>
      </c>
      <c r="D367" s="102" t="s">
        <v>420</v>
      </c>
      <c r="E367" s="102" t="s">
        <v>215</v>
      </c>
      <c r="F367" s="102" t="s">
        <v>211</v>
      </c>
      <c r="G367" s="123" t="s">
        <v>216</v>
      </c>
      <c r="H367" s="125" t="s">
        <v>193</v>
      </c>
      <c r="I367" s="131" t="s">
        <v>111</v>
      </c>
      <c r="J367" s="102" t="s">
        <v>421</v>
      </c>
      <c r="K367" s="102"/>
      <c r="L367" s="127" t="s">
        <v>36</v>
      </c>
      <c r="M367" s="128"/>
      <c r="N367" s="129"/>
    </row>
    <row r="368">
      <c r="A368" s="102" t="s">
        <v>413</v>
      </c>
      <c r="B368" s="91" t="s">
        <v>694</v>
      </c>
      <c r="C368" s="125" t="s">
        <v>219</v>
      </c>
      <c r="D368" s="102" t="s">
        <v>220</v>
      </c>
      <c r="E368" s="102" t="s">
        <v>215</v>
      </c>
      <c r="F368" s="102" t="s">
        <v>211</v>
      </c>
      <c r="G368" s="102" t="s">
        <v>221</v>
      </c>
      <c r="H368" s="125" t="s">
        <v>193</v>
      </c>
      <c r="I368" s="126" t="s">
        <v>36</v>
      </c>
      <c r="J368" s="102"/>
      <c r="K368" s="102"/>
      <c r="L368" s="127" t="s">
        <v>36</v>
      </c>
      <c r="M368" s="128"/>
      <c r="N368" s="129"/>
    </row>
    <row r="369">
      <c r="A369" s="102" t="s">
        <v>413</v>
      </c>
      <c r="B369" s="91" t="s">
        <v>695</v>
      </c>
      <c r="C369" s="125" t="s">
        <v>223</v>
      </c>
      <c r="D369" s="102" t="s">
        <v>224</v>
      </c>
      <c r="E369" s="102" t="s">
        <v>215</v>
      </c>
      <c r="F369" s="102" t="s">
        <v>225</v>
      </c>
      <c r="G369" s="102" t="s">
        <v>226</v>
      </c>
      <c r="H369" s="125" t="s">
        <v>193</v>
      </c>
      <c r="I369" s="126" t="s">
        <v>36</v>
      </c>
      <c r="J369" s="102"/>
      <c r="K369" s="102"/>
      <c r="L369" s="127" t="s">
        <v>36</v>
      </c>
      <c r="M369" s="128"/>
      <c r="N369" s="129"/>
    </row>
    <row r="370">
      <c r="A370" s="102" t="s">
        <v>413</v>
      </c>
      <c r="B370" s="91" t="s">
        <v>696</v>
      </c>
      <c r="C370" s="125" t="s">
        <v>228</v>
      </c>
      <c r="D370" s="102" t="s">
        <v>229</v>
      </c>
      <c r="E370" s="102" t="s">
        <v>215</v>
      </c>
      <c r="F370" s="102" t="s">
        <v>230</v>
      </c>
      <c r="G370" s="102" t="s">
        <v>231</v>
      </c>
      <c r="H370" s="125" t="s">
        <v>193</v>
      </c>
      <c r="I370" s="126" t="s">
        <v>36</v>
      </c>
      <c r="J370" s="102"/>
      <c r="K370" s="102"/>
      <c r="L370" s="127" t="s">
        <v>36</v>
      </c>
      <c r="M370" s="128"/>
      <c r="N370" s="129"/>
    </row>
    <row r="371">
      <c r="A371" s="102" t="s">
        <v>413</v>
      </c>
      <c r="B371" s="91" t="s">
        <v>697</v>
      </c>
      <c r="C371" s="125" t="s">
        <v>233</v>
      </c>
      <c r="D371" s="102" t="s">
        <v>234</v>
      </c>
      <c r="E371" s="102" t="s">
        <v>235</v>
      </c>
      <c r="F371" s="134" t="s">
        <v>236</v>
      </c>
      <c r="G371" s="102" t="s">
        <v>237</v>
      </c>
      <c r="H371" s="125" t="s">
        <v>193</v>
      </c>
      <c r="I371" s="126" t="s">
        <v>36</v>
      </c>
      <c r="J371" s="102"/>
      <c r="K371" s="102"/>
      <c r="L371" s="127" t="s">
        <v>36</v>
      </c>
      <c r="M371" s="128"/>
      <c r="N371" s="129"/>
    </row>
    <row r="372">
      <c r="A372" s="102" t="s">
        <v>413</v>
      </c>
      <c r="B372" s="91" t="s">
        <v>698</v>
      </c>
      <c r="C372" s="135" t="s">
        <v>239</v>
      </c>
      <c r="D372" s="135" t="s">
        <v>240</v>
      </c>
      <c r="E372" s="102" t="s">
        <v>241</v>
      </c>
      <c r="F372" s="102" t="s">
        <v>200</v>
      </c>
      <c r="G372" s="123" t="s">
        <v>242</v>
      </c>
      <c r="H372" s="125" t="s">
        <v>193</v>
      </c>
      <c r="I372" s="131" t="s">
        <v>111</v>
      </c>
      <c r="J372" s="102" t="s">
        <v>427</v>
      </c>
      <c r="K372" s="102"/>
      <c r="L372" s="127" t="s">
        <v>36</v>
      </c>
      <c r="M372" s="128"/>
      <c r="N372" s="129"/>
    </row>
    <row r="373">
      <c r="A373" s="102" t="s">
        <v>413</v>
      </c>
      <c r="B373" s="91" t="s">
        <v>699</v>
      </c>
      <c r="C373" s="135" t="s">
        <v>244</v>
      </c>
      <c r="D373" s="135" t="s">
        <v>245</v>
      </c>
      <c r="E373" s="102" t="s">
        <v>241</v>
      </c>
      <c r="F373" s="102" t="s">
        <v>200</v>
      </c>
      <c r="G373" s="102" t="s">
        <v>246</v>
      </c>
      <c r="H373" s="125" t="s">
        <v>193</v>
      </c>
      <c r="I373" s="131" t="s">
        <v>111</v>
      </c>
      <c r="J373" s="102" t="s">
        <v>429</v>
      </c>
      <c r="K373" s="102"/>
      <c r="L373" s="127" t="s">
        <v>36</v>
      </c>
      <c r="M373" s="128"/>
      <c r="N373" s="129"/>
    </row>
    <row r="374">
      <c r="A374" s="102" t="s">
        <v>413</v>
      </c>
      <c r="B374" s="91" t="s">
        <v>700</v>
      </c>
      <c r="C374" s="135" t="s">
        <v>431</v>
      </c>
      <c r="D374" s="102" t="s">
        <v>432</v>
      </c>
      <c r="E374" s="102" t="s">
        <v>215</v>
      </c>
      <c r="F374" s="102" t="s">
        <v>200</v>
      </c>
      <c r="G374" s="102" t="s">
        <v>433</v>
      </c>
      <c r="H374" s="125" t="s">
        <v>193</v>
      </c>
      <c r="I374" s="131" t="s">
        <v>111</v>
      </c>
      <c r="J374" s="102" t="s">
        <v>434</v>
      </c>
      <c r="K374" s="102"/>
      <c r="L374" s="127" t="s">
        <v>36</v>
      </c>
      <c r="M374" s="128"/>
      <c r="N374" s="129"/>
    </row>
    <row r="375">
      <c r="A375" s="102" t="s">
        <v>413</v>
      </c>
      <c r="B375" s="91" t="s">
        <v>701</v>
      </c>
      <c r="C375" s="135" t="s">
        <v>248</v>
      </c>
      <c r="D375" s="102" t="s">
        <v>224</v>
      </c>
      <c r="E375" s="102" t="s">
        <v>215</v>
      </c>
      <c r="F375" s="102" t="s">
        <v>200</v>
      </c>
      <c r="G375" s="102" t="s">
        <v>226</v>
      </c>
      <c r="H375" s="125" t="s">
        <v>193</v>
      </c>
      <c r="I375" s="126" t="s">
        <v>36</v>
      </c>
      <c r="J375" s="102"/>
      <c r="K375" s="102"/>
      <c r="L375" s="127" t="s">
        <v>36</v>
      </c>
      <c r="M375" s="128"/>
      <c r="N375" s="129"/>
    </row>
    <row r="376">
      <c r="A376" s="102" t="s">
        <v>413</v>
      </c>
      <c r="B376" s="91" t="s">
        <v>702</v>
      </c>
      <c r="C376" s="135" t="s">
        <v>250</v>
      </c>
      <c r="D376" s="102" t="s">
        <v>229</v>
      </c>
      <c r="E376" s="102" t="s">
        <v>215</v>
      </c>
      <c r="F376" s="102" t="s">
        <v>230</v>
      </c>
      <c r="G376" s="102" t="s">
        <v>231</v>
      </c>
      <c r="H376" s="125" t="s">
        <v>193</v>
      </c>
      <c r="I376" s="126" t="s">
        <v>36</v>
      </c>
      <c r="J376" s="102"/>
      <c r="K376" s="102"/>
      <c r="L376" s="127" t="s">
        <v>36</v>
      </c>
      <c r="M376" s="128"/>
      <c r="N376" s="129"/>
    </row>
    <row r="377">
      <c r="A377" s="102" t="s">
        <v>413</v>
      </c>
      <c r="B377" s="91" t="s">
        <v>703</v>
      </c>
      <c r="C377" s="125" t="s">
        <v>252</v>
      </c>
      <c r="D377" s="135" t="s">
        <v>253</v>
      </c>
      <c r="E377" s="102" t="s">
        <v>215</v>
      </c>
      <c r="F377" s="102" t="s">
        <v>254</v>
      </c>
      <c r="G377" s="123" t="s">
        <v>255</v>
      </c>
      <c r="H377" s="125" t="s">
        <v>193</v>
      </c>
      <c r="I377" s="126" t="s">
        <v>36</v>
      </c>
      <c r="J377" s="102"/>
      <c r="K377" s="102"/>
      <c r="L377" s="127" t="s">
        <v>36</v>
      </c>
      <c r="M377" s="128"/>
      <c r="N377" s="129"/>
    </row>
    <row r="378">
      <c r="A378" s="102" t="s">
        <v>413</v>
      </c>
      <c r="B378" s="91" t="s">
        <v>704</v>
      </c>
      <c r="C378" s="125" t="s">
        <v>257</v>
      </c>
      <c r="D378" s="135" t="s">
        <v>258</v>
      </c>
      <c r="E378" s="102" t="s">
        <v>215</v>
      </c>
      <c r="F378" s="102" t="s">
        <v>259</v>
      </c>
      <c r="G378" s="123" t="s">
        <v>260</v>
      </c>
      <c r="H378" s="125" t="s">
        <v>193</v>
      </c>
      <c r="I378" s="126" t="s">
        <v>36</v>
      </c>
      <c r="J378" s="102"/>
      <c r="K378" s="102"/>
      <c r="L378" s="127" t="s">
        <v>36</v>
      </c>
      <c r="M378" s="128"/>
      <c r="N378" s="129"/>
    </row>
    <row r="379">
      <c r="A379" s="102" t="s">
        <v>413</v>
      </c>
      <c r="B379" s="91" t="s">
        <v>705</v>
      </c>
      <c r="C379" s="125" t="s">
        <v>262</v>
      </c>
      <c r="D379" s="135" t="s">
        <v>263</v>
      </c>
      <c r="E379" s="102" t="s">
        <v>215</v>
      </c>
      <c r="F379" s="102" t="s">
        <v>264</v>
      </c>
      <c r="G379" s="123" t="s">
        <v>265</v>
      </c>
      <c r="H379" s="125" t="s">
        <v>193</v>
      </c>
      <c r="I379" s="131" t="s">
        <v>111</v>
      </c>
      <c r="J379" s="102" t="s">
        <v>440</v>
      </c>
      <c r="K379" s="102"/>
      <c r="L379" s="127" t="s">
        <v>36</v>
      </c>
      <c r="M379" s="128"/>
      <c r="N379" s="129"/>
    </row>
    <row r="380">
      <c r="A380" s="102" t="s">
        <v>413</v>
      </c>
      <c r="B380" s="91" t="s">
        <v>706</v>
      </c>
      <c r="C380" s="125" t="s">
        <v>262</v>
      </c>
      <c r="D380" s="135" t="s">
        <v>267</v>
      </c>
      <c r="E380" s="102" t="s">
        <v>215</v>
      </c>
      <c r="F380" s="102" t="s">
        <v>268</v>
      </c>
      <c r="G380" s="123" t="s">
        <v>269</v>
      </c>
      <c r="H380" s="125" t="s">
        <v>193</v>
      </c>
      <c r="I380" s="131" t="s">
        <v>111</v>
      </c>
      <c r="J380" s="102" t="s">
        <v>440</v>
      </c>
      <c r="K380" s="102"/>
      <c r="L380" s="127" t="s">
        <v>36</v>
      </c>
      <c r="M380" s="128"/>
      <c r="N380" s="129"/>
    </row>
    <row r="381">
      <c r="A381" s="123" t="s">
        <v>383</v>
      </c>
      <c r="B381" s="91" t="s">
        <v>707</v>
      </c>
      <c r="C381" s="123" t="s">
        <v>271</v>
      </c>
      <c r="D381" s="123" t="s">
        <v>272</v>
      </c>
      <c r="E381" s="123" t="s">
        <v>273</v>
      </c>
      <c r="F381" s="123" t="s">
        <v>274</v>
      </c>
      <c r="G381" s="123" t="s">
        <v>275</v>
      </c>
      <c r="H381" s="125" t="s">
        <v>193</v>
      </c>
      <c r="I381" s="132" t="s">
        <v>36</v>
      </c>
      <c r="J381" s="130"/>
      <c r="K381" s="102"/>
      <c r="L381" s="127" t="s">
        <v>36</v>
      </c>
      <c r="M381" s="128"/>
      <c r="N381" s="129"/>
    </row>
    <row r="382">
      <c r="A382" s="102" t="s">
        <v>413</v>
      </c>
      <c r="B382" s="91" t="s">
        <v>708</v>
      </c>
      <c r="C382" s="125" t="s">
        <v>444</v>
      </c>
      <c r="D382" s="102" t="s">
        <v>445</v>
      </c>
      <c r="E382" s="102" t="s">
        <v>215</v>
      </c>
      <c r="F382" s="102" t="s">
        <v>200</v>
      </c>
      <c r="G382" s="123" t="s">
        <v>446</v>
      </c>
      <c r="H382" s="125" t="s">
        <v>193</v>
      </c>
      <c r="I382" s="131" t="s">
        <v>111</v>
      </c>
      <c r="J382" s="102" t="s">
        <v>447</v>
      </c>
      <c r="K382" s="102"/>
      <c r="L382" s="127" t="s">
        <v>36</v>
      </c>
      <c r="M382" s="128"/>
      <c r="N382" s="129"/>
    </row>
    <row r="383">
      <c r="A383" s="102" t="s">
        <v>413</v>
      </c>
      <c r="B383" s="91" t="s">
        <v>709</v>
      </c>
      <c r="C383" s="125" t="s">
        <v>277</v>
      </c>
      <c r="D383" s="102" t="s">
        <v>278</v>
      </c>
      <c r="E383" s="102" t="s">
        <v>215</v>
      </c>
      <c r="F383" s="102" t="s">
        <v>279</v>
      </c>
      <c r="G383" s="102" t="s">
        <v>280</v>
      </c>
      <c r="H383" s="125" t="s">
        <v>193</v>
      </c>
      <c r="I383" s="126" t="s">
        <v>36</v>
      </c>
      <c r="J383" s="102"/>
      <c r="K383" s="102"/>
      <c r="L383" s="127" t="s">
        <v>36</v>
      </c>
      <c r="M383" s="128"/>
      <c r="N383" s="129"/>
    </row>
    <row r="384">
      <c r="A384" s="102" t="s">
        <v>413</v>
      </c>
      <c r="B384" s="91" t="s">
        <v>710</v>
      </c>
      <c r="C384" s="125" t="s">
        <v>450</v>
      </c>
      <c r="D384" s="102" t="s">
        <v>451</v>
      </c>
      <c r="E384" s="102" t="s">
        <v>215</v>
      </c>
      <c r="F384" s="102" t="s">
        <v>200</v>
      </c>
      <c r="G384" s="102" t="s">
        <v>452</v>
      </c>
      <c r="H384" s="125" t="s">
        <v>193</v>
      </c>
      <c r="I384" s="131" t="s">
        <v>111</v>
      </c>
      <c r="J384" s="102" t="s">
        <v>453</v>
      </c>
      <c r="K384" s="102"/>
      <c r="L384" s="127" t="s">
        <v>36</v>
      </c>
      <c r="M384" s="128"/>
      <c r="N384" s="129"/>
    </row>
    <row r="385">
      <c r="A385" s="102" t="s">
        <v>413</v>
      </c>
      <c r="B385" s="91" t="s">
        <v>711</v>
      </c>
      <c r="C385" s="123" t="s">
        <v>282</v>
      </c>
      <c r="D385" s="123" t="s">
        <v>283</v>
      </c>
      <c r="E385" s="123" t="s">
        <v>284</v>
      </c>
      <c r="F385" s="123" t="s">
        <v>285</v>
      </c>
      <c r="G385" s="123" t="s">
        <v>286</v>
      </c>
      <c r="H385" s="125" t="s">
        <v>193</v>
      </c>
      <c r="I385" s="132" t="s">
        <v>36</v>
      </c>
      <c r="J385" s="130"/>
      <c r="K385" s="102"/>
      <c r="L385" s="127" t="s">
        <v>36</v>
      </c>
      <c r="M385" s="128"/>
      <c r="N385" s="129"/>
    </row>
    <row r="386">
      <c r="A386" s="102" t="s">
        <v>413</v>
      </c>
      <c r="B386" s="91" t="s">
        <v>712</v>
      </c>
      <c r="C386" s="123" t="s">
        <v>288</v>
      </c>
      <c r="D386" s="123" t="s">
        <v>289</v>
      </c>
      <c r="E386" s="123" t="s">
        <v>290</v>
      </c>
      <c r="F386" s="123" t="s">
        <v>274</v>
      </c>
      <c r="G386" s="123" t="s">
        <v>291</v>
      </c>
      <c r="H386" s="125" t="s">
        <v>193</v>
      </c>
      <c r="I386" s="132" t="s">
        <v>36</v>
      </c>
      <c r="J386" s="130"/>
      <c r="K386" s="102"/>
      <c r="L386" s="127" t="s">
        <v>36</v>
      </c>
      <c r="M386" s="128"/>
      <c r="N386" s="129"/>
    </row>
    <row r="387">
      <c r="A387" s="102" t="s">
        <v>413</v>
      </c>
      <c r="B387" s="91" t="s">
        <v>713</v>
      </c>
      <c r="C387" s="123" t="s">
        <v>293</v>
      </c>
      <c r="D387" s="123" t="s">
        <v>294</v>
      </c>
      <c r="E387" s="123" t="s">
        <v>284</v>
      </c>
      <c r="F387" s="123" t="s">
        <v>295</v>
      </c>
      <c r="G387" s="123" t="s">
        <v>296</v>
      </c>
      <c r="H387" s="125" t="s">
        <v>193</v>
      </c>
      <c r="I387" s="132" t="s">
        <v>36</v>
      </c>
      <c r="J387" s="130"/>
      <c r="K387" s="102"/>
      <c r="L387" s="127" t="s">
        <v>36</v>
      </c>
      <c r="M387" s="128"/>
      <c r="N387" s="129"/>
    </row>
    <row r="388">
      <c r="A388" s="102" t="s">
        <v>413</v>
      </c>
      <c r="B388" s="91" t="s">
        <v>714</v>
      </c>
      <c r="C388" s="123" t="s">
        <v>298</v>
      </c>
      <c r="D388" s="123" t="s">
        <v>299</v>
      </c>
      <c r="E388" s="123" t="s">
        <v>300</v>
      </c>
      <c r="F388" s="123" t="s">
        <v>301</v>
      </c>
      <c r="G388" s="123" t="s">
        <v>302</v>
      </c>
      <c r="H388" s="125" t="s">
        <v>193</v>
      </c>
      <c r="I388" s="132" t="s">
        <v>36</v>
      </c>
      <c r="J388" s="130"/>
      <c r="K388" s="102"/>
      <c r="L388" s="127" t="s">
        <v>36</v>
      </c>
      <c r="M388" s="128"/>
      <c r="N388" s="129"/>
    </row>
    <row r="389">
      <c r="A389" s="102" t="s">
        <v>413</v>
      </c>
      <c r="B389" s="91" t="s">
        <v>715</v>
      </c>
      <c r="C389" s="123" t="s">
        <v>304</v>
      </c>
      <c r="D389" s="123" t="s">
        <v>305</v>
      </c>
      <c r="E389" s="123" t="s">
        <v>284</v>
      </c>
      <c r="F389" s="123" t="s">
        <v>306</v>
      </c>
      <c r="G389" s="123" t="s">
        <v>307</v>
      </c>
      <c r="H389" s="125" t="s">
        <v>193</v>
      </c>
      <c r="I389" s="133" t="s">
        <v>111</v>
      </c>
      <c r="J389" s="136" t="s">
        <v>459</v>
      </c>
      <c r="K389" s="102"/>
      <c r="L389" s="127" t="s">
        <v>36</v>
      </c>
      <c r="M389" s="128"/>
      <c r="N389" s="129"/>
    </row>
    <row r="390">
      <c r="A390" s="102" t="s">
        <v>413</v>
      </c>
      <c r="B390" s="91" t="s">
        <v>716</v>
      </c>
      <c r="C390" s="123" t="s">
        <v>309</v>
      </c>
      <c r="D390" s="123" t="s">
        <v>310</v>
      </c>
      <c r="E390" s="123" t="s">
        <v>284</v>
      </c>
      <c r="F390" s="123" t="s">
        <v>311</v>
      </c>
      <c r="G390" s="123" t="s">
        <v>312</v>
      </c>
      <c r="H390" s="125" t="s">
        <v>193</v>
      </c>
      <c r="I390" s="132" t="s">
        <v>36</v>
      </c>
      <c r="J390" s="130"/>
      <c r="K390" s="102"/>
      <c r="L390" s="127" t="s">
        <v>36</v>
      </c>
      <c r="M390" s="128"/>
      <c r="N390" s="129"/>
    </row>
    <row r="391">
      <c r="A391" s="102" t="s">
        <v>413</v>
      </c>
      <c r="B391" s="91" t="s">
        <v>717</v>
      </c>
      <c r="C391" s="123" t="s">
        <v>314</v>
      </c>
      <c r="D391" s="123" t="s">
        <v>315</v>
      </c>
      <c r="E391" s="123" t="s">
        <v>316</v>
      </c>
      <c r="F391" s="123" t="s">
        <v>317</v>
      </c>
      <c r="G391" s="123" t="s">
        <v>318</v>
      </c>
      <c r="H391" s="125" t="s">
        <v>193</v>
      </c>
      <c r="I391" s="132" t="s">
        <v>36</v>
      </c>
      <c r="J391" s="130"/>
      <c r="K391" s="102"/>
      <c r="L391" s="127" t="s">
        <v>36</v>
      </c>
      <c r="M391" s="128"/>
      <c r="N391" s="129"/>
    </row>
    <row r="392">
      <c r="A392" s="145"/>
      <c r="B392" s="145"/>
      <c r="C392" s="145"/>
      <c r="D392" s="145"/>
      <c r="E392" s="145"/>
      <c r="F392" s="146" t="s">
        <v>191</v>
      </c>
      <c r="G392" s="145"/>
      <c r="H392" s="145"/>
      <c r="I392" s="145"/>
      <c r="J392" s="145"/>
      <c r="K392" s="147"/>
      <c r="L392" s="148"/>
      <c r="M392" s="149"/>
      <c r="N392" s="150"/>
    </row>
    <row r="393">
      <c r="A393" s="123" t="s">
        <v>195</v>
      </c>
      <c r="B393" s="91" t="s">
        <v>715</v>
      </c>
      <c r="C393" s="125" t="s">
        <v>197</v>
      </c>
      <c r="D393" s="102" t="s">
        <v>198</v>
      </c>
      <c r="E393" s="102" t="s">
        <v>199</v>
      </c>
      <c r="F393" s="102" t="s">
        <v>200</v>
      </c>
      <c r="G393" s="123" t="s">
        <v>201</v>
      </c>
      <c r="H393" s="125" t="s">
        <v>191</v>
      </c>
      <c r="I393" s="126" t="s">
        <v>36</v>
      </c>
      <c r="J393" s="102"/>
      <c r="K393" s="102"/>
      <c r="L393" s="127" t="s">
        <v>36</v>
      </c>
      <c r="M393" s="128"/>
      <c r="N393" s="129"/>
    </row>
    <row r="394">
      <c r="A394" s="123" t="s">
        <v>195</v>
      </c>
      <c r="B394" s="91" t="s">
        <v>716</v>
      </c>
      <c r="C394" s="125" t="s">
        <v>203</v>
      </c>
      <c r="D394" s="102" t="s">
        <v>204</v>
      </c>
      <c r="E394" s="102" t="s">
        <v>199</v>
      </c>
      <c r="F394" s="102" t="s">
        <v>200</v>
      </c>
      <c r="G394" s="123" t="s">
        <v>205</v>
      </c>
      <c r="H394" s="125" t="s">
        <v>191</v>
      </c>
      <c r="I394" s="131" t="s">
        <v>111</v>
      </c>
      <c r="J394" s="102" t="s">
        <v>206</v>
      </c>
      <c r="K394" s="102"/>
      <c r="L394" s="127" t="s">
        <v>36</v>
      </c>
      <c r="M394" s="128"/>
      <c r="N394" s="129"/>
    </row>
    <row r="395">
      <c r="A395" s="123" t="s">
        <v>195</v>
      </c>
      <c r="B395" s="91" t="s">
        <v>717</v>
      </c>
      <c r="C395" s="125" t="s">
        <v>208</v>
      </c>
      <c r="D395" s="102" t="s">
        <v>209</v>
      </c>
      <c r="E395" s="102" t="s">
        <v>210</v>
      </c>
      <c r="F395" s="102" t="s">
        <v>211</v>
      </c>
      <c r="G395" s="123" t="s">
        <v>212</v>
      </c>
      <c r="H395" s="125" t="s">
        <v>191</v>
      </c>
      <c r="I395" s="126" t="s">
        <v>36</v>
      </c>
      <c r="J395" s="102"/>
      <c r="K395" s="102"/>
      <c r="L395" s="127" t="s">
        <v>36</v>
      </c>
      <c r="M395" s="128"/>
      <c r="N395" s="129"/>
    </row>
    <row r="396">
      <c r="A396" s="123" t="s">
        <v>195</v>
      </c>
      <c r="B396" s="91" t="s">
        <v>718</v>
      </c>
      <c r="C396" s="125" t="s">
        <v>214</v>
      </c>
      <c r="D396" s="102" t="s">
        <v>209</v>
      </c>
      <c r="E396" s="102" t="s">
        <v>215</v>
      </c>
      <c r="F396" s="102" t="s">
        <v>211</v>
      </c>
      <c r="G396" s="123" t="s">
        <v>216</v>
      </c>
      <c r="H396" s="125" t="s">
        <v>191</v>
      </c>
      <c r="I396" s="131" t="s">
        <v>111</v>
      </c>
      <c r="J396" s="102" t="s">
        <v>217</v>
      </c>
      <c r="K396" s="102"/>
      <c r="L396" s="127" t="s">
        <v>36</v>
      </c>
      <c r="M396" s="128"/>
      <c r="N396" s="129"/>
    </row>
    <row r="397">
      <c r="A397" s="123" t="s">
        <v>195</v>
      </c>
      <c r="B397" s="91" t="s">
        <v>719</v>
      </c>
      <c r="C397" s="125" t="s">
        <v>219</v>
      </c>
      <c r="D397" s="102" t="s">
        <v>220</v>
      </c>
      <c r="E397" s="102" t="s">
        <v>215</v>
      </c>
      <c r="F397" s="102" t="s">
        <v>211</v>
      </c>
      <c r="G397" s="102" t="s">
        <v>221</v>
      </c>
      <c r="H397" s="125" t="s">
        <v>191</v>
      </c>
      <c r="I397" s="126" t="s">
        <v>36</v>
      </c>
      <c r="J397" s="102"/>
      <c r="K397" s="102"/>
      <c r="L397" s="127" t="s">
        <v>36</v>
      </c>
      <c r="M397" s="128"/>
      <c r="N397" s="129"/>
    </row>
    <row r="398">
      <c r="A398" s="123" t="s">
        <v>195</v>
      </c>
      <c r="B398" s="91" t="s">
        <v>720</v>
      </c>
      <c r="C398" s="125" t="s">
        <v>223</v>
      </c>
      <c r="D398" s="102" t="s">
        <v>224</v>
      </c>
      <c r="E398" s="102" t="s">
        <v>215</v>
      </c>
      <c r="F398" s="102" t="s">
        <v>225</v>
      </c>
      <c r="G398" s="102" t="s">
        <v>226</v>
      </c>
      <c r="H398" s="125" t="s">
        <v>191</v>
      </c>
      <c r="I398" s="126" t="s">
        <v>36</v>
      </c>
      <c r="J398" s="102"/>
      <c r="K398" s="102"/>
      <c r="L398" s="127" t="s">
        <v>36</v>
      </c>
      <c r="M398" s="128"/>
      <c r="N398" s="129"/>
    </row>
    <row r="399">
      <c r="A399" s="123" t="s">
        <v>195</v>
      </c>
      <c r="B399" s="91" t="s">
        <v>721</v>
      </c>
      <c r="C399" s="125" t="s">
        <v>228</v>
      </c>
      <c r="D399" s="102" t="s">
        <v>229</v>
      </c>
      <c r="E399" s="102" t="s">
        <v>215</v>
      </c>
      <c r="F399" s="102" t="s">
        <v>230</v>
      </c>
      <c r="G399" s="102" t="s">
        <v>231</v>
      </c>
      <c r="H399" s="125" t="s">
        <v>191</v>
      </c>
      <c r="I399" s="126" t="s">
        <v>36</v>
      </c>
      <c r="J399" s="102"/>
      <c r="K399" s="102"/>
      <c r="L399" s="127" t="s">
        <v>36</v>
      </c>
      <c r="M399" s="128"/>
      <c r="N399" s="129"/>
    </row>
    <row r="400">
      <c r="A400" s="123" t="s">
        <v>195</v>
      </c>
      <c r="B400" s="91" t="s">
        <v>722</v>
      </c>
      <c r="C400" s="125" t="s">
        <v>233</v>
      </c>
      <c r="D400" s="102" t="s">
        <v>234</v>
      </c>
      <c r="E400" s="102" t="s">
        <v>235</v>
      </c>
      <c r="F400" s="134" t="s">
        <v>236</v>
      </c>
      <c r="G400" s="102" t="s">
        <v>237</v>
      </c>
      <c r="H400" s="125" t="s">
        <v>191</v>
      </c>
      <c r="I400" s="126" t="s">
        <v>36</v>
      </c>
      <c r="J400" s="102"/>
      <c r="K400" s="102"/>
      <c r="L400" s="127" t="s">
        <v>36</v>
      </c>
      <c r="M400" s="128"/>
      <c r="N400" s="129"/>
    </row>
    <row r="401">
      <c r="A401" s="123" t="s">
        <v>195</v>
      </c>
      <c r="B401" s="91" t="s">
        <v>723</v>
      </c>
      <c r="C401" s="135" t="s">
        <v>239</v>
      </c>
      <c r="D401" s="135" t="s">
        <v>240</v>
      </c>
      <c r="E401" s="102" t="s">
        <v>241</v>
      </c>
      <c r="F401" s="102" t="s">
        <v>200</v>
      </c>
      <c r="G401" s="123" t="s">
        <v>242</v>
      </c>
      <c r="H401" s="125" t="s">
        <v>191</v>
      </c>
      <c r="I401" s="126" t="s">
        <v>36</v>
      </c>
      <c r="J401" s="102"/>
      <c r="K401" s="102"/>
      <c r="L401" s="127" t="s">
        <v>36</v>
      </c>
      <c r="M401" s="128"/>
      <c r="N401" s="129"/>
    </row>
    <row r="402">
      <c r="A402" s="123" t="s">
        <v>195</v>
      </c>
      <c r="B402" s="91" t="s">
        <v>724</v>
      </c>
      <c r="C402" s="135" t="s">
        <v>244</v>
      </c>
      <c r="D402" s="135" t="s">
        <v>245</v>
      </c>
      <c r="E402" s="102" t="s">
        <v>241</v>
      </c>
      <c r="F402" s="102" t="s">
        <v>200</v>
      </c>
      <c r="G402" s="102" t="s">
        <v>246</v>
      </c>
      <c r="H402" s="125" t="s">
        <v>191</v>
      </c>
      <c r="I402" s="126" t="s">
        <v>36</v>
      </c>
      <c r="J402" s="102"/>
      <c r="K402" s="102"/>
      <c r="L402" s="127" t="s">
        <v>36</v>
      </c>
      <c r="M402" s="128"/>
      <c r="N402" s="129"/>
    </row>
    <row r="403">
      <c r="A403" s="123" t="s">
        <v>195</v>
      </c>
      <c r="B403" s="91" t="s">
        <v>725</v>
      </c>
      <c r="C403" s="135" t="s">
        <v>248</v>
      </c>
      <c r="D403" s="102" t="s">
        <v>224</v>
      </c>
      <c r="E403" s="102" t="s">
        <v>215</v>
      </c>
      <c r="F403" s="102" t="s">
        <v>200</v>
      </c>
      <c r="G403" s="102" t="s">
        <v>226</v>
      </c>
      <c r="H403" s="125" t="s">
        <v>191</v>
      </c>
      <c r="I403" s="126" t="s">
        <v>36</v>
      </c>
      <c r="J403" s="102"/>
      <c r="K403" s="102"/>
      <c r="L403" s="127" t="s">
        <v>36</v>
      </c>
      <c r="M403" s="128"/>
      <c r="N403" s="129"/>
    </row>
    <row r="404">
      <c r="A404" s="123" t="s">
        <v>195</v>
      </c>
      <c r="B404" s="91" t="s">
        <v>726</v>
      </c>
      <c r="C404" s="135" t="s">
        <v>250</v>
      </c>
      <c r="D404" s="102" t="s">
        <v>229</v>
      </c>
      <c r="E404" s="102" t="s">
        <v>215</v>
      </c>
      <c r="F404" s="102" t="s">
        <v>230</v>
      </c>
      <c r="G404" s="102" t="s">
        <v>231</v>
      </c>
      <c r="H404" s="125" t="s">
        <v>191</v>
      </c>
      <c r="I404" s="126" t="s">
        <v>36</v>
      </c>
      <c r="J404" s="102"/>
      <c r="K404" s="102"/>
      <c r="L404" s="127" t="s">
        <v>36</v>
      </c>
      <c r="M404" s="128"/>
      <c r="N404" s="129"/>
    </row>
    <row r="405">
      <c r="A405" s="123" t="s">
        <v>195</v>
      </c>
      <c r="B405" s="91" t="s">
        <v>727</v>
      </c>
      <c r="C405" s="125" t="s">
        <v>252</v>
      </c>
      <c r="D405" s="135" t="s">
        <v>253</v>
      </c>
      <c r="E405" s="102" t="s">
        <v>215</v>
      </c>
      <c r="F405" s="102" t="s">
        <v>254</v>
      </c>
      <c r="G405" s="123" t="s">
        <v>255</v>
      </c>
      <c r="H405" s="125" t="s">
        <v>191</v>
      </c>
      <c r="I405" s="126" t="s">
        <v>36</v>
      </c>
      <c r="J405" s="102"/>
      <c r="K405" s="102"/>
      <c r="L405" s="127" t="s">
        <v>36</v>
      </c>
      <c r="M405" s="128"/>
      <c r="N405" s="129"/>
    </row>
    <row r="406">
      <c r="A406" s="123" t="s">
        <v>195</v>
      </c>
      <c r="B406" s="91" t="s">
        <v>728</v>
      </c>
      <c r="C406" s="125" t="s">
        <v>257</v>
      </c>
      <c r="D406" s="135" t="s">
        <v>258</v>
      </c>
      <c r="E406" s="102" t="s">
        <v>215</v>
      </c>
      <c r="F406" s="102" t="s">
        <v>259</v>
      </c>
      <c r="G406" s="123" t="s">
        <v>260</v>
      </c>
      <c r="H406" s="125" t="s">
        <v>191</v>
      </c>
      <c r="I406" s="126" t="s">
        <v>36</v>
      </c>
      <c r="J406" s="102"/>
      <c r="K406" s="102"/>
      <c r="L406" s="127" t="s">
        <v>36</v>
      </c>
      <c r="M406" s="128"/>
      <c r="N406" s="129"/>
    </row>
    <row r="407">
      <c r="A407" s="123" t="s">
        <v>195</v>
      </c>
      <c r="B407" s="91" t="s">
        <v>729</v>
      </c>
      <c r="C407" s="125" t="s">
        <v>262</v>
      </c>
      <c r="D407" s="135" t="s">
        <v>263</v>
      </c>
      <c r="E407" s="102" t="s">
        <v>215</v>
      </c>
      <c r="F407" s="102" t="s">
        <v>264</v>
      </c>
      <c r="G407" s="123" t="s">
        <v>265</v>
      </c>
      <c r="H407" s="125" t="s">
        <v>191</v>
      </c>
      <c r="I407" s="126" t="s">
        <v>36</v>
      </c>
      <c r="J407" s="102"/>
      <c r="K407" s="102"/>
      <c r="L407" s="127" t="s">
        <v>36</v>
      </c>
      <c r="M407" s="128"/>
      <c r="N407" s="129"/>
    </row>
    <row r="408">
      <c r="A408" s="123" t="s">
        <v>195</v>
      </c>
      <c r="B408" s="91" t="s">
        <v>730</v>
      </c>
      <c r="C408" s="125" t="s">
        <v>262</v>
      </c>
      <c r="D408" s="135" t="s">
        <v>267</v>
      </c>
      <c r="E408" s="102" t="s">
        <v>215</v>
      </c>
      <c r="F408" s="102" t="s">
        <v>268</v>
      </c>
      <c r="G408" s="123" t="s">
        <v>269</v>
      </c>
      <c r="H408" s="125" t="s">
        <v>191</v>
      </c>
      <c r="I408" s="126" t="s">
        <v>36</v>
      </c>
      <c r="J408" s="102"/>
      <c r="K408" s="102"/>
      <c r="L408" s="127" t="s">
        <v>36</v>
      </c>
      <c r="M408" s="128"/>
      <c r="N408" s="129"/>
    </row>
    <row r="409">
      <c r="A409" s="123" t="s">
        <v>195</v>
      </c>
      <c r="B409" s="91" t="s">
        <v>731</v>
      </c>
      <c r="C409" s="123" t="s">
        <v>271</v>
      </c>
      <c r="D409" s="123" t="s">
        <v>272</v>
      </c>
      <c r="E409" s="123" t="s">
        <v>273</v>
      </c>
      <c r="F409" s="123" t="s">
        <v>274</v>
      </c>
      <c r="G409" s="123" t="s">
        <v>275</v>
      </c>
      <c r="H409" s="125" t="s">
        <v>191</v>
      </c>
      <c r="I409" s="126" t="s">
        <v>36</v>
      </c>
      <c r="J409" s="130"/>
      <c r="K409" s="102"/>
      <c r="L409" s="127" t="s">
        <v>36</v>
      </c>
      <c r="M409" s="128"/>
      <c r="N409" s="129"/>
    </row>
    <row r="410">
      <c r="A410" s="123" t="s">
        <v>195</v>
      </c>
      <c r="B410" s="91" t="s">
        <v>732</v>
      </c>
      <c r="C410" s="125" t="s">
        <v>277</v>
      </c>
      <c r="D410" s="102" t="s">
        <v>278</v>
      </c>
      <c r="E410" s="102" t="s">
        <v>215</v>
      </c>
      <c r="F410" s="102" t="s">
        <v>279</v>
      </c>
      <c r="G410" s="102" t="s">
        <v>280</v>
      </c>
      <c r="H410" s="125" t="s">
        <v>191</v>
      </c>
      <c r="I410" s="126" t="s">
        <v>36</v>
      </c>
      <c r="J410" s="102"/>
      <c r="K410" s="102"/>
      <c r="L410" s="127" t="s">
        <v>36</v>
      </c>
      <c r="M410" s="128"/>
      <c r="N410" s="129"/>
    </row>
    <row r="411">
      <c r="A411" s="123" t="s">
        <v>195</v>
      </c>
      <c r="B411" s="91" t="s">
        <v>733</v>
      </c>
      <c r="C411" s="123" t="s">
        <v>282</v>
      </c>
      <c r="D411" s="123" t="s">
        <v>283</v>
      </c>
      <c r="E411" s="123" t="s">
        <v>284</v>
      </c>
      <c r="F411" s="123" t="s">
        <v>285</v>
      </c>
      <c r="G411" s="123" t="s">
        <v>286</v>
      </c>
      <c r="H411" s="125" t="s">
        <v>191</v>
      </c>
      <c r="I411" s="126" t="s">
        <v>36</v>
      </c>
      <c r="J411" s="130"/>
      <c r="K411" s="102"/>
      <c r="L411" s="127" t="s">
        <v>36</v>
      </c>
      <c r="M411" s="128"/>
      <c r="N411" s="129"/>
    </row>
    <row r="412">
      <c r="A412" s="123" t="s">
        <v>195</v>
      </c>
      <c r="B412" s="91" t="s">
        <v>734</v>
      </c>
      <c r="C412" s="123" t="s">
        <v>288</v>
      </c>
      <c r="D412" s="123" t="s">
        <v>289</v>
      </c>
      <c r="E412" s="123" t="s">
        <v>290</v>
      </c>
      <c r="F412" s="123" t="s">
        <v>274</v>
      </c>
      <c r="G412" s="123" t="s">
        <v>291</v>
      </c>
      <c r="H412" s="125" t="s">
        <v>191</v>
      </c>
      <c r="I412" s="126" t="s">
        <v>36</v>
      </c>
      <c r="J412" s="130"/>
      <c r="K412" s="102"/>
      <c r="L412" s="127" t="s">
        <v>36</v>
      </c>
      <c r="M412" s="128"/>
      <c r="N412" s="129"/>
    </row>
    <row r="413">
      <c r="A413" s="123" t="s">
        <v>195</v>
      </c>
      <c r="B413" s="91" t="s">
        <v>735</v>
      </c>
      <c r="C413" s="123" t="s">
        <v>293</v>
      </c>
      <c r="D413" s="123" t="s">
        <v>294</v>
      </c>
      <c r="E413" s="123" t="s">
        <v>284</v>
      </c>
      <c r="F413" s="123" t="s">
        <v>295</v>
      </c>
      <c r="G413" s="123" t="s">
        <v>296</v>
      </c>
      <c r="H413" s="125" t="s">
        <v>191</v>
      </c>
      <c r="I413" s="126" t="s">
        <v>36</v>
      </c>
      <c r="J413" s="130"/>
      <c r="K413" s="102"/>
      <c r="L413" s="127" t="s">
        <v>36</v>
      </c>
      <c r="M413" s="128"/>
      <c r="N413" s="129"/>
    </row>
    <row r="414">
      <c r="A414" s="123" t="s">
        <v>195</v>
      </c>
      <c r="B414" s="91" t="s">
        <v>736</v>
      </c>
      <c r="C414" s="123" t="s">
        <v>298</v>
      </c>
      <c r="D414" s="123" t="s">
        <v>299</v>
      </c>
      <c r="E414" s="123" t="s">
        <v>300</v>
      </c>
      <c r="F414" s="123" t="s">
        <v>301</v>
      </c>
      <c r="G414" s="123" t="s">
        <v>302</v>
      </c>
      <c r="H414" s="125" t="s">
        <v>191</v>
      </c>
      <c r="I414" s="126" t="s">
        <v>36</v>
      </c>
      <c r="J414" s="130"/>
      <c r="K414" s="102"/>
      <c r="L414" s="127" t="s">
        <v>36</v>
      </c>
      <c r="M414" s="128"/>
      <c r="N414" s="129"/>
    </row>
    <row r="415">
      <c r="A415" s="123" t="s">
        <v>195</v>
      </c>
      <c r="B415" s="91" t="s">
        <v>737</v>
      </c>
      <c r="C415" s="123" t="s">
        <v>304</v>
      </c>
      <c r="D415" s="123" t="s">
        <v>305</v>
      </c>
      <c r="E415" s="123" t="s">
        <v>284</v>
      </c>
      <c r="F415" s="123" t="s">
        <v>306</v>
      </c>
      <c r="G415" s="123" t="s">
        <v>307</v>
      </c>
      <c r="H415" s="125" t="s">
        <v>191</v>
      </c>
      <c r="I415" s="126" t="s">
        <v>36</v>
      </c>
      <c r="J415" s="130"/>
      <c r="K415" s="102"/>
      <c r="L415" s="127" t="s">
        <v>36</v>
      </c>
      <c r="M415" s="128"/>
      <c r="N415" s="129"/>
    </row>
    <row r="416">
      <c r="A416" s="123" t="s">
        <v>195</v>
      </c>
      <c r="B416" s="91" t="s">
        <v>738</v>
      </c>
      <c r="C416" s="123" t="s">
        <v>309</v>
      </c>
      <c r="D416" s="123" t="s">
        <v>310</v>
      </c>
      <c r="E416" s="123" t="s">
        <v>284</v>
      </c>
      <c r="F416" s="123" t="s">
        <v>311</v>
      </c>
      <c r="G416" s="123" t="s">
        <v>312</v>
      </c>
      <c r="H416" s="125" t="s">
        <v>191</v>
      </c>
      <c r="I416" s="126" t="s">
        <v>36</v>
      </c>
      <c r="J416" s="130"/>
      <c r="K416" s="102"/>
      <c r="L416" s="127" t="s">
        <v>36</v>
      </c>
      <c r="M416" s="128"/>
      <c r="N416" s="129"/>
    </row>
    <row r="417">
      <c r="A417" s="123" t="s">
        <v>195</v>
      </c>
      <c r="B417" s="91" t="s">
        <v>739</v>
      </c>
      <c r="C417" s="123" t="s">
        <v>314</v>
      </c>
      <c r="D417" s="123" t="s">
        <v>315</v>
      </c>
      <c r="E417" s="123" t="s">
        <v>316</v>
      </c>
      <c r="F417" s="123" t="s">
        <v>317</v>
      </c>
      <c r="G417" s="123" t="s">
        <v>318</v>
      </c>
      <c r="H417" s="125" t="s">
        <v>191</v>
      </c>
      <c r="I417" s="126" t="s">
        <v>36</v>
      </c>
      <c r="J417" s="130"/>
      <c r="K417" s="102"/>
      <c r="L417" s="127" t="s">
        <v>36</v>
      </c>
      <c r="M417" s="128"/>
      <c r="N417" s="129"/>
    </row>
    <row r="418">
      <c r="A418" s="125" t="s">
        <v>319</v>
      </c>
      <c r="B418" s="91" t="s">
        <v>740</v>
      </c>
      <c r="C418" s="125" t="s">
        <v>197</v>
      </c>
      <c r="D418" s="102" t="s">
        <v>198</v>
      </c>
      <c r="E418" s="102" t="s">
        <v>199</v>
      </c>
      <c r="F418" s="102" t="s">
        <v>200</v>
      </c>
      <c r="G418" s="123" t="s">
        <v>201</v>
      </c>
      <c r="H418" s="125" t="s">
        <v>191</v>
      </c>
      <c r="I418" s="131" t="s">
        <v>111</v>
      </c>
      <c r="J418" s="102" t="s">
        <v>321</v>
      </c>
      <c r="K418" s="102"/>
      <c r="L418" s="127" t="s">
        <v>111</v>
      </c>
      <c r="M418" s="128"/>
      <c r="N418" s="129"/>
    </row>
    <row r="419">
      <c r="A419" s="123" t="s">
        <v>322</v>
      </c>
      <c r="B419" s="91" t="s">
        <v>741</v>
      </c>
      <c r="C419" s="125" t="s">
        <v>197</v>
      </c>
      <c r="D419" s="102" t="s">
        <v>198</v>
      </c>
      <c r="E419" s="102" t="s">
        <v>199</v>
      </c>
      <c r="F419" s="102" t="s">
        <v>200</v>
      </c>
      <c r="G419" s="123" t="s">
        <v>201</v>
      </c>
      <c r="H419" s="125" t="s">
        <v>191</v>
      </c>
      <c r="I419" s="132" t="s">
        <v>36</v>
      </c>
      <c r="J419" s="102"/>
      <c r="K419" s="102"/>
      <c r="L419" s="127" t="s">
        <v>36</v>
      </c>
      <c r="M419" s="128"/>
      <c r="N419" s="129"/>
    </row>
    <row r="420">
      <c r="A420" s="123" t="s">
        <v>322</v>
      </c>
      <c r="B420" s="91" t="s">
        <v>742</v>
      </c>
      <c r="C420" s="125" t="s">
        <v>203</v>
      </c>
      <c r="D420" s="102" t="s">
        <v>204</v>
      </c>
      <c r="E420" s="102" t="s">
        <v>199</v>
      </c>
      <c r="F420" s="102" t="s">
        <v>200</v>
      </c>
      <c r="G420" s="123" t="s">
        <v>205</v>
      </c>
      <c r="H420" s="125" t="s">
        <v>191</v>
      </c>
      <c r="I420" s="133" t="s">
        <v>111</v>
      </c>
      <c r="J420" s="123" t="s">
        <v>206</v>
      </c>
      <c r="K420" s="102"/>
      <c r="L420" s="127" t="s">
        <v>36</v>
      </c>
      <c r="M420" s="128"/>
      <c r="N420" s="129"/>
    </row>
    <row r="421">
      <c r="A421" s="123" t="s">
        <v>322</v>
      </c>
      <c r="B421" s="91" t="s">
        <v>743</v>
      </c>
      <c r="C421" s="125" t="s">
        <v>208</v>
      </c>
      <c r="D421" s="102" t="s">
        <v>209</v>
      </c>
      <c r="E421" s="102" t="s">
        <v>210</v>
      </c>
      <c r="F421" s="102" t="s">
        <v>211</v>
      </c>
      <c r="G421" s="123" t="s">
        <v>212</v>
      </c>
      <c r="H421" s="125" t="s">
        <v>191</v>
      </c>
      <c r="I421" s="133" t="s">
        <v>111</v>
      </c>
      <c r="J421" s="123" t="s">
        <v>326</v>
      </c>
      <c r="K421" s="102"/>
      <c r="L421" s="127" t="s">
        <v>111</v>
      </c>
      <c r="M421" s="128"/>
      <c r="N421" s="129"/>
    </row>
    <row r="422">
      <c r="A422" s="123" t="s">
        <v>322</v>
      </c>
      <c r="B422" s="91" t="s">
        <v>744</v>
      </c>
      <c r="C422" s="125" t="s">
        <v>214</v>
      </c>
      <c r="D422" s="102" t="s">
        <v>209</v>
      </c>
      <c r="E422" s="102" t="s">
        <v>215</v>
      </c>
      <c r="F422" s="102" t="s">
        <v>211</v>
      </c>
      <c r="G422" s="123" t="s">
        <v>216</v>
      </c>
      <c r="H422" s="125" t="s">
        <v>191</v>
      </c>
      <c r="I422" s="133" t="s">
        <v>111</v>
      </c>
      <c r="J422" s="123" t="s">
        <v>217</v>
      </c>
      <c r="K422" s="102"/>
      <c r="L422" s="127" t="s">
        <v>36</v>
      </c>
      <c r="M422" s="128"/>
      <c r="N422" s="129"/>
    </row>
    <row r="423">
      <c r="A423" s="123" t="s">
        <v>322</v>
      </c>
      <c r="B423" s="91" t="s">
        <v>745</v>
      </c>
      <c r="C423" s="125" t="s">
        <v>219</v>
      </c>
      <c r="D423" s="102" t="s">
        <v>220</v>
      </c>
      <c r="E423" s="102" t="s">
        <v>215</v>
      </c>
      <c r="F423" s="102" t="s">
        <v>211</v>
      </c>
      <c r="G423" s="102" t="s">
        <v>221</v>
      </c>
      <c r="H423" s="125" t="s">
        <v>191</v>
      </c>
      <c r="I423" s="132" t="s">
        <v>36</v>
      </c>
      <c r="J423" s="102"/>
      <c r="K423" s="102"/>
      <c r="L423" s="127" t="s">
        <v>36</v>
      </c>
      <c r="M423" s="128"/>
      <c r="N423" s="129"/>
    </row>
    <row r="424">
      <c r="A424" s="123" t="s">
        <v>322</v>
      </c>
      <c r="B424" s="91" t="s">
        <v>746</v>
      </c>
      <c r="C424" s="125" t="s">
        <v>223</v>
      </c>
      <c r="D424" s="102" t="s">
        <v>224</v>
      </c>
      <c r="E424" s="102" t="s">
        <v>215</v>
      </c>
      <c r="F424" s="102" t="s">
        <v>225</v>
      </c>
      <c r="G424" s="102" t="s">
        <v>226</v>
      </c>
      <c r="H424" s="125" t="s">
        <v>191</v>
      </c>
      <c r="I424" s="133" t="s">
        <v>111</v>
      </c>
      <c r="J424" s="123" t="s">
        <v>330</v>
      </c>
      <c r="K424" s="102"/>
      <c r="L424" s="127" t="s">
        <v>111</v>
      </c>
      <c r="M424" s="128"/>
      <c r="N424" s="129"/>
    </row>
    <row r="425">
      <c r="A425" s="123" t="s">
        <v>322</v>
      </c>
      <c r="B425" s="91" t="s">
        <v>747</v>
      </c>
      <c r="C425" s="125" t="s">
        <v>228</v>
      </c>
      <c r="D425" s="102" t="s">
        <v>229</v>
      </c>
      <c r="E425" s="102" t="s">
        <v>215</v>
      </c>
      <c r="F425" s="102" t="s">
        <v>230</v>
      </c>
      <c r="G425" s="102" t="s">
        <v>231</v>
      </c>
      <c r="H425" s="125" t="s">
        <v>191</v>
      </c>
      <c r="I425" s="133" t="s">
        <v>111</v>
      </c>
      <c r="J425" s="123" t="s">
        <v>332</v>
      </c>
      <c r="K425" s="102"/>
      <c r="L425" s="127" t="s">
        <v>111</v>
      </c>
      <c r="M425" s="128"/>
      <c r="N425" s="129"/>
    </row>
    <row r="426">
      <c r="A426" s="123" t="s">
        <v>322</v>
      </c>
      <c r="B426" s="91" t="s">
        <v>748</v>
      </c>
      <c r="C426" s="125" t="s">
        <v>233</v>
      </c>
      <c r="D426" s="102" t="s">
        <v>234</v>
      </c>
      <c r="E426" s="102" t="s">
        <v>235</v>
      </c>
      <c r="F426" s="134" t="s">
        <v>236</v>
      </c>
      <c r="G426" s="102" t="s">
        <v>237</v>
      </c>
      <c r="H426" s="125" t="s">
        <v>191</v>
      </c>
      <c r="I426" s="132" t="s">
        <v>36</v>
      </c>
      <c r="J426" s="102"/>
      <c r="K426" s="102"/>
      <c r="L426" s="127" t="s">
        <v>36</v>
      </c>
      <c r="M426" s="128"/>
      <c r="N426" s="129"/>
    </row>
    <row r="427">
      <c r="A427" s="123" t="s">
        <v>322</v>
      </c>
      <c r="B427" s="91" t="s">
        <v>749</v>
      </c>
      <c r="C427" s="135" t="s">
        <v>239</v>
      </c>
      <c r="D427" s="135" t="s">
        <v>240</v>
      </c>
      <c r="E427" s="102" t="s">
        <v>241</v>
      </c>
      <c r="F427" s="102" t="s">
        <v>200</v>
      </c>
      <c r="G427" s="123" t="s">
        <v>242</v>
      </c>
      <c r="H427" s="125" t="s">
        <v>191</v>
      </c>
      <c r="I427" s="133" t="s">
        <v>111</v>
      </c>
      <c r="J427" s="123" t="s">
        <v>335</v>
      </c>
      <c r="K427" s="102"/>
      <c r="L427" s="127" t="s">
        <v>36</v>
      </c>
      <c r="M427" s="128"/>
      <c r="N427" s="129"/>
    </row>
    <row r="428">
      <c r="A428" s="123" t="s">
        <v>322</v>
      </c>
      <c r="B428" s="91" t="s">
        <v>750</v>
      </c>
      <c r="C428" s="135" t="s">
        <v>244</v>
      </c>
      <c r="D428" s="135" t="s">
        <v>245</v>
      </c>
      <c r="E428" s="102" t="s">
        <v>241</v>
      </c>
      <c r="F428" s="102" t="s">
        <v>200</v>
      </c>
      <c r="G428" s="102" t="s">
        <v>246</v>
      </c>
      <c r="H428" s="125" t="s">
        <v>191</v>
      </c>
      <c r="I428" s="132" t="s">
        <v>36</v>
      </c>
      <c r="J428" s="102"/>
      <c r="K428" s="102"/>
      <c r="L428" s="127" t="s">
        <v>36</v>
      </c>
      <c r="M428" s="128"/>
      <c r="N428" s="129"/>
    </row>
    <row r="429">
      <c r="A429" s="123" t="s">
        <v>322</v>
      </c>
      <c r="B429" s="91" t="s">
        <v>751</v>
      </c>
      <c r="C429" s="135" t="s">
        <v>248</v>
      </c>
      <c r="D429" s="102" t="s">
        <v>224</v>
      </c>
      <c r="E429" s="102" t="s">
        <v>215</v>
      </c>
      <c r="F429" s="102" t="s">
        <v>200</v>
      </c>
      <c r="G429" s="102" t="s">
        <v>226</v>
      </c>
      <c r="H429" s="125" t="s">
        <v>191</v>
      </c>
      <c r="I429" s="133" t="s">
        <v>111</v>
      </c>
      <c r="J429" s="123" t="s">
        <v>330</v>
      </c>
      <c r="K429" s="102"/>
      <c r="L429" s="127" t="s">
        <v>111</v>
      </c>
      <c r="M429" s="128"/>
      <c r="N429" s="129"/>
    </row>
    <row r="430">
      <c r="A430" s="123" t="s">
        <v>322</v>
      </c>
      <c r="B430" s="91" t="s">
        <v>752</v>
      </c>
      <c r="C430" s="135" t="s">
        <v>250</v>
      </c>
      <c r="D430" s="102" t="s">
        <v>229</v>
      </c>
      <c r="E430" s="102" t="s">
        <v>215</v>
      </c>
      <c r="F430" s="102" t="s">
        <v>230</v>
      </c>
      <c r="G430" s="102" t="s">
        <v>231</v>
      </c>
      <c r="H430" s="125" t="s">
        <v>191</v>
      </c>
      <c r="I430" s="133" t="s">
        <v>111</v>
      </c>
      <c r="J430" s="123" t="s">
        <v>332</v>
      </c>
      <c r="K430" s="102"/>
      <c r="L430" s="127" t="s">
        <v>111</v>
      </c>
      <c r="M430" s="128"/>
      <c r="N430" s="129"/>
    </row>
    <row r="431">
      <c r="A431" s="123" t="s">
        <v>322</v>
      </c>
      <c r="B431" s="91" t="s">
        <v>753</v>
      </c>
      <c r="C431" s="125" t="s">
        <v>252</v>
      </c>
      <c r="D431" s="135" t="s">
        <v>253</v>
      </c>
      <c r="E431" s="102" t="s">
        <v>215</v>
      </c>
      <c r="F431" s="102" t="s">
        <v>254</v>
      </c>
      <c r="G431" s="123" t="s">
        <v>255</v>
      </c>
      <c r="H431" s="125" t="s">
        <v>191</v>
      </c>
      <c r="I431" s="132" t="s">
        <v>36</v>
      </c>
      <c r="J431" s="123" t="s">
        <v>340</v>
      </c>
      <c r="K431" s="102"/>
      <c r="L431" s="127" t="s">
        <v>36</v>
      </c>
      <c r="M431" s="128"/>
      <c r="N431" s="129"/>
    </row>
    <row r="432">
      <c r="A432" s="123" t="s">
        <v>322</v>
      </c>
      <c r="B432" s="91" t="s">
        <v>754</v>
      </c>
      <c r="C432" s="125" t="s">
        <v>257</v>
      </c>
      <c r="D432" s="135" t="s">
        <v>258</v>
      </c>
      <c r="E432" s="102" t="s">
        <v>215</v>
      </c>
      <c r="F432" s="102" t="s">
        <v>259</v>
      </c>
      <c r="G432" s="123" t="s">
        <v>260</v>
      </c>
      <c r="H432" s="125" t="s">
        <v>191</v>
      </c>
      <c r="I432" s="133" t="s">
        <v>111</v>
      </c>
      <c r="J432" s="136" t="s">
        <v>342</v>
      </c>
      <c r="K432" s="102"/>
      <c r="L432" s="127" t="s">
        <v>111</v>
      </c>
      <c r="M432" s="128"/>
      <c r="N432" s="129"/>
    </row>
    <row r="433">
      <c r="A433" s="123" t="s">
        <v>322</v>
      </c>
      <c r="B433" s="91" t="s">
        <v>755</v>
      </c>
      <c r="C433" s="125" t="s">
        <v>262</v>
      </c>
      <c r="D433" s="135" t="s">
        <v>263</v>
      </c>
      <c r="E433" s="102" t="s">
        <v>215</v>
      </c>
      <c r="F433" s="102" t="s">
        <v>264</v>
      </c>
      <c r="G433" s="123" t="s">
        <v>265</v>
      </c>
      <c r="H433" s="125" t="s">
        <v>191</v>
      </c>
      <c r="I433" s="133" t="s">
        <v>111</v>
      </c>
      <c r="J433" s="136" t="s">
        <v>342</v>
      </c>
      <c r="K433" s="102"/>
      <c r="L433" s="127" t="s">
        <v>344</v>
      </c>
      <c r="M433" s="128"/>
      <c r="N433" s="129"/>
    </row>
    <row r="434">
      <c r="A434" s="123" t="s">
        <v>322</v>
      </c>
      <c r="B434" s="91" t="s">
        <v>756</v>
      </c>
      <c r="C434" s="125" t="s">
        <v>262</v>
      </c>
      <c r="D434" s="135" t="s">
        <v>267</v>
      </c>
      <c r="E434" s="102" t="s">
        <v>215</v>
      </c>
      <c r="F434" s="102" t="s">
        <v>268</v>
      </c>
      <c r="G434" s="123" t="s">
        <v>269</v>
      </c>
      <c r="H434" s="125" t="s">
        <v>191</v>
      </c>
      <c r="I434" s="133" t="s">
        <v>111</v>
      </c>
      <c r="J434" s="136" t="s">
        <v>342</v>
      </c>
      <c r="K434" s="102"/>
      <c r="L434" s="127" t="s">
        <v>111</v>
      </c>
      <c r="M434" s="128"/>
      <c r="N434" s="129"/>
    </row>
    <row r="435">
      <c r="A435" s="123" t="s">
        <v>322</v>
      </c>
      <c r="B435" s="91" t="s">
        <v>757</v>
      </c>
      <c r="C435" s="123" t="s">
        <v>271</v>
      </c>
      <c r="D435" s="123" t="s">
        <v>272</v>
      </c>
      <c r="E435" s="123" t="s">
        <v>273</v>
      </c>
      <c r="F435" s="123" t="s">
        <v>274</v>
      </c>
      <c r="G435" s="123" t="s">
        <v>275</v>
      </c>
      <c r="H435" s="125" t="s">
        <v>191</v>
      </c>
      <c r="I435" s="131" t="s">
        <v>111</v>
      </c>
      <c r="J435" s="136" t="s">
        <v>342</v>
      </c>
      <c r="K435" s="136"/>
      <c r="L435" s="137" t="s">
        <v>111</v>
      </c>
      <c r="M435" s="138"/>
      <c r="N435" s="139"/>
    </row>
    <row r="436">
      <c r="A436" s="123" t="s">
        <v>322</v>
      </c>
      <c r="B436" s="91" t="s">
        <v>758</v>
      </c>
      <c r="C436" s="125" t="s">
        <v>277</v>
      </c>
      <c r="D436" s="102" t="s">
        <v>278</v>
      </c>
      <c r="E436" s="102" t="s">
        <v>215</v>
      </c>
      <c r="F436" s="102" t="s">
        <v>279</v>
      </c>
      <c r="G436" s="102" t="s">
        <v>280</v>
      </c>
      <c r="H436" s="125" t="s">
        <v>191</v>
      </c>
      <c r="I436" s="126" t="s">
        <v>36</v>
      </c>
      <c r="J436" s="102"/>
      <c r="K436" s="102"/>
      <c r="L436" s="127" t="s">
        <v>36</v>
      </c>
      <c r="M436" s="128"/>
      <c r="N436" s="129"/>
    </row>
    <row r="437">
      <c r="A437" s="123" t="s">
        <v>322</v>
      </c>
      <c r="B437" s="91" t="s">
        <v>759</v>
      </c>
      <c r="C437" s="123" t="s">
        <v>282</v>
      </c>
      <c r="D437" s="123" t="s">
        <v>283</v>
      </c>
      <c r="E437" s="123" t="s">
        <v>284</v>
      </c>
      <c r="F437" s="123" t="s">
        <v>285</v>
      </c>
      <c r="G437" s="123" t="s">
        <v>286</v>
      </c>
      <c r="H437" s="125" t="s">
        <v>191</v>
      </c>
      <c r="I437" s="126" t="s">
        <v>36</v>
      </c>
      <c r="J437" s="130"/>
      <c r="K437" s="102"/>
      <c r="L437" s="127" t="s">
        <v>36</v>
      </c>
      <c r="M437" s="128"/>
      <c r="N437" s="129"/>
    </row>
    <row r="438">
      <c r="A438" s="123" t="s">
        <v>322</v>
      </c>
      <c r="B438" s="91" t="s">
        <v>760</v>
      </c>
      <c r="C438" s="123" t="s">
        <v>288</v>
      </c>
      <c r="D438" s="123" t="s">
        <v>289</v>
      </c>
      <c r="E438" s="123" t="s">
        <v>290</v>
      </c>
      <c r="F438" s="123" t="s">
        <v>274</v>
      </c>
      <c r="G438" s="123" t="s">
        <v>291</v>
      </c>
      <c r="H438" s="125" t="s">
        <v>191</v>
      </c>
      <c r="I438" s="126" t="s">
        <v>36</v>
      </c>
      <c r="J438" s="130"/>
      <c r="K438" s="102"/>
      <c r="L438" s="127" t="s">
        <v>36</v>
      </c>
      <c r="M438" s="128"/>
      <c r="N438" s="129"/>
    </row>
    <row r="439">
      <c r="A439" s="123" t="s">
        <v>322</v>
      </c>
      <c r="B439" s="91" t="s">
        <v>761</v>
      </c>
      <c r="C439" s="123" t="s">
        <v>293</v>
      </c>
      <c r="D439" s="123" t="s">
        <v>294</v>
      </c>
      <c r="E439" s="123" t="s">
        <v>284</v>
      </c>
      <c r="F439" s="123" t="s">
        <v>295</v>
      </c>
      <c r="G439" s="123" t="s">
        <v>296</v>
      </c>
      <c r="H439" s="125" t="s">
        <v>191</v>
      </c>
      <c r="I439" s="126" t="s">
        <v>36</v>
      </c>
      <c r="J439" s="130"/>
      <c r="K439" s="102"/>
      <c r="L439" s="127" t="s">
        <v>36</v>
      </c>
      <c r="M439" s="128"/>
      <c r="N439" s="129"/>
    </row>
    <row r="440">
      <c r="A440" s="123" t="s">
        <v>322</v>
      </c>
      <c r="B440" s="91" t="s">
        <v>762</v>
      </c>
      <c r="C440" s="123" t="s">
        <v>298</v>
      </c>
      <c r="D440" s="123" t="s">
        <v>299</v>
      </c>
      <c r="E440" s="123" t="s">
        <v>300</v>
      </c>
      <c r="F440" s="123" t="s">
        <v>301</v>
      </c>
      <c r="G440" s="123" t="s">
        <v>302</v>
      </c>
      <c r="H440" s="125" t="s">
        <v>191</v>
      </c>
      <c r="I440" s="126" t="s">
        <v>36</v>
      </c>
      <c r="J440" s="130"/>
      <c r="K440" s="102"/>
      <c r="L440" s="127" t="s">
        <v>36</v>
      </c>
      <c r="M440" s="128"/>
      <c r="N440" s="129"/>
    </row>
    <row r="441">
      <c r="A441" s="123" t="s">
        <v>322</v>
      </c>
      <c r="B441" s="91" t="s">
        <v>763</v>
      </c>
      <c r="C441" s="123" t="s">
        <v>304</v>
      </c>
      <c r="D441" s="123" t="s">
        <v>305</v>
      </c>
      <c r="E441" s="123" t="s">
        <v>284</v>
      </c>
      <c r="F441" s="123" t="s">
        <v>306</v>
      </c>
      <c r="G441" s="123" t="s">
        <v>307</v>
      </c>
      <c r="H441" s="125" t="s">
        <v>191</v>
      </c>
      <c r="I441" s="126" t="s">
        <v>36</v>
      </c>
      <c r="J441" s="130"/>
      <c r="K441" s="102"/>
      <c r="L441" s="127" t="s">
        <v>36</v>
      </c>
      <c r="M441" s="128"/>
      <c r="N441" s="129"/>
    </row>
    <row r="442">
      <c r="A442" s="123" t="s">
        <v>322</v>
      </c>
      <c r="B442" s="91" t="s">
        <v>764</v>
      </c>
      <c r="C442" s="123" t="s">
        <v>309</v>
      </c>
      <c r="D442" s="123" t="s">
        <v>310</v>
      </c>
      <c r="E442" s="123" t="s">
        <v>284</v>
      </c>
      <c r="F442" s="123" t="s">
        <v>311</v>
      </c>
      <c r="G442" s="123" t="s">
        <v>312</v>
      </c>
      <c r="H442" s="125" t="s">
        <v>191</v>
      </c>
      <c r="I442" s="126" t="s">
        <v>36</v>
      </c>
      <c r="J442" s="130"/>
      <c r="K442" s="102"/>
      <c r="L442" s="127" t="s">
        <v>36</v>
      </c>
      <c r="M442" s="128"/>
      <c r="N442" s="129"/>
    </row>
    <row r="443">
      <c r="A443" s="123" t="s">
        <v>322</v>
      </c>
      <c r="B443" s="91" t="s">
        <v>765</v>
      </c>
      <c r="C443" s="123" t="s">
        <v>314</v>
      </c>
      <c r="D443" s="123" t="s">
        <v>315</v>
      </c>
      <c r="E443" s="123" t="s">
        <v>316</v>
      </c>
      <c r="F443" s="123" t="s">
        <v>317</v>
      </c>
      <c r="G443" s="123" t="s">
        <v>318</v>
      </c>
      <c r="H443" s="125" t="s">
        <v>191</v>
      </c>
      <c r="I443" s="126" t="s">
        <v>36</v>
      </c>
      <c r="J443" s="130"/>
      <c r="K443" s="102"/>
      <c r="L443" s="127" t="s">
        <v>36</v>
      </c>
      <c r="M443" s="128"/>
      <c r="N443" s="129"/>
    </row>
    <row r="444">
      <c r="A444" s="125" t="s">
        <v>355</v>
      </c>
      <c r="B444" s="91" t="s">
        <v>766</v>
      </c>
      <c r="C444" s="135" t="s">
        <v>197</v>
      </c>
      <c r="D444" s="123" t="s">
        <v>198</v>
      </c>
      <c r="E444" s="123" t="s">
        <v>199</v>
      </c>
      <c r="F444" s="123" t="s">
        <v>200</v>
      </c>
      <c r="G444" s="123" t="s">
        <v>201</v>
      </c>
      <c r="H444" s="125" t="s">
        <v>191</v>
      </c>
      <c r="I444" s="133" t="s">
        <v>111</v>
      </c>
      <c r="J444" s="123" t="s">
        <v>357</v>
      </c>
      <c r="K444" s="123"/>
      <c r="L444" s="140" t="s">
        <v>111</v>
      </c>
      <c r="M444" s="141"/>
      <c r="N444" s="142"/>
    </row>
    <row r="445">
      <c r="A445" s="125" t="s">
        <v>355</v>
      </c>
      <c r="B445" s="91" t="s">
        <v>767</v>
      </c>
      <c r="C445" s="135" t="s">
        <v>203</v>
      </c>
      <c r="D445" s="123" t="s">
        <v>204</v>
      </c>
      <c r="E445" s="123" t="s">
        <v>199</v>
      </c>
      <c r="F445" s="123" t="s">
        <v>200</v>
      </c>
      <c r="G445" s="123" t="s">
        <v>205</v>
      </c>
      <c r="H445" s="125" t="s">
        <v>191</v>
      </c>
      <c r="I445" s="133" t="s">
        <v>111</v>
      </c>
      <c r="J445" s="102" t="s">
        <v>206</v>
      </c>
      <c r="K445" s="123"/>
      <c r="L445" s="140" t="s">
        <v>36</v>
      </c>
      <c r="M445" s="141"/>
      <c r="N445" s="142"/>
    </row>
    <row r="446">
      <c r="A446" s="125" t="s">
        <v>355</v>
      </c>
      <c r="B446" s="91" t="s">
        <v>768</v>
      </c>
      <c r="C446" s="135" t="s">
        <v>208</v>
      </c>
      <c r="D446" s="123" t="s">
        <v>209</v>
      </c>
      <c r="E446" s="123" t="s">
        <v>210</v>
      </c>
      <c r="F446" s="123" t="s">
        <v>211</v>
      </c>
      <c r="G446" s="123" t="s">
        <v>212</v>
      </c>
      <c r="H446" s="125" t="s">
        <v>191</v>
      </c>
      <c r="I446" s="132" t="s">
        <v>36</v>
      </c>
      <c r="J446" s="102"/>
      <c r="K446" s="123"/>
      <c r="L446" s="140" t="s">
        <v>36</v>
      </c>
      <c r="M446" s="141"/>
      <c r="N446" s="142"/>
    </row>
    <row r="447">
      <c r="A447" s="125" t="s">
        <v>355</v>
      </c>
      <c r="B447" s="91" t="s">
        <v>769</v>
      </c>
      <c r="C447" s="135" t="s">
        <v>214</v>
      </c>
      <c r="D447" s="123" t="s">
        <v>209</v>
      </c>
      <c r="E447" s="123" t="s">
        <v>215</v>
      </c>
      <c r="F447" s="123" t="s">
        <v>211</v>
      </c>
      <c r="G447" s="123" t="s">
        <v>216</v>
      </c>
      <c r="H447" s="125" t="s">
        <v>191</v>
      </c>
      <c r="I447" s="133" t="s">
        <v>111</v>
      </c>
      <c r="J447" s="102" t="s">
        <v>217</v>
      </c>
      <c r="K447" s="123"/>
      <c r="L447" s="140" t="s">
        <v>36</v>
      </c>
      <c r="M447" s="141"/>
      <c r="N447" s="142"/>
    </row>
    <row r="448">
      <c r="A448" s="125" t="s">
        <v>355</v>
      </c>
      <c r="B448" s="91" t="s">
        <v>770</v>
      </c>
      <c r="C448" s="135" t="s">
        <v>219</v>
      </c>
      <c r="D448" s="123" t="s">
        <v>220</v>
      </c>
      <c r="E448" s="123" t="s">
        <v>215</v>
      </c>
      <c r="F448" s="123" t="s">
        <v>211</v>
      </c>
      <c r="G448" s="123" t="s">
        <v>221</v>
      </c>
      <c r="H448" s="125" t="s">
        <v>191</v>
      </c>
      <c r="I448" s="132" t="s">
        <v>36</v>
      </c>
      <c r="J448" s="102"/>
      <c r="K448" s="123"/>
      <c r="L448" s="140" t="s">
        <v>36</v>
      </c>
      <c r="M448" s="141"/>
      <c r="N448" s="142"/>
    </row>
    <row r="449">
      <c r="A449" s="125" t="s">
        <v>355</v>
      </c>
      <c r="B449" s="91" t="s">
        <v>771</v>
      </c>
      <c r="C449" s="135" t="s">
        <v>223</v>
      </c>
      <c r="D449" s="123" t="s">
        <v>224</v>
      </c>
      <c r="E449" s="123" t="s">
        <v>215</v>
      </c>
      <c r="F449" s="123" t="s">
        <v>225</v>
      </c>
      <c r="G449" s="123" t="s">
        <v>226</v>
      </c>
      <c r="H449" s="125" t="s">
        <v>191</v>
      </c>
      <c r="I449" s="132" t="s">
        <v>36</v>
      </c>
      <c r="J449" s="102"/>
      <c r="K449" s="123"/>
      <c r="L449" s="140" t="s">
        <v>36</v>
      </c>
      <c r="M449" s="141"/>
      <c r="N449" s="142"/>
    </row>
    <row r="450">
      <c r="A450" s="125" t="s">
        <v>355</v>
      </c>
      <c r="B450" s="91" t="s">
        <v>772</v>
      </c>
      <c r="C450" s="135" t="s">
        <v>228</v>
      </c>
      <c r="D450" s="123" t="s">
        <v>229</v>
      </c>
      <c r="E450" s="123" t="s">
        <v>215</v>
      </c>
      <c r="F450" s="123" t="s">
        <v>230</v>
      </c>
      <c r="G450" s="123" t="s">
        <v>231</v>
      </c>
      <c r="H450" s="125" t="s">
        <v>191</v>
      </c>
      <c r="I450" s="132" t="s">
        <v>36</v>
      </c>
      <c r="J450" s="102"/>
      <c r="K450" s="123"/>
      <c r="L450" s="140" t="s">
        <v>36</v>
      </c>
      <c r="M450" s="141"/>
      <c r="N450" s="142"/>
    </row>
    <row r="451">
      <c r="A451" s="125" t="s">
        <v>355</v>
      </c>
      <c r="B451" s="91" t="s">
        <v>773</v>
      </c>
      <c r="C451" s="135" t="s">
        <v>233</v>
      </c>
      <c r="D451" s="123" t="s">
        <v>234</v>
      </c>
      <c r="E451" s="123" t="s">
        <v>235</v>
      </c>
      <c r="F451" s="143" t="s">
        <v>236</v>
      </c>
      <c r="G451" s="123" t="s">
        <v>237</v>
      </c>
      <c r="H451" s="125" t="s">
        <v>191</v>
      </c>
      <c r="I451" s="133" t="s">
        <v>111</v>
      </c>
      <c r="J451" s="123" t="s">
        <v>357</v>
      </c>
      <c r="K451" s="123"/>
      <c r="L451" s="140" t="s">
        <v>111</v>
      </c>
      <c r="M451" s="141"/>
      <c r="N451" s="142"/>
    </row>
    <row r="452">
      <c r="A452" s="125" t="s">
        <v>355</v>
      </c>
      <c r="B452" s="91" t="s">
        <v>774</v>
      </c>
      <c r="C452" s="135" t="s">
        <v>239</v>
      </c>
      <c r="D452" s="135" t="s">
        <v>240</v>
      </c>
      <c r="E452" s="123" t="s">
        <v>241</v>
      </c>
      <c r="F452" s="123" t="s">
        <v>200</v>
      </c>
      <c r="G452" s="123" t="s">
        <v>242</v>
      </c>
      <c r="H452" s="125" t="s">
        <v>191</v>
      </c>
      <c r="I452" s="132" t="s">
        <v>36</v>
      </c>
      <c r="J452" s="102"/>
      <c r="K452" s="123"/>
      <c r="L452" s="140" t="s">
        <v>36</v>
      </c>
      <c r="M452" s="141"/>
      <c r="N452" s="142"/>
    </row>
    <row r="453">
      <c r="A453" s="125" t="s">
        <v>355</v>
      </c>
      <c r="B453" s="91" t="s">
        <v>775</v>
      </c>
      <c r="C453" s="135" t="s">
        <v>244</v>
      </c>
      <c r="D453" s="135" t="s">
        <v>245</v>
      </c>
      <c r="E453" s="123" t="s">
        <v>241</v>
      </c>
      <c r="F453" s="123" t="s">
        <v>200</v>
      </c>
      <c r="G453" s="123" t="s">
        <v>246</v>
      </c>
      <c r="H453" s="125" t="s">
        <v>191</v>
      </c>
      <c r="I453" s="132" t="s">
        <v>36</v>
      </c>
      <c r="J453" s="102"/>
      <c r="K453" s="123"/>
      <c r="L453" s="140" t="s">
        <v>36</v>
      </c>
      <c r="M453" s="141"/>
      <c r="N453" s="142"/>
    </row>
    <row r="454">
      <c r="A454" s="125" t="s">
        <v>355</v>
      </c>
      <c r="B454" s="91" t="s">
        <v>776</v>
      </c>
      <c r="C454" s="135" t="s">
        <v>248</v>
      </c>
      <c r="D454" s="123" t="s">
        <v>224</v>
      </c>
      <c r="E454" s="123" t="s">
        <v>215</v>
      </c>
      <c r="F454" s="123" t="s">
        <v>200</v>
      </c>
      <c r="G454" s="123" t="s">
        <v>226</v>
      </c>
      <c r="H454" s="125" t="s">
        <v>191</v>
      </c>
      <c r="I454" s="132" t="s">
        <v>36</v>
      </c>
      <c r="J454" s="102"/>
      <c r="K454" s="123"/>
      <c r="L454" s="140" t="s">
        <v>36</v>
      </c>
      <c r="M454" s="141"/>
      <c r="N454" s="142"/>
    </row>
    <row r="455">
      <c r="A455" s="125" t="s">
        <v>355</v>
      </c>
      <c r="B455" s="91" t="s">
        <v>777</v>
      </c>
      <c r="C455" s="135" t="s">
        <v>250</v>
      </c>
      <c r="D455" s="123" t="s">
        <v>229</v>
      </c>
      <c r="E455" s="123" t="s">
        <v>215</v>
      </c>
      <c r="F455" s="123" t="s">
        <v>230</v>
      </c>
      <c r="G455" s="123" t="s">
        <v>231</v>
      </c>
      <c r="H455" s="125" t="s">
        <v>191</v>
      </c>
      <c r="I455" s="132" t="s">
        <v>36</v>
      </c>
      <c r="J455" s="102"/>
      <c r="K455" s="123"/>
      <c r="L455" s="140" t="s">
        <v>36</v>
      </c>
      <c r="M455" s="141"/>
      <c r="N455" s="142"/>
    </row>
    <row r="456">
      <c r="A456" s="125" t="s">
        <v>355</v>
      </c>
      <c r="B456" s="91" t="s">
        <v>778</v>
      </c>
      <c r="C456" s="135" t="s">
        <v>252</v>
      </c>
      <c r="D456" s="135" t="s">
        <v>253</v>
      </c>
      <c r="E456" s="123" t="s">
        <v>215</v>
      </c>
      <c r="F456" s="123" t="s">
        <v>254</v>
      </c>
      <c r="G456" s="123" t="s">
        <v>255</v>
      </c>
      <c r="H456" s="125" t="s">
        <v>191</v>
      </c>
      <c r="I456" s="133" t="s">
        <v>111</v>
      </c>
      <c r="J456" s="123" t="s">
        <v>357</v>
      </c>
      <c r="K456" s="123"/>
      <c r="L456" s="140" t="s">
        <v>111</v>
      </c>
      <c r="M456" s="141"/>
      <c r="N456" s="142"/>
    </row>
    <row r="457">
      <c r="A457" s="125" t="s">
        <v>355</v>
      </c>
      <c r="B457" s="91" t="s">
        <v>779</v>
      </c>
      <c r="C457" s="135" t="s">
        <v>257</v>
      </c>
      <c r="D457" s="135" t="s">
        <v>258</v>
      </c>
      <c r="E457" s="123" t="s">
        <v>215</v>
      </c>
      <c r="F457" s="123" t="s">
        <v>259</v>
      </c>
      <c r="G457" s="123" t="s">
        <v>260</v>
      </c>
      <c r="H457" s="125" t="s">
        <v>191</v>
      </c>
      <c r="I457" s="133" t="s">
        <v>111</v>
      </c>
      <c r="J457" s="123" t="s">
        <v>357</v>
      </c>
      <c r="K457" s="123"/>
      <c r="L457" s="140" t="s">
        <v>111</v>
      </c>
      <c r="M457" s="141"/>
      <c r="N457" s="142"/>
    </row>
    <row r="458">
      <c r="A458" s="125" t="s">
        <v>355</v>
      </c>
      <c r="B458" s="91" t="s">
        <v>780</v>
      </c>
      <c r="C458" s="135" t="s">
        <v>262</v>
      </c>
      <c r="D458" s="135" t="s">
        <v>263</v>
      </c>
      <c r="E458" s="123" t="s">
        <v>215</v>
      </c>
      <c r="F458" s="123" t="s">
        <v>264</v>
      </c>
      <c r="G458" s="123" t="s">
        <v>265</v>
      </c>
      <c r="H458" s="125" t="s">
        <v>191</v>
      </c>
      <c r="I458" s="133" t="s">
        <v>111</v>
      </c>
      <c r="J458" s="123" t="s">
        <v>357</v>
      </c>
      <c r="K458" s="123"/>
      <c r="L458" s="140" t="s">
        <v>111</v>
      </c>
      <c r="M458" s="141"/>
      <c r="N458" s="142"/>
    </row>
    <row r="459">
      <c r="A459" s="125" t="s">
        <v>355</v>
      </c>
      <c r="B459" s="91" t="s">
        <v>781</v>
      </c>
      <c r="C459" s="135" t="s">
        <v>262</v>
      </c>
      <c r="D459" s="135" t="s">
        <v>267</v>
      </c>
      <c r="E459" s="123" t="s">
        <v>215</v>
      </c>
      <c r="F459" s="123" t="s">
        <v>268</v>
      </c>
      <c r="G459" s="123" t="s">
        <v>269</v>
      </c>
      <c r="H459" s="125" t="s">
        <v>191</v>
      </c>
      <c r="I459" s="133" t="s">
        <v>111</v>
      </c>
      <c r="J459" s="123" t="s">
        <v>357</v>
      </c>
      <c r="K459" s="123"/>
      <c r="L459" s="140" t="s">
        <v>111</v>
      </c>
      <c r="M459" s="141"/>
      <c r="N459" s="142"/>
    </row>
    <row r="460">
      <c r="A460" s="125" t="s">
        <v>355</v>
      </c>
      <c r="B460" s="91" t="s">
        <v>782</v>
      </c>
      <c r="C460" s="123" t="s">
        <v>271</v>
      </c>
      <c r="D460" s="123" t="s">
        <v>272</v>
      </c>
      <c r="E460" s="123" t="s">
        <v>273</v>
      </c>
      <c r="F460" s="123" t="s">
        <v>274</v>
      </c>
      <c r="G460" s="123" t="s">
        <v>275</v>
      </c>
      <c r="H460" s="125" t="s">
        <v>191</v>
      </c>
      <c r="I460" s="132" t="s">
        <v>36</v>
      </c>
      <c r="J460" s="130"/>
      <c r="K460" s="123"/>
      <c r="L460" s="140" t="s">
        <v>36</v>
      </c>
      <c r="M460" s="141"/>
      <c r="N460" s="142"/>
    </row>
    <row r="461">
      <c r="A461" s="125" t="s">
        <v>355</v>
      </c>
      <c r="B461" s="91" t="s">
        <v>783</v>
      </c>
      <c r="C461" s="135" t="s">
        <v>277</v>
      </c>
      <c r="D461" s="123" t="s">
        <v>278</v>
      </c>
      <c r="E461" s="123" t="s">
        <v>215</v>
      </c>
      <c r="F461" s="123" t="s">
        <v>279</v>
      </c>
      <c r="G461" s="123" t="s">
        <v>280</v>
      </c>
      <c r="H461" s="125" t="s">
        <v>191</v>
      </c>
      <c r="I461" s="132" t="s">
        <v>36</v>
      </c>
      <c r="J461" s="102"/>
      <c r="K461" s="123"/>
      <c r="L461" s="140" t="s">
        <v>36</v>
      </c>
      <c r="M461" s="141"/>
      <c r="N461" s="142"/>
    </row>
    <row r="462">
      <c r="A462" s="125" t="s">
        <v>355</v>
      </c>
      <c r="B462" s="91" t="s">
        <v>784</v>
      </c>
      <c r="C462" s="123" t="s">
        <v>282</v>
      </c>
      <c r="D462" s="123" t="s">
        <v>283</v>
      </c>
      <c r="E462" s="123" t="s">
        <v>284</v>
      </c>
      <c r="F462" s="123" t="s">
        <v>285</v>
      </c>
      <c r="G462" s="123" t="s">
        <v>286</v>
      </c>
      <c r="H462" s="125" t="s">
        <v>191</v>
      </c>
      <c r="I462" s="132" t="s">
        <v>36</v>
      </c>
      <c r="J462" s="130"/>
      <c r="K462" s="123"/>
      <c r="L462" s="140" t="s">
        <v>36</v>
      </c>
      <c r="M462" s="141"/>
      <c r="N462" s="142"/>
    </row>
    <row r="463">
      <c r="A463" s="125" t="s">
        <v>355</v>
      </c>
      <c r="B463" s="91" t="s">
        <v>785</v>
      </c>
      <c r="C463" s="123" t="s">
        <v>288</v>
      </c>
      <c r="D463" s="123" t="s">
        <v>289</v>
      </c>
      <c r="E463" s="123" t="s">
        <v>290</v>
      </c>
      <c r="F463" s="123" t="s">
        <v>274</v>
      </c>
      <c r="G463" s="123" t="s">
        <v>291</v>
      </c>
      <c r="H463" s="125" t="s">
        <v>191</v>
      </c>
      <c r="I463" s="132" t="s">
        <v>36</v>
      </c>
      <c r="J463" s="130"/>
      <c r="K463" s="123"/>
      <c r="L463" s="140" t="s">
        <v>36</v>
      </c>
      <c r="M463" s="141"/>
      <c r="N463" s="142"/>
    </row>
    <row r="464">
      <c r="A464" s="125" t="s">
        <v>355</v>
      </c>
      <c r="B464" s="91" t="s">
        <v>786</v>
      </c>
      <c r="C464" s="123" t="s">
        <v>293</v>
      </c>
      <c r="D464" s="123" t="s">
        <v>294</v>
      </c>
      <c r="E464" s="123" t="s">
        <v>284</v>
      </c>
      <c r="F464" s="123" t="s">
        <v>295</v>
      </c>
      <c r="G464" s="123" t="s">
        <v>296</v>
      </c>
      <c r="H464" s="125" t="s">
        <v>191</v>
      </c>
      <c r="I464" s="132" t="s">
        <v>36</v>
      </c>
      <c r="J464" s="144"/>
      <c r="K464" s="142"/>
      <c r="L464" s="140" t="s">
        <v>36</v>
      </c>
      <c r="M464" s="141"/>
      <c r="N464" s="142"/>
    </row>
    <row r="465">
      <c r="A465" s="125" t="s">
        <v>355</v>
      </c>
      <c r="B465" s="91" t="s">
        <v>787</v>
      </c>
      <c r="C465" s="123" t="s">
        <v>298</v>
      </c>
      <c r="D465" s="123" t="s">
        <v>299</v>
      </c>
      <c r="E465" s="123" t="s">
        <v>300</v>
      </c>
      <c r="F465" s="123" t="s">
        <v>301</v>
      </c>
      <c r="G465" s="123" t="s">
        <v>302</v>
      </c>
      <c r="H465" s="125" t="s">
        <v>191</v>
      </c>
      <c r="I465" s="133" t="s">
        <v>111</v>
      </c>
      <c r="J465" s="136" t="s">
        <v>379</v>
      </c>
      <c r="K465" s="123"/>
      <c r="L465" s="140" t="s">
        <v>111</v>
      </c>
      <c r="M465" s="141"/>
      <c r="N465" s="142"/>
    </row>
    <row r="466">
      <c r="A466" s="125" t="s">
        <v>355</v>
      </c>
      <c r="B466" s="91" t="s">
        <v>788</v>
      </c>
      <c r="C466" s="123" t="s">
        <v>304</v>
      </c>
      <c r="D466" s="123" t="s">
        <v>305</v>
      </c>
      <c r="E466" s="123" t="s">
        <v>284</v>
      </c>
      <c r="F466" s="123" t="s">
        <v>306</v>
      </c>
      <c r="G466" s="123" t="s">
        <v>307</v>
      </c>
      <c r="H466" s="125" t="s">
        <v>191</v>
      </c>
      <c r="I466" s="132" t="s">
        <v>36</v>
      </c>
      <c r="J466" s="130"/>
      <c r="K466" s="123"/>
      <c r="L466" s="140" t="s">
        <v>36</v>
      </c>
      <c r="M466" s="141"/>
      <c r="N466" s="142"/>
    </row>
    <row r="467">
      <c r="A467" s="125" t="s">
        <v>355</v>
      </c>
      <c r="B467" s="91" t="s">
        <v>789</v>
      </c>
      <c r="C467" s="123" t="s">
        <v>309</v>
      </c>
      <c r="D467" s="123" t="s">
        <v>310</v>
      </c>
      <c r="E467" s="123" t="s">
        <v>284</v>
      </c>
      <c r="F467" s="123" t="s">
        <v>311</v>
      </c>
      <c r="G467" s="123" t="s">
        <v>312</v>
      </c>
      <c r="H467" s="125" t="s">
        <v>191</v>
      </c>
      <c r="I467" s="132" t="s">
        <v>36</v>
      </c>
      <c r="J467" s="130"/>
      <c r="K467" s="123"/>
      <c r="L467" s="140" t="s">
        <v>36</v>
      </c>
      <c r="M467" s="141"/>
      <c r="N467" s="142"/>
    </row>
    <row r="468">
      <c r="A468" s="125" t="s">
        <v>355</v>
      </c>
      <c r="B468" s="91" t="s">
        <v>790</v>
      </c>
      <c r="C468" s="123" t="s">
        <v>314</v>
      </c>
      <c r="D468" s="123" t="s">
        <v>315</v>
      </c>
      <c r="E468" s="123" t="s">
        <v>316</v>
      </c>
      <c r="F468" s="123" t="s">
        <v>317</v>
      </c>
      <c r="G468" s="123" t="s">
        <v>318</v>
      </c>
      <c r="H468" s="125" t="s">
        <v>191</v>
      </c>
      <c r="I468" s="132" t="s">
        <v>36</v>
      </c>
      <c r="J468" s="130"/>
      <c r="K468" s="123"/>
      <c r="L468" s="140" t="s">
        <v>36</v>
      </c>
      <c r="M468" s="141"/>
      <c r="N468" s="142"/>
    </row>
    <row r="469">
      <c r="A469" s="102" t="s">
        <v>383</v>
      </c>
      <c r="B469" s="91" t="s">
        <v>791</v>
      </c>
      <c r="C469" s="125" t="s">
        <v>197</v>
      </c>
      <c r="D469" s="102" t="s">
        <v>198</v>
      </c>
      <c r="E469" s="102" t="s">
        <v>199</v>
      </c>
      <c r="F469" s="102" t="s">
        <v>200</v>
      </c>
      <c r="G469" s="123" t="s">
        <v>201</v>
      </c>
      <c r="H469" s="125" t="s">
        <v>191</v>
      </c>
      <c r="I469" s="132" t="s">
        <v>36</v>
      </c>
      <c r="J469" s="102"/>
      <c r="K469" s="102"/>
      <c r="L469" s="127" t="s">
        <v>36</v>
      </c>
      <c r="M469" s="128"/>
      <c r="N469" s="129"/>
    </row>
    <row r="470">
      <c r="A470" s="102" t="s">
        <v>383</v>
      </c>
      <c r="B470" s="91" t="s">
        <v>792</v>
      </c>
      <c r="C470" s="125" t="s">
        <v>203</v>
      </c>
      <c r="D470" s="102" t="s">
        <v>204</v>
      </c>
      <c r="E470" s="102" t="s">
        <v>199</v>
      </c>
      <c r="F470" s="102" t="s">
        <v>200</v>
      </c>
      <c r="G470" s="123" t="s">
        <v>205</v>
      </c>
      <c r="H470" s="125" t="s">
        <v>191</v>
      </c>
      <c r="I470" s="133" t="s">
        <v>111</v>
      </c>
      <c r="J470" s="102" t="s">
        <v>386</v>
      </c>
      <c r="K470" s="102"/>
      <c r="L470" s="127" t="s">
        <v>36</v>
      </c>
      <c r="M470" s="128"/>
      <c r="N470" s="129"/>
    </row>
    <row r="471">
      <c r="A471" s="102" t="s">
        <v>383</v>
      </c>
      <c r="B471" s="91" t="s">
        <v>793</v>
      </c>
      <c r="C471" s="125" t="s">
        <v>208</v>
      </c>
      <c r="D471" s="102" t="s">
        <v>209</v>
      </c>
      <c r="E471" s="102" t="s">
        <v>210</v>
      </c>
      <c r="F471" s="102" t="s">
        <v>211</v>
      </c>
      <c r="G471" s="123" t="s">
        <v>212</v>
      </c>
      <c r="H471" s="125" t="s">
        <v>191</v>
      </c>
      <c r="I471" s="132" t="s">
        <v>36</v>
      </c>
      <c r="J471" s="102"/>
      <c r="K471" s="102"/>
      <c r="L471" s="127" t="s">
        <v>36</v>
      </c>
      <c r="M471" s="128"/>
      <c r="N471" s="129"/>
    </row>
    <row r="472">
      <c r="A472" s="102" t="s">
        <v>383</v>
      </c>
      <c r="B472" s="91" t="s">
        <v>794</v>
      </c>
      <c r="C472" s="125" t="s">
        <v>214</v>
      </c>
      <c r="D472" s="102" t="s">
        <v>209</v>
      </c>
      <c r="E472" s="102" t="s">
        <v>215</v>
      </c>
      <c r="F472" s="102" t="s">
        <v>211</v>
      </c>
      <c r="G472" s="123" t="s">
        <v>216</v>
      </c>
      <c r="H472" s="125" t="s">
        <v>191</v>
      </c>
      <c r="I472" s="133" t="s">
        <v>111</v>
      </c>
      <c r="J472" s="123" t="s">
        <v>389</v>
      </c>
      <c r="K472" s="102"/>
      <c r="L472" s="127" t="s">
        <v>111</v>
      </c>
      <c r="M472" s="128"/>
      <c r="N472" s="129"/>
    </row>
    <row r="473">
      <c r="A473" s="102" t="s">
        <v>383</v>
      </c>
      <c r="B473" s="91" t="s">
        <v>795</v>
      </c>
      <c r="C473" s="125" t="s">
        <v>219</v>
      </c>
      <c r="D473" s="102" t="s">
        <v>220</v>
      </c>
      <c r="E473" s="102" t="s">
        <v>215</v>
      </c>
      <c r="F473" s="102" t="s">
        <v>211</v>
      </c>
      <c r="G473" s="102" t="s">
        <v>221</v>
      </c>
      <c r="H473" s="125" t="s">
        <v>191</v>
      </c>
      <c r="I473" s="132" t="s">
        <v>36</v>
      </c>
      <c r="J473" s="102"/>
      <c r="K473" s="102"/>
      <c r="L473" s="127" t="s">
        <v>36</v>
      </c>
      <c r="M473" s="128"/>
      <c r="N473" s="129"/>
    </row>
    <row r="474">
      <c r="A474" s="102" t="s">
        <v>383</v>
      </c>
      <c r="B474" s="91" t="s">
        <v>796</v>
      </c>
      <c r="C474" s="125" t="s">
        <v>223</v>
      </c>
      <c r="D474" s="102" t="s">
        <v>224</v>
      </c>
      <c r="E474" s="102" t="s">
        <v>215</v>
      </c>
      <c r="F474" s="102" t="s">
        <v>225</v>
      </c>
      <c r="G474" s="102" t="s">
        <v>226</v>
      </c>
      <c r="H474" s="125" t="s">
        <v>191</v>
      </c>
      <c r="I474" s="133" t="s">
        <v>111</v>
      </c>
      <c r="J474" s="123" t="s">
        <v>392</v>
      </c>
      <c r="K474" s="102"/>
      <c r="L474" s="127" t="s">
        <v>111</v>
      </c>
      <c r="M474" s="128"/>
      <c r="N474" s="129"/>
    </row>
    <row r="475">
      <c r="A475" s="102" t="s">
        <v>383</v>
      </c>
      <c r="B475" s="91" t="s">
        <v>797</v>
      </c>
      <c r="C475" s="125" t="s">
        <v>228</v>
      </c>
      <c r="D475" s="102" t="s">
        <v>229</v>
      </c>
      <c r="E475" s="102" t="s">
        <v>215</v>
      </c>
      <c r="F475" s="102" t="s">
        <v>230</v>
      </c>
      <c r="G475" s="102" t="s">
        <v>231</v>
      </c>
      <c r="H475" s="125" t="s">
        <v>191</v>
      </c>
      <c r="I475" s="133" t="s">
        <v>111</v>
      </c>
      <c r="J475" s="123" t="s">
        <v>394</v>
      </c>
      <c r="K475" s="102"/>
      <c r="L475" s="127" t="s">
        <v>111</v>
      </c>
      <c r="M475" s="128"/>
      <c r="N475" s="129"/>
    </row>
    <row r="476">
      <c r="A476" s="102" t="s">
        <v>383</v>
      </c>
      <c r="B476" s="91" t="s">
        <v>798</v>
      </c>
      <c r="C476" s="125" t="s">
        <v>233</v>
      </c>
      <c r="D476" s="102" t="s">
        <v>234</v>
      </c>
      <c r="E476" s="102" t="s">
        <v>235</v>
      </c>
      <c r="F476" s="134" t="s">
        <v>236</v>
      </c>
      <c r="G476" s="102" t="s">
        <v>237</v>
      </c>
      <c r="H476" s="125" t="s">
        <v>191</v>
      </c>
      <c r="I476" s="132" t="s">
        <v>36</v>
      </c>
      <c r="J476" s="102"/>
      <c r="K476" s="102"/>
      <c r="L476" s="127" t="s">
        <v>111</v>
      </c>
      <c r="M476" s="128"/>
      <c r="N476" s="129"/>
    </row>
    <row r="477">
      <c r="A477" s="102" t="s">
        <v>383</v>
      </c>
      <c r="B477" s="91" t="s">
        <v>799</v>
      </c>
      <c r="C477" s="135" t="s">
        <v>239</v>
      </c>
      <c r="D477" s="135" t="s">
        <v>240</v>
      </c>
      <c r="E477" s="102" t="s">
        <v>241</v>
      </c>
      <c r="F477" s="102" t="s">
        <v>200</v>
      </c>
      <c r="G477" s="123" t="s">
        <v>242</v>
      </c>
      <c r="H477" s="125" t="s">
        <v>191</v>
      </c>
      <c r="I477" s="132" t="s">
        <v>36</v>
      </c>
      <c r="J477" s="102"/>
      <c r="K477" s="102"/>
      <c r="L477" s="127" t="s">
        <v>36</v>
      </c>
      <c r="M477" s="128"/>
      <c r="N477" s="129"/>
    </row>
    <row r="478">
      <c r="A478" s="102" t="s">
        <v>383</v>
      </c>
      <c r="B478" s="91" t="s">
        <v>800</v>
      </c>
      <c r="C478" s="135" t="s">
        <v>244</v>
      </c>
      <c r="D478" s="135" t="s">
        <v>245</v>
      </c>
      <c r="E478" s="102" t="s">
        <v>241</v>
      </c>
      <c r="F478" s="102" t="s">
        <v>200</v>
      </c>
      <c r="G478" s="102" t="s">
        <v>246</v>
      </c>
      <c r="H478" s="125" t="s">
        <v>191</v>
      </c>
      <c r="I478" s="132" t="s">
        <v>36</v>
      </c>
      <c r="J478" s="102"/>
      <c r="K478" s="102"/>
      <c r="L478" s="127" t="s">
        <v>36</v>
      </c>
      <c r="M478" s="128"/>
      <c r="N478" s="129"/>
    </row>
    <row r="479">
      <c r="A479" s="102" t="s">
        <v>383</v>
      </c>
      <c r="B479" s="91" t="s">
        <v>801</v>
      </c>
      <c r="C479" s="135" t="s">
        <v>248</v>
      </c>
      <c r="D479" s="102" t="s">
        <v>224</v>
      </c>
      <c r="E479" s="102" t="s">
        <v>215</v>
      </c>
      <c r="F479" s="102" t="s">
        <v>200</v>
      </c>
      <c r="G479" s="102" t="s">
        <v>226</v>
      </c>
      <c r="H479" s="125" t="s">
        <v>191</v>
      </c>
      <c r="I479" s="133" t="s">
        <v>111</v>
      </c>
      <c r="J479" s="123" t="s">
        <v>392</v>
      </c>
      <c r="K479" s="102"/>
      <c r="L479" s="127" t="s">
        <v>111</v>
      </c>
      <c r="M479" s="128"/>
      <c r="N479" s="129"/>
    </row>
    <row r="480">
      <c r="A480" s="102" t="s">
        <v>383</v>
      </c>
      <c r="B480" s="91" t="s">
        <v>802</v>
      </c>
      <c r="C480" s="135" t="s">
        <v>250</v>
      </c>
      <c r="D480" s="102" t="s">
        <v>229</v>
      </c>
      <c r="E480" s="102" t="s">
        <v>215</v>
      </c>
      <c r="F480" s="102" t="s">
        <v>230</v>
      </c>
      <c r="G480" s="102" t="s">
        <v>231</v>
      </c>
      <c r="H480" s="125" t="s">
        <v>191</v>
      </c>
      <c r="I480" s="133" t="s">
        <v>111</v>
      </c>
      <c r="J480" s="123" t="s">
        <v>394</v>
      </c>
      <c r="K480" s="102"/>
      <c r="L480" s="127" t="s">
        <v>111</v>
      </c>
      <c r="M480" s="128"/>
      <c r="N480" s="129"/>
    </row>
    <row r="481">
      <c r="A481" s="102" t="s">
        <v>383</v>
      </c>
      <c r="B481" s="91" t="s">
        <v>803</v>
      </c>
      <c r="C481" s="125" t="s">
        <v>252</v>
      </c>
      <c r="D481" s="135" t="s">
        <v>253</v>
      </c>
      <c r="E481" s="102" t="s">
        <v>215</v>
      </c>
      <c r="F481" s="102" t="s">
        <v>254</v>
      </c>
      <c r="G481" s="123" t="s">
        <v>255</v>
      </c>
      <c r="H481" s="125" t="s">
        <v>191</v>
      </c>
      <c r="I481" s="132" t="s">
        <v>36</v>
      </c>
      <c r="J481" s="123" t="s">
        <v>340</v>
      </c>
      <c r="K481" s="102"/>
      <c r="L481" s="127" t="s">
        <v>36</v>
      </c>
      <c r="M481" s="128"/>
      <c r="N481" s="129"/>
    </row>
    <row r="482">
      <c r="A482" s="102" t="s">
        <v>383</v>
      </c>
      <c r="B482" s="91" t="s">
        <v>804</v>
      </c>
      <c r="C482" s="125" t="s">
        <v>257</v>
      </c>
      <c r="D482" s="135" t="s">
        <v>258</v>
      </c>
      <c r="E482" s="102" t="s">
        <v>215</v>
      </c>
      <c r="F482" s="102" t="s">
        <v>259</v>
      </c>
      <c r="G482" s="123" t="s">
        <v>260</v>
      </c>
      <c r="H482" s="125" t="s">
        <v>191</v>
      </c>
      <c r="I482" s="133" t="s">
        <v>111</v>
      </c>
      <c r="J482" s="123" t="s">
        <v>389</v>
      </c>
      <c r="K482" s="102"/>
      <c r="L482" s="127" t="s">
        <v>111</v>
      </c>
      <c r="M482" s="128"/>
      <c r="N482" s="129"/>
    </row>
    <row r="483">
      <c r="A483" s="102" t="s">
        <v>383</v>
      </c>
      <c r="B483" s="91" t="s">
        <v>805</v>
      </c>
      <c r="C483" s="125" t="s">
        <v>262</v>
      </c>
      <c r="D483" s="135" t="s">
        <v>263</v>
      </c>
      <c r="E483" s="102" t="s">
        <v>215</v>
      </c>
      <c r="F483" s="102" t="s">
        <v>264</v>
      </c>
      <c r="G483" s="123" t="s">
        <v>265</v>
      </c>
      <c r="H483" s="125" t="s">
        <v>191</v>
      </c>
      <c r="I483" s="133" t="s">
        <v>111</v>
      </c>
      <c r="J483" s="123" t="s">
        <v>389</v>
      </c>
      <c r="K483" s="102"/>
      <c r="L483" s="127" t="s">
        <v>111</v>
      </c>
      <c r="M483" s="128"/>
      <c r="N483" s="129"/>
    </row>
    <row r="484">
      <c r="A484" s="102" t="s">
        <v>383</v>
      </c>
      <c r="B484" s="91" t="s">
        <v>806</v>
      </c>
      <c r="C484" s="125" t="s">
        <v>262</v>
      </c>
      <c r="D484" s="135" t="s">
        <v>267</v>
      </c>
      <c r="E484" s="102" t="s">
        <v>215</v>
      </c>
      <c r="F484" s="102" t="s">
        <v>268</v>
      </c>
      <c r="G484" s="123" t="s">
        <v>269</v>
      </c>
      <c r="H484" s="125" t="s">
        <v>191</v>
      </c>
      <c r="I484" s="133" t="s">
        <v>111</v>
      </c>
      <c r="J484" s="123" t="s">
        <v>389</v>
      </c>
      <c r="K484" s="102"/>
      <c r="L484" s="127" t="s">
        <v>111</v>
      </c>
      <c r="M484" s="128"/>
      <c r="N484" s="129"/>
    </row>
    <row r="485">
      <c r="A485" s="102" t="s">
        <v>383</v>
      </c>
      <c r="B485" s="91" t="s">
        <v>807</v>
      </c>
      <c r="C485" s="123" t="s">
        <v>271</v>
      </c>
      <c r="D485" s="123" t="s">
        <v>272</v>
      </c>
      <c r="E485" s="123" t="s">
        <v>273</v>
      </c>
      <c r="F485" s="123" t="s">
        <v>274</v>
      </c>
      <c r="G485" s="123" t="s">
        <v>275</v>
      </c>
      <c r="H485" s="125" t="s">
        <v>191</v>
      </c>
      <c r="I485" s="131" t="s">
        <v>111</v>
      </c>
      <c r="J485" s="123" t="s">
        <v>389</v>
      </c>
      <c r="K485" s="102"/>
      <c r="L485" s="127" t="s">
        <v>111</v>
      </c>
      <c r="M485" s="128"/>
      <c r="N485" s="129"/>
    </row>
    <row r="486">
      <c r="A486" s="102" t="s">
        <v>383</v>
      </c>
      <c r="B486" s="91" t="s">
        <v>808</v>
      </c>
      <c r="C486" s="125" t="s">
        <v>277</v>
      </c>
      <c r="D486" s="102" t="s">
        <v>278</v>
      </c>
      <c r="E486" s="102" t="s">
        <v>215</v>
      </c>
      <c r="F486" s="102" t="s">
        <v>279</v>
      </c>
      <c r="G486" s="102" t="s">
        <v>280</v>
      </c>
      <c r="H486" s="125" t="s">
        <v>191</v>
      </c>
      <c r="I486" s="126" t="s">
        <v>36</v>
      </c>
      <c r="J486" s="102"/>
      <c r="K486" s="102"/>
      <c r="L486" s="127" t="s">
        <v>36</v>
      </c>
      <c r="M486" s="128"/>
      <c r="N486" s="129"/>
    </row>
    <row r="487">
      <c r="A487" s="102" t="s">
        <v>383</v>
      </c>
      <c r="B487" s="91" t="s">
        <v>809</v>
      </c>
      <c r="C487" s="123" t="s">
        <v>282</v>
      </c>
      <c r="D487" s="123" t="s">
        <v>283</v>
      </c>
      <c r="E487" s="123" t="s">
        <v>284</v>
      </c>
      <c r="F487" s="123" t="s">
        <v>285</v>
      </c>
      <c r="G487" s="123" t="s">
        <v>286</v>
      </c>
      <c r="H487" s="125" t="s">
        <v>191</v>
      </c>
      <c r="I487" s="126" t="s">
        <v>36</v>
      </c>
      <c r="J487" s="130"/>
      <c r="K487" s="102"/>
      <c r="L487" s="127" t="s">
        <v>36</v>
      </c>
      <c r="M487" s="128"/>
      <c r="N487" s="129"/>
    </row>
    <row r="488">
      <c r="A488" s="102" t="s">
        <v>383</v>
      </c>
      <c r="B488" s="91" t="s">
        <v>810</v>
      </c>
      <c r="C488" s="123" t="s">
        <v>288</v>
      </c>
      <c r="D488" s="123" t="s">
        <v>289</v>
      </c>
      <c r="E488" s="123" t="s">
        <v>290</v>
      </c>
      <c r="F488" s="123" t="s">
        <v>274</v>
      </c>
      <c r="G488" s="123" t="s">
        <v>291</v>
      </c>
      <c r="H488" s="125" t="s">
        <v>191</v>
      </c>
      <c r="I488" s="126" t="s">
        <v>36</v>
      </c>
      <c r="J488" s="130"/>
      <c r="K488" s="102"/>
      <c r="L488" s="127" t="s">
        <v>36</v>
      </c>
      <c r="M488" s="128"/>
      <c r="N488" s="129"/>
    </row>
    <row r="489">
      <c r="A489" s="102" t="s">
        <v>383</v>
      </c>
      <c r="B489" s="91" t="s">
        <v>811</v>
      </c>
      <c r="C489" s="123" t="s">
        <v>293</v>
      </c>
      <c r="D489" s="123" t="s">
        <v>294</v>
      </c>
      <c r="E489" s="123" t="s">
        <v>284</v>
      </c>
      <c r="F489" s="123" t="s">
        <v>295</v>
      </c>
      <c r="G489" s="123" t="s">
        <v>296</v>
      </c>
      <c r="H489" s="125" t="s">
        <v>191</v>
      </c>
      <c r="I489" s="126" t="s">
        <v>36</v>
      </c>
      <c r="J489" s="130"/>
      <c r="K489" s="102"/>
      <c r="L489" s="127" t="s">
        <v>36</v>
      </c>
      <c r="M489" s="128"/>
      <c r="N489" s="129"/>
    </row>
    <row r="490">
      <c r="A490" s="102" t="s">
        <v>383</v>
      </c>
      <c r="B490" s="91" t="s">
        <v>812</v>
      </c>
      <c r="C490" s="123" t="s">
        <v>298</v>
      </c>
      <c r="D490" s="123" t="s">
        <v>299</v>
      </c>
      <c r="E490" s="123" t="s">
        <v>300</v>
      </c>
      <c r="F490" s="123" t="s">
        <v>301</v>
      </c>
      <c r="G490" s="123" t="s">
        <v>302</v>
      </c>
      <c r="H490" s="125" t="s">
        <v>191</v>
      </c>
      <c r="I490" s="126" t="s">
        <v>36</v>
      </c>
      <c r="J490" s="130"/>
      <c r="K490" s="102"/>
      <c r="L490" s="127" t="s">
        <v>36</v>
      </c>
      <c r="M490" s="128"/>
      <c r="N490" s="129"/>
    </row>
    <row r="491">
      <c r="A491" s="102" t="s">
        <v>383</v>
      </c>
      <c r="B491" s="91" t="s">
        <v>813</v>
      </c>
      <c r="C491" s="123" t="s">
        <v>304</v>
      </c>
      <c r="D491" s="123" t="s">
        <v>305</v>
      </c>
      <c r="E491" s="123" t="s">
        <v>284</v>
      </c>
      <c r="F491" s="123" t="s">
        <v>306</v>
      </c>
      <c r="G491" s="123" t="s">
        <v>307</v>
      </c>
      <c r="H491" s="125" t="s">
        <v>191</v>
      </c>
      <c r="I491" s="126" t="s">
        <v>36</v>
      </c>
      <c r="J491" s="130"/>
      <c r="K491" s="102"/>
      <c r="L491" s="127" t="s">
        <v>36</v>
      </c>
      <c r="M491" s="128"/>
      <c r="N491" s="129"/>
    </row>
    <row r="492">
      <c r="A492" s="102" t="s">
        <v>383</v>
      </c>
      <c r="B492" s="91" t="s">
        <v>814</v>
      </c>
      <c r="C492" s="123" t="s">
        <v>309</v>
      </c>
      <c r="D492" s="123" t="s">
        <v>310</v>
      </c>
      <c r="E492" s="123" t="s">
        <v>284</v>
      </c>
      <c r="F492" s="123" t="s">
        <v>311</v>
      </c>
      <c r="G492" s="123" t="s">
        <v>312</v>
      </c>
      <c r="H492" s="125" t="s">
        <v>191</v>
      </c>
      <c r="I492" s="126" t="s">
        <v>36</v>
      </c>
      <c r="J492" s="130"/>
      <c r="K492" s="102"/>
      <c r="L492" s="127" t="s">
        <v>36</v>
      </c>
      <c r="M492" s="128"/>
      <c r="N492" s="129"/>
    </row>
    <row r="493">
      <c r="A493" s="102" t="s">
        <v>383</v>
      </c>
      <c r="B493" s="91" t="s">
        <v>815</v>
      </c>
      <c r="C493" s="123" t="s">
        <v>314</v>
      </c>
      <c r="D493" s="123" t="s">
        <v>315</v>
      </c>
      <c r="E493" s="123" t="s">
        <v>316</v>
      </c>
      <c r="F493" s="123" t="s">
        <v>317</v>
      </c>
      <c r="G493" s="123" t="s">
        <v>318</v>
      </c>
      <c r="H493" s="125" t="s">
        <v>191</v>
      </c>
      <c r="I493" s="126" t="s">
        <v>36</v>
      </c>
      <c r="J493" s="130"/>
      <c r="K493" s="102"/>
      <c r="L493" s="127" t="s">
        <v>36</v>
      </c>
      <c r="M493" s="128"/>
      <c r="N493" s="129"/>
    </row>
    <row r="494">
      <c r="A494" s="102" t="s">
        <v>413</v>
      </c>
      <c r="B494" s="91" t="s">
        <v>816</v>
      </c>
      <c r="C494" s="125" t="s">
        <v>197</v>
      </c>
      <c r="D494" s="102" t="s">
        <v>198</v>
      </c>
      <c r="E494" s="102" t="s">
        <v>199</v>
      </c>
      <c r="F494" s="102" t="s">
        <v>200</v>
      </c>
      <c r="G494" s="123" t="s">
        <v>415</v>
      </c>
      <c r="H494" s="125" t="s">
        <v>191</v>
      </c>
      <c r="I494" s="126" t="s">
        <v>36</v>
      </c>
      <c r="J494" s="102"/>
      <c r="K494" s="102"/>
      <c r="L494" s="127" t="s">
        <v>36</v>
      </c>
      <c r="M494" s="128"/>
      <c r="N494" s="129"/>
    </row>
    <row r="495">
      <c r="A495" s="102" t="s">
        <v>413</v>
      </c>
      <c r="B495" s="91" t="s">
        <v>817</v>
      </c>
      <c r="C495" s="125" t="s">
        <v>203</v>
      </c>
      <c r="D495" s="102" t="s">
        <v>204</v>
      </c>
      <c r="E495" s="102" t="s">
        <v>199</v>
      </c>
      <c r="F495" s="102" t="s">
        <v>200</v>
      </c>
      <c r="G495" s="123" t="s">
        <v>205</v>
      </c>
      <c r="H495" s="125" t="s">
        <v>191</v>
      </c>
      <c r="I495" s="131" t="s">
        <v>111</v>
      </c>
      <c r="J495" s="123" t="s">
        <v>417</v>
      </c>
      <c r="K495" s="102"/>
      <c r="L495" s="127" t="s">
        <v>36</v>
      </c>
      <c r="M495" s="128"/>
      <c r="N495" s="129"/>
    </row>
    <row r="496">
      <c r="A496" s="102" t="s">
        <v>413</v>
      </c>
      <c r="B496" s="91" t="s">
        <v>818</v>
      </c>
      <c r="C496" s="125" t="s">
        <v>208</v>
      </c>
      <c r="D496" s="102" t="s">
        <v>209</v>
      </c>
      <c r="E496" s="102" t="s">
        <v>210</v>
      </c>
      <c r="F496" s="102" t="s">
        <v>211</v>
      </c>
      <c r="G496" s="123" t="s">
        <v>212</v>
      </c>
      <c r="H496" s="125" t="s">
        <v>191</v>
      </c>
      <c r="I496" s="126" t="s">
        <v>36</v>
      </c>
      <c r="J496" s="102"/>
      <c r="K496" s="102"/>
      <c r="L496" s="127" t="s">
        <v>36</v>
      </c>
      <c r="M496" s="128"/>
      <c r="N496" s="129"/>
    </row>
    <row r="497">
      <c r="A497" s="102" t="s">
        <v>413</v>
      </c>
      <c r="B497" s="91" t="s">
        <v>819</v>
      </c>
      <c r="C497" s="125" t="s">
        <v>214</v>
      </c>
      <c r="D497" s="102" t="s">
        <v>420</v>
      </c>
      <c r="E497" s="102" t="s">
        <v>215</v>
      </c>
      <c r="F497" s="102" t="s">
        <v>211</v>
      </c>
      <c r="G497" s="123" t="s">
        <v>216</v>
      </c>
      <c r="H497" s="125" t="s">
        <v>191</v>
      </c>
      <c r="I497" s="131" t="s">
        <v>111</v>
      </c>
      <c r="J497" s="102" t="s">
        <v>421</v>
      </c>
      <c r="K497" s="102"/>
      <c r="L497" s="127" t="s">
        <v>36</v>
      </c>
      <c r="M497" s="128"/>
      <c r="N497" s="129"/>
    </row>
    <row r="498">
      <c r="A498" s="102" t="s">
        <v>413</v>
      </c>
      <c r="B498" s="91" t="s">
        <v>820</v>
      </c>
      <c r="C498" s="125" t="s">
        <v>219</v>
      </c>
      <c r="D498" s="102" t="s">
        <v>220</v>
      </c>
      <c r="E498" s="102" t="s">
        <v>215</v>
      </c>
      <c r="F498" s="102" t="s">
        <v>211</v>
      </c>
      <c r="G498" s="102" t="s">
        <v>221</v>
      </c>
      <c r="H498" s="125" t="s">
        <v>191</v>
      </c>
      <c r="I498" s="126" t="s">
        <v>36</v>
      </c>
      <c r="J498" s="102"/>
      <c r="K498" s="102"/>
      <c r="L498" s="127" t="s">
        <v>36</v>
      </c>
      <c r="M498" s="128"/>
      <c r="N498" s="129"/>
    </row>
    <row r="499">
      <c r="A499" s="102" t="s">
        <v>413</v>
      </c>
      <c r="B499" s="91" t="s">
        <v>821</v>
      </c>
      <c r="C499" s="125" t="s">
        <v>223</v>
      </c>
      <c r="D499" s="102" t="s">
        <v>224</v>
      </c>
      <c r="E499" s="102" t="s">
        <v>215</v>
      </c>
      <c r="F499" s="102" t="s">
        <v>225</v>
      </c>
      <c r="G499" s="102" t="s">
        <v>226</v>
      </c>
      <c r="H499" s="125" t="s">
        <v>191</v>
      </c>
      <c r="I499" s="126" t="s">
        <v>36</v>
      </c>
      <c r="J499" s="102"/>
      <c r="K499" s="102"/>
      <c r="L499" s="127" t="s">
        <v>36</v>
      </c>
      <c r="M499" s="128"/>
      <c r="N499" s="129"/>
    </row>
    <row r="500">
      <c r="A500" s="102" t="s">
        <v>413</v>
      </c>
      <c r="B500" s="91" t="s">
        <v>822</v>
      </c>
      <c r="C500" s="125" t="s">
        <v>228</v>
      </c>
      <c r="D500" s="102" t="s">
        <v>229</v>
      </c>
      <c r="E500" s="102" t="s">
        <v>215</v>
      </c>
      <c r="F500" s="102" t="s">
        <v>230</v>
      </c>
      <c r="G500" s="102" t="s">
        <v>231</v>
      </c>
      <c r="H500" s="125" t="s">
        <v>191</v>
      </c>
      <c r="I500" s="126" t="s">
        <v>36</v>
      </c>
      <c r="J500" s="102"/>
      <c r="K500" s="102"/>
      <c r="L500" s="127" t="s">
        <v>36</v>
      </c>
      <c r="M500" s="128"/>
      <c r="N500" s="129"/>
    </row>
    <row r="501">
      <c r="A501" s="102" t="s">
        <v>413</v>
      </c>
      <c r="B501" s="91" t="s">
        <v>823</v>
      </c>
      <c r="C501" s="125" t="s">
        <v>233</v>
      </c>
      <c r="D501" s="102" t="s">
        <v>234</v>
      </c>
      <c r="E501" s="102" t="s">
        <v>235</v>
      </c>
      <c r="F501" s="134" t="s">
        <v>236</v>
      </c>
      <c r="G501" s="102" t="s">
        <v>237</v>
      </c>
      <c r="H501" s="125" t="s">
        <v>191</v>
      </c>
      <c r="I501" s="126" t="s">
        <v>36</v>
      </c>
      <c r="J501" s="102"/>
      <c r="K501" s="102"/>
      <c r="L501" s="127" t="s">
        <v>36</v>
      </c>
      <c r="M501" s="128"/>
      <c r="N501" s="129"/>
    </row>
    <row r="502">
      <c r="A502" s="102" t="s">
        <v>413</v>
      </c>
      <c r="B502" s="91" t="s">
        <v>824</v>
      </c>
      <c r="C502" s="135" t="s">
        <v>239</v>
      </c>
      <c r="D502" s="135" t="s">
        <v>240</v>
      </c>
      <c r="E502" s="102" t="s">
        <v>241</v>
      </c>
      <c r="F502" s="102" t="s">
        <v>200</v>
      </c>
      <c r="G502" s="123" t="s">
        <v>242</v>
      </c>
      <c r="H502" s="125" t="s">
        <v>191</v>
      </c>
      <c r="I502" s="131" t="s">
        <v>111</v>
      </c>
      <c r="J502" s="102" t="s">
        <v>427</v>
      </c>
      <c r="K502" s="102"/>
      <c r="L502" s="127" t="s">
        <v>36</v>
      </c>
      <c r="M502" s="128"/>
      <c r="N502" s="129"/>
    </row>
    <row r="503">
      <c r="A503" s="102" t="s">
        <v>413</v>
      </c>
      <c r="B503" s="91" t="s">
        <v>825</v>
      </c>
      <c r="C503" s="135" t="s">
        <v>244</v>
      </c>
      <c r="D503" s="135" t="s">
        <v>245</v>
      </c>
      <c r="E503" s="102" t="s">
        <v>241</v>
      </c>
      <c r="F503" s="102" t="s">
        <v>200</v>
      </c>
      <c r="G503" s="102" t="s">
        <v>246</v>
      </c>
      <c r="H503" s="125" t="s">
        <v>191</v>
      </c>
      <c r="I503" s="131" t="s">
        <v>111</v>
      </c>
      <c r="J503" s="102" t="s">
        <v>429</v>
      </c>
      <c r="K503" s="102"/>
      <c r="L503" s="127" t="s">
        <v>36</v>
      </c>
      <c r="M503" s="128"/>
      <c r="N503" s="129"/>
    </row>
    <row r="504">
      <c r="A504" s="102" t="s">
        <v>413</v>
      </c>
      <c r="B504" s="91" t="s">
        <v>826</v>
      </c>
      <c r="C504" s="135" t="s">
        <v>431</v>
      </c>
      <c r="D504" s="102" t="s">
        <v>432</v>
      </c>
      <c r="E504" s="102" t="s">
        <v>215</v>
      </c>
      <c r="F504" s="102" t="s">
        <v>200</v>
      </c>
      <c r="G504" s="102" t="s">
        <v>433</v>
      </c>
      <c r="H504" s="125" t="s">
        <v>191</v>
      </c>
      <c r="I504" s="131" t="s">
        <v>111</v>
      </c>
      <c r="J504" s="102" t="s">
        <v>434</v>
      </c>
      <c r="K504" s="102"/>
      <c r="L504" s="127" t="s">
        <v>36</v>
      </c>
      <c r="M504" s="128"/>
      <c r="N504" s="129"/>
    </row>
    <row r="505">
      <c r="A505" s="102" t="s">
        <v>413</v>
      </c>
      <c r="B505" s="91" t="s">
        <v>827</v>
      </c>
      <c r="C505" s="135" t="s">
        <v>248</v>
      </c>
      <c r="D505" s="102" t="s">
        <v>224</v>
      </c>
      <c r="E505" s="102" t="s">
        <v>215</v>
      </c>
      <c r="F505" s="102" t="s">
        <v>200</v>
      </c>
      <c r="G505" s="102" t="s">
        <v>226</v>
      </c>
      <c r="H505" s="125" t="s">
        <v>191</v>
      </c>
      <c r="I505" s="126" t="s">
        <v>36</v>
      </c>
      <c r="J505" s="102"/>
      <c r="K505" s="102"/>
      <c r="L505" s="127" t="s">
        <v>36</v>
      </c>
      <c r="M505" s="128"/>
      <c r="N505" s="129"/>
    </row>
    <row r="506">
      <c r="A506" s="102" t="s">
        <v>413</v>
      </c>
      <c r="B506" s="91" t="s">
        <v>828</v>
      </c>
      <c r="C506" s="135" t="s">
        <v>250</v>
      </c>
      <c r="D506" s="102" t="s">
        <v>229</v>
      </c>
      <c r="E506" s="102" t="s">
        <v>215</v>
      </c>
      <c r="F506" s="102" t="s">
        <v>230</v>
      </c>
      <c r="G506" s="102" t="s">
        <v>231</v>
      </c>
      <c r="H506" s="125" t="s">
        <v>191</v>
      </c>
      <c r="I506" s="126" t="s">
        <v>36</v>
      </c>
      <c r="J506" s="102"/>
      <c r="K506" s="102"/>
      <c r="L506" s="127" t="s">
        <v>36</v>
      </c>
      <c r="M506" s="128"/>
      <c r="N506" s="129"/>
    </row>
    <row r="507">
      <c r="A507" s="102" t="s">
        <v>413</v>
      </c>
      <c r="B507" s="91" t="s">
        <v>829</v>
      </c>
      <c r="C507" s="125" t="s">
        <v>252</v>
      </c>
      <c r="D507" s="135" t="s">
        <v>253</v>
      </c>
      <c r="E507" s="102" t="s">
        <v>215</v>
      </c>
      <c r="F507" s="102" t="s">
        <v>254</v>
      </c>
      <c r="G507" s="123" t="s">
        <v>255</v>
      </c>
      <c r="H507" s="125" t="s">
        <v>191</v>
      </c>
      <c r="I507" s="126" t="s">
        <v>36</v>
      </c>
      <c r="J507" s="102"/>
      <c r="K507" s="102"/>
      <c r="L507" s="127" t="s">
        <v>36</v>
      </c>
      <c r="M507" s="128"/>
      <c r="N507" s="129"/>
    </row>
    <row r="508">
      <c r="A508" s="102" t="s">
        <v>413</v>
      </c>
      <c r="B508" s="91" t="s">
        <v>830</v>
      </c>
      <c r="C508" s="125" t="s">
        <v>257</v>
      </c>
      <c r="D508" s="135" t="s">
        <v>258</v>
      </c>
      <c r="E508" s="102" t="s">
        <v>215</v>
      </c>
      <c r="F508" s="102" t="s">
        <v>259</v>
      </c>
      <c r="G508" s="123" t="s">
        <v>260</v>
      </c>
      <c r="H508" s="125" t="s">
        <v>191</v>
      </c>
      <c r="I508" s="126" t="s">
        <v>36</v>
      </c>
      <c r="J508" s="102"/>
      <c r="K508" s="102"/>
      <c r="L508" s="127" t="s">
        <v>36</v>
      </c>
      <c r="M508" s="128"/>
      <c r="N508" s="129"/>
    </row>
    <row r="509">
      <c r="A509" s="102" t="s">
        <v>413</v>
      </c>
      <c r="B509" s="91" t="s">
        <v>831</v>
      </c>
      <c r="C509" s="125" t="s">
        <v>262</v>
      </c>
      <c r="D509" s="135" t="s">
        <v>263</v>
      </c>
      <c r="E509" s="102" t="s">
        <v>215</v>
      </c>
      <c r="F509" s="102" t="s">
        <v>264</v>
      </c>
      <c r="G509" s="123" t="s">
        <v>265</v>
      </c>
      <c r="H509" s="125" t="s">
        <v>191</v>
      </c>
      <c r="I509" s="131" t="s">
        <v>111</v>
      </c>
      <c r="J509" s="102" t="s">
        <v>440</v>
      </c>
      <c r="K509" s="102"/>
      <c r="L509" s="127" t="s">
        <v>36</v>
      </c>
      <c r="M509" s="128"/>
      <c r="N509" s="129"/>
    </row>
    <row r="510">
      <c r="A510" s="102" t="s">
        <v>413</v>
      </c>
      <c r="B510" s="91" t="s">
        <v>832</v>
      </c>
      <c r="C510" s="125" t="s">
        <v>262</v>
      </c>
      <c r="D510" s="135" t="s">
        <v>267</v>
      </c>
      <c r="E510" s="102" t="s">
        <v>215</v>
      </c>
      <c r="F510" s="102" t="s">
        <v>268</v>
      </c>
      <c r="G510" s="123" t="s">
        <v>269</v>
      </c>
      <c r="H510" s="125" t="s">
        <v>191</v>
      </c>
      <c r="I510" s="131" t="s">
        <v>111</v>
      </c>
      <c r="J510" s="102" t="s">
        <v>440</v>
      </c>
      <c r="K510" s="102"/>
      <c r="L510" s="127" t="s">
        <v>36</v>
      </c>
      <c r="M510" s="128"/>
      <c r="N510" s="129"/>
    </row>
    <row r="511">
      <c r="A511" s="123" t="s">
        <v>383</v>
      </c>
      <c r="B511" s="91" t="s">
        <v>833</v>
      </c>
      <c r="C511" s="123" t="s">
        <v>271</v>
      </c>
      <c r="D511" s="123" t="s">
        <v>272</v>
      </c>
      <c r="E511" s="123" t="s">
        <v>273</v>
      </c>
      <c r="F511" s="123" t="s">
        <v>274</v>
      </c>
      <c r="G511" s="123" t="s">
        <v>275</v>
      </c>
      <c r="H511" s="125" t="s">
        <v>191</v>
      </c>
      <c r="I511" s="132" t="s">
        <v>36</v>
      </c>
      <c r="J511" s="130"/>
      <c r="K511" s="102"/>
      <c r="L511" s="127" t="s">
        <v>36</v>
      </c>
      <c r="M511" s="128"/>
      <c r="N511" s="129"/>
    </row>
    <row r="512">
      <c r="A512" s="102" t="s">
        <v>413</v>
      </c>
      <c r="B512" s="91" t="s">
        <v>834</v>
      </c>
      <c r="C512" s="125" t="s">
        <v>444</v>
      </c>
      <c r="D512" s="102" t="s">
        <v>445</v>
      </c>
      <c r="E512" s="102" t="s">
        <v>215</v>
      </c>
      <c r="F512" s="102" t="s">
        <v>200</v>
      </c>
      <c r="G512" s="123" t="s">
        <v>446</v>
      </c>
      <c r="H512" s="125" t="s">
        <v>191</v>
      </c>
      <c r="I512" s="131" t="s">
        <v>111</v>
      </c>
      <c r="J512" s="102" t="s">
        <v>447</v>
      </c>
      <c r="K512" s="102"/>
      <c r="L512" s="127" t="s">
        <v>36</v>
      </c>
      <c r="M512" s="128"/>
      <c r="N512" s="129"/>
    </row>
    <row r="513">
      <c r="A513" s="102" t="s">
        <v>413</v>
      </c>
      <c r="B513" s="91" t="s">
        <v>835</v>
      </c>
      <c r="C513" s="125" t="s">
        <v>277</v>
      </c>
      <c r="D513" s="102" t="s">
        <v>278</v>
      </c>
      <c r="E513" s="102" t="s">
        <v>215</v>
      </c>
      <c r="F513" s="102" t="s">
        <v>279</v>
      </c>
      <c r="G513" s="102" t="s">
        <v>280</v>
      </c>
      <c r="H513" s="125" t="s">
        <v>191</v>
      </c>
      <c r="I513" s="126" t="s">
        <v>36</v>
      </c>
      <c r="J513" s="102"/>
      <c r="K513" s="102"/>
      <c r="L513" s="127" t="s">
        <v>36</v>
      </c>
      <c r="M513" s="128"/>
      <c r="N513" s="129"/>
    </row>
    <row r="514">
      <c r="A514" s="102" t="s">
        <v>413</v>
      </c>
      <c r="B514" s="91" t="s">
        <v>836</v>
      </c>
      <c r="C514" s="125" t="s">
        <v>450</v>
      </c>
      <c r="D514" s="102" t="s">
        <v>451</v>
      </c>
      <c r="E514" s="102" t="s">
        <v>215</v>
      </c>
      <c r="F514" s="102" t="s">
        <v>200</v>
      </c>
      <c r="G514" s="102" t="s">
        <v>452</v>
      </c>
      <c r="H514" s="125" t="s">
        <v>191</v>
      </c>
      <c r="I514" s="131" t="s">
        <v>111</v>
      </c>
      <c r="J514" s="102" t="s">
        <v>453</v>
      </c>
      <c r="K514" s="102"/>
      <c r="L514" s="127" t="s">
        <v>36</v>
      </c>
      <c r="M514" s="128"/>
      <c r="N514" s="129"/>
    </row>
    <row r="515">
      <c r="A515" s="102" t="s">
        <v>413</v>
      </c>
      <c r="B515" s="91" t="s">
        <v>837</v>
      </c>
      <c r="C515" s="123" t="s">
        <v>282</v>
      </c>
      <c r="D515" s="123" t="s">
        <v>283</v>
      </c>
      <c r="E515" s="123" t="s">
        <v>284</v>
      </c>
      <c r="F515" s="123" t="s">
        <v>285</v>
      </c>
      <c r="G515" s="123" t="s">
        <v>286</v>
      </c>
      <c r="H515" s="125" t="s">
        <v>191</v>
      </c>
      <c r="I515" s="132" t="s">
        <v>36</v>
      </c>
      <c r="J515" s="130"/>
      <c r="K515" s="102"/>
      <c r="L515" s="127" t="s">
        <v>36</v>
      </c>
      <c r="M515" s="128"/>
      <c r="N515" s="129"/>
    </row>
    <row r="516">
      <c r="A516" s="102" t="s">
        <v>413</v>
      </c>
      <c r="B516" s="91" t="s">
        <v>838</v>
      </c>
      <c r="C516" s="123" t="s">
        <v>288</v>
      </c>
      <c r="D516" s="123" t="s">
        <v>289</v>
      </c>
      <c r="E516" s="123" t="s">
        <v>290</v>
      </c>
      <c r="F516" s="123" t="s">
        <v>274</v>
      </c>
      <c r="G516" s="123" t="s">
        <v>291</v>
      </c>
      <c r="H516" s="125" t="s">
        <v>191</v>
      </c>
      <c r="I516" s="132" t="s">
        <v>36</v>
      </c>
      <c r="J516" s="130"/>
      <c r="K516" s="102"/>
      <c r="L516" s="127" t="s">
        <v>36</v>
      </c>
      <c r="M516" s="128"/>
      <c r="N516" s="129"/>
    </row>
    <row r="517">
      <c r="A517" s="102" t="s">
        <v>413</v>
      </c>
      <c r="B517" s="91" t="s">
        <v>839</v>
      </c>
      <c r="C517" s="123" t="s">
        <v>293</v>
      </c>
      <c r="D517" s="123" t="s">
        <v>294</v>
      </c>
      <c r="E517" s="123" t="s">
        <v>284</v>
      </c>
      <c r="F517" s="123" t="s">
        <v>295</v>
      </c>
      <c r="G517" s="123" t="s">
        <v>296</v>
      </c>
      <c r="H517" s="125" t="s">
        <v>191</v>
      </c>
      <c r="I517" s="132" t="s">
        <v>36</v>
      </c>
      <c r="J517" s="130"/>
      <c r="K517" s="102"/>
      <c r="L517" s="127" t="s">
        <v>36</v>
      </c>
      <c r="M517" s="128"/>
      <c r="N517" s="129"/>
    </row>
    <row r="518">
      <c r="A518" s="102" t="s">
        <v>413</v>
      </c>
      <c r="B518" s="91" t="s">
        <v>840</v>
      </c>
      <c r="C518" s="123" t="s">
        <v>298</v>
      </c>
      <c r="D518" s="123" t="s">
        <v>299</v>
      </c>
      <c r="E518" s="123" t="s">
        <v>300</v>
      </c>
      <c r="F518" s="123" t="s">
        <v>301</v>
      </c>
      <c r="G518" s="123" t="s">
        <v>302</v>
      </c>
      <c r="H518" s="125" t="s">
        <v>191</v>
      </c>
      <c r="I518" s="132" t="s">
        <v>36</v>
      </c>
      <c r="J518" s="130"/>
      <c r="K518" s="102"/>
      <c r="L518" s="127" t="s">
        <v>36</v>
      </c>
      <c r="M518" s="128"/>
      <c r="N518" s="129"/>
    </row>
    <row r="519">
      <c r="A519" s="102" t="s">
        <v>413</v>
      </c>
      <c r="B519" s="91" t="s">
        <v>841</v>
      </c>
      <c r="C519" s="123" t="s">
        <v>304</v>
      </c>
      <c r="D519" s="123" t="s">
        <v>305</v>
      </c>
      <c r="E519" s="123" t="s">
        <v>284</v>
      </c>
      <c r="F519" s="123" t="s">
        <v>306</v>
      </c>
      <c r="G519" s="123" t="s">
        <v>307</v>
      </c>
      <c r="H519" s="125" t="s">
        <v>191</v>
      </c>
      <c r="I519" s="133" t="s">
        <v>111</v>
      </c>
      <c r="J519" s="136" t="s">
        <v>459</v>
      </c>
      <c r="K519" s="102"/>
      <c r="L519" s="127" t="s">
        <v>36</v>
      </c>
      <c r="M519" s="128"/>
      <c r="N519" s="129"/>
    </row>
    <row r="520">
      <c r="A520" s="102" t="s">
        <v>413</v>
      </c>
      <c r="B520" s="91" t="s">
        <v>842</v>
      </c>
      <c r="C520" s="123" t="s">
        <v>309</v>
      </c>
      <c r="D520" s="123" t="s">
        <v>310</v>
      </c>
      <c r="E520" s="123" t="s">
        <v>284</v>
      </c>
      <c r="F520" s="123" t="s">
        <v>311</v>
      </c>
      <c r="G520" s="123" t="s">
        <v>312</v>
      </c>
      <c r="H520" s="125" t="s">
        <v>191</v>
      </c>
      <c r="I520" s="132" t="s">
        <v>36</v>
      </c>
      <c r="J520" s="130"/>
      <c r="K520" s="102"/>
      <c r="L520" s="127" t="s">
        <v>36</v>
      </c>
      <c r="M520" s="128"/>
      <c r="N520" s="129"/>
    </row>
    <row r="521">
      <c r="A521" s="102" t="s">
        <v>413</v>
      </c>
      <c r="B521" s="91" t="s">
        <v>843</v>
      </c>
      <c r="C521" s="123" t="s">
        <v>314</v>
      </c>
      <c r="D521" s="123" t="s">
        <v>315</v>
      </c>
      <c r="E521" s="123" t="s">
        <v>316</v>
      </c>
      <c r="F521" s="123" t="s">
        <v>317</v>
      </c>
      <c r="G521" s="123" t="s">
        <v>318</v>
      </c>
      <c r="H521" s="125" t="s">
        <v>191</v>
      </c>
      <c r="I521" s="132" t="s">
        <v>36</v>
      </c>
      <c r="J521" s="130"/>
      <c r="K521" s="102"/>
      <c r="L521" s="127" t="s">
        <v>36</v>
      </c>
      <c r="M521" s="128"/>
      <c r="N521" s="129"/>
    </row>
    <row r="522" ht="15.75" customHeight="1">
      <c r="A522" s="151"/>
      <c r="B522" s="151"/>
      <c r="C522" s="152"/>
      <c r="D522" s="151"/>
      <c r="E522" s="151"/>
      <c r="F522" s="151"/>
      <c r="G522" s="151"/>
      <c r="H522" s="151"/>
      <c r="I522" s="151"/>
      <c r="J522" s="151"/>
      <c r="K522" s="151"/>
      <c r="L522" s="151"/>
      <c r="M522" s="151"/>
      <c r="N522" s="151"/>
    </row>
    <row r="523" ht="15.75" customHeight="1">
      <c r="A523" s="151"/>
      <c r="B523" s="151"/>
      <c r="C523" s="152"/>
      <c r="D523" s="151"/>
      <c r="E523" s="151"/>
      <c r="F523" s="151"/>
      <c r="G523" s="151"/>
      <c r="H523" s="151"/>
      <c r="I523" s="151"/>
      <c r="J523" s="151"/>
      <c r="K523" s="151"/>
      <c r="L523" s="151"/>
      <c r="M523" s="151"/>
      <c r="N523" s="151"/>
    </row>
    <row r="524" ht="15.75" customHeight="1">
      <c r="A524" s="151"/>
      <c r="B524" s="151"/>
      <c r="C524" s="152"/>
      <c r="D524" s="151"/>
      <c r="E524" s="151"/>
      <c r="F524" s="151"/>
      <c r="G524" s="151"/>
      <c r="H524" s="151"/>
      <c r="I524" s="151"/>
      <c r="J524" s="151"/>
      <c r="K524" s="151"/>
      <c r="L524" s="151"/>
      <c r="M524" s="151"/>
      <c r="N524" s="151"/>
    </row>
    <row r="525" ht="15.75" customHeight="1">
      <c r="A525" s="151"/>
      <c r="B525" s="151"/>
      <c r="C525" s="152"/>
      <c r="D525" s="151"/>
      <c r="E525" s="151"/>
      <c r="F525" s="151"/>
      <c r="G525" s="151"/>
      <c r="H525" s="151"/>
      <c r="I525" s="151"/>
      <c r="J525" s="151"/>
      <c r="K525" s="151"/>
      <c r="L525" s="151"/>
      <c r="M525" s="151"/>
      <c r="N525" s="151"/>
    </row>
    <row r="526" ht="15.75" customHeight="1">
      <c r="A526" s="151"/>
      <c r="B526" s="151"/>
      <c r="C526" s="152"/>
      <c r="D526" s="151"/>
      <c r="E526" s="151"/>
      <c r="F526" s="151"/>
      <c r="G526" s="151"/>
      <c r="H526" s="151"/>
      <c r="I526" s="151"/>
      <c r="J526" s="151"/>
      <c r="K526" s="151"/>
      <c r="L526" s="151"/>
      <c r="M526" s="151"/>
      <c r="N526" s="151"/>
    </row>
    <row r="527" ht="15.75" customHeight="1">
      <c r="A527" s="151"/>
      <c r="B527" s="151"/>
      <c r="C527" s="152"/>
      <c r="D527" s="151"/>
      <c r="E527" s="151"/>
      <c r="F527" s="151"/>
      <c r="G527" s="151"/>
      <c r="H527" s="151"/>
      <c r="I527" s="151"/>
      <c r="J527" s="151"/>
      <c r="K527" s="151"/>
      <c r="L527" s="151"/>
      <c r="M527" s="151"/>
      <c r="N527" s="151"/>
    </row>
    <row r="528" ht="15.75" customHeight="1">
      <c r="A528" s="151"/>
      <c r="B528" s="151"/>
      <c r="C528" s="152"/>
      <c r="D528" s="151"/>
      <c r="E528" s="151"/>
      <c r="F528" s="151"/>
      <c r="G528" s="151"/>
      <c r="H528" s="151"/>
      <c r="I528" s="151"/>
      <c r="J528" s="151"/>
      <c r="K528" s="151"/>
      <c r="L528" s="151"/>
      <c r="M528" s="151"/>
      <c r="N528" s="151"/>
    </row>
    <row r="529" ht="15.75" customHeight="1">
      <c r="A529" s="151"/>
      <c r="B529" s="151"/>
      <c r="C529" s="152"/>
      <c r="D529" s="151"/>
      <c r="E529" s="151"/>
      <c r="F529" s="151"/>
      <c r="G529" s="151"/>
      <c r="H529" s="151"/>
      <c r="I529" s="151"/>
      <c r="J529" s="151"/>
      <c r="K529" s="151"/>
      <c r="L529" s="151"/>
      <c r="M529" s="151"/>
      <c r="N529" s="151"/>
    </row>
    <row r="530" ht="15.75" customHeight="1">
      <c r="A530" s="151"/>
      <c r="B530" s="151"/>
      <c r="C530" s="152"/>
      <c r="D530" s="151"/>
      <c r="E530" s="151"/>
      <c r="F530" s="151"/>
      <c r="G530" s="151"/>
      <c r="H530" s="151"/>
      <c r="I530" s="151"/>
      <c r="J530" s="151"/>
      <c r="K530" s="151"/>
      <c r="L530" s="151"/>
      <c r="M530" s="151"/>
      <c r="N530" s="151"/>
    </row>
    <row r="531" ht="15.75" customHeight="1">
      <c r="A531" s="151"/>
      <c r="B531" s="151"/>
      <c r="C531" s="152"/>
      <c r="D531" s="151"/>
      <c r="E531" s="151"/>
      <c r="F531" s="151"/>
      <c r="G531" s="151"/>
      <c r="H531" s="151"/>
      <c r="I531" s="151"/>
      <c r="J531" s="151"/>
      <c r="K531" s="151"/>
      <c r="L531" s="151"/>
      <c r="M531" s="151"/>
      <c r="N531" s="151"/>
    </row>
    <row r="532" ht="15.75" customHeight="1">
      <c r="A532" s="151"/>
      <c r="B532" s="151"/>
      <c r="C532" s="152"/>
      <c r="D532" s="151"/>
      <c r="E532" s="151"/>
      <c r="F532" s="151"/>
      <c r="G532" s="151"/>
      <c r="H532" s="151"/>
      <c r="I532" s="151"/>
      <c r="J532" s="151"/>
      <c r="K532" s="151"/>
      <c r="L532" s="151"/>
      <c r="M532" s="151"/>
      <c r="N532" s="151"/>
    </row>
    <row r="533" ht="15.75" customHeight="1">
      <c r="A533" s="151"/>
      <c r="B533" s="151"/>
      <c r="C533" s="152"/>
      <c r="D533" s="151"/>
      <c r="E533" s="151"/>
      <c r="F533" s="151"/>
      <c r="G533" s="151"/>
      <c r="H533" s="151"/>
      <c r="I533" s="151"/>
      <c r="J533" s="151"/>
      <c r="K533" s="151"/>
      <c r="L533" s="151"/>
      <c r="M533" s="151"/>
      <c r="N533" s="151"/>
    </row>
    <row r="534" ht="15.75" customHeight="1">
      <c r="A534" s="151"/>
      <c r="B534" s="151"/>
      <c r="C534" s="152"/>
      <c r="D534" s="151"/>
      <c r="E534" s="151"/>
      <c r="F534" s="151"/>
      <c r="G534" s="151"/>
      <c r="H534" s="151"/>
      <c r="I534" s="151"/>
      <c r="J534" s="151"/>
      <c r="K534" s="151"/>
      <c r="L534" s="151"/>
      <c r="M534" s="151"/>
      <c r="N534" s="151"/>
    </row>
    <row r="535" ht="15.75" customHeight="1">
      <c r="A535" s="151"/>
      <c r="B535" s="151"/>
      <c r="C535" s="152"/>
      <c r="D535" s="151"/>
      <c r="E535" s="151"/>
      <c r="F535" s="151"/>
      <c r="G535" s="151"/>
      <c r="H535" s="151"/>
      <c r="I535" s="151"/>
      <c r="J535" s="151"/>
      <c r="K535" s="151"/>
      <c r="L535" s="151"/>
      <c r="M535" s="151"/>
      <c r="N535" s="151"/>
    </row>
    <row r="536" ht="15.75" customHeight="1">
      <c r="A536" s="151"/>
      <c r="B536" s="151"/>
      <c r="C536" s="152"/>
      <c r="D536" s="151"/>
      <c r="E536" s="151"/>
      <c r="F536" s="151"/>
      <c r="G536" s="151"/>
      <c r="H536" s="151"/>
      <c r="I536" s="151"/>
      <c r="J536" s="151"/>
      <c r="K536" s="151"/>
      <c r="L536" s="151"/>
      <c r="M536" s="151"/>
      <c r="N536" s="151"/>
    </row>
    <row r="537" ht="15.75" customHeight="1">
      <c r="A537" s="151"/>
      <c r="B537" s="151"/>
      <c r="C537" s="152"/>
      <c r="D537" s="151"/>
      <c r="E537" s="151"/>
      <c r="F537" s="151"/>
      <c r="G537" s="151"/>
      <c r="H537" s="151"/>
      <c r="I537" s="151"/>
      <c r="J537" s="151"/>
      <c r="K537" s="151"/>
      <c r="L537" s="151"/>
      <c r="M537" s="151"/>
      <c r="N537" s="151"/>
    </row>
    <row r="538" ht="15.75" customHeight="1">
      <c r="A538" s="151"/>
      <c r="B538" s="151"/>
      <c r="C538" s="152"/>
      <c r="D538" s="151"/>
      <c r="E538" s="151"/>
      <c r="F538" s="151"/>
      <c r="G538" s="151"/>
      <c r="H538" s="151"/>
      <c r="I538" s="151"/>
      <c r="J538" s="151"/>
      <c r="K538" s="151"/>
      <c r="L538" s="151"/>
      <c r="M538" s="151"/>
      <c r="N538" s="151"/>
    </row>
    <row r="539" ht="15.75" customHeight="1">
      <c r="A539" s="151"/>
      <c r="B539" s="151"/>
      <c r="C539" s="152"/>
      <c r="D539" s="151"/>
      <c r="E539" s="151"/>
      <c r="F539" s="151"/>
      <c r="G539" s="151"/>
      <c r="H539" s="151"/>
      <c r="I539" s="151"/>
      <c r="J539" s="151"/>
      <c r="K539" s="151"/>
      <c r="L539" s="151"/>
      <c r="M539" s="151"/>
      <c r="N539" s="151"/>
    </row>
    <row r="540" ht="15.75" customHeight="1">
      <c r="A540" s="151"/>
      <c r="B540" s="151"/>
      <c r="C540" s="152"/>
      <c r="D540" s="151"/>
      <c r="E540" s="151"/>
      <c r="F540" s="151"/>
      <c r="G540" s="151"/>
      <c r="H540" s="151"/>
      <c r="I540" s="151"/>
      <c r="J540" s="151"/>
      <c r="K540" s="151"/>
      <c r="L540" s="151"/>
      <c r="M540" s="151"/>
      <c r="N540" s="151"/>
    </row>
    <row r="541" ht="15.75" customHeight="1">
      <c r="A541" s="151"/>
      <c r="B541" s="151"/>
      <c r="C541" s="152"/>
      <c r="D541" s="151"/>
      <c r="E541" s="151"/>
      <c r="F541" s="151"/>
      <c r="G541" s="151"/>
      <c r="H541" s="151"/>
      <c r="I541" s="151"/>
      <c r="J541" s="151"/>
      <c r="K541" s="151"/>
      <c r="L541" s="151"/>
      <c r="M541" s="151"/>
      <c r="N541" s="151"/>
    </row>
    <row r="542" ht="15.75" customHeight="1">
      <c r="A542" s="151"/>
      <c r="B542" s="151"/>
      <c r="C542" s="152"/>
      <c r="D542" s="151"/>
      <c r="E542" s="151"/>
      <c r="F542" s="151"/>
      <c r="G542" s="151"/>
      <c r="H542" s="151"/>
      <c r="I542" s="151"/>
      <c r="J542" s="151"/>
      <c r="K542" s="151"/>
      <c r="L542" s="151"/>
      <c r="M542" s="151"/>
      <c r="N542" s="151"/>
    </row>
    <row r="543" ht="15.75" customHeight="1">
      <c r="A543" s="151"/>
      <c r="B543" s="151"/>
      <c r="C543" s="152"/>
      <c r="D543" s="151"/>
      <c r="E543" s="151"/>
      <c r="F543" s="151"/>
      <c r="G543" s="151"/>
      <c r="H543" s="151"/>
      <c r="I543" s="151"/>
      <c r="J543" s="151"/>
      <c r="K543" s="151"/>
      <c r="L543" s="151"/>
      <c r="M543" s="151"/>
      <c r="N543" s="151"/>
    </row>
    <row r="544" ht="15.75" customHeight="1">
      <c r="A544" s="151"/>
      <c r="B544" s="151"/>
      <c r="C544" s="152"/>
      <c r="D544" s="151"/>
      <c r="E544" s="151"/>
      <c r="F544" s="151"/>
      <c r="G544" s="151"/>
      <c r="H544" s="151"/>
      <c r="I544" s="151"/>
      <c r="J544" s="151"/>
      <c r="K544" s="151"/>
      <c r="L544" s="151"/>
      <c r="M544" s="151"/>
      <c r="N544" s="151"/>
    </row>
    <row r="545" ht="15.75" customHeight="1">
      <c r="A545" s="151"/>
      <c r="B545" s="151"/>
      <c r="C545" s="152"/>
      <c r="D545" s="151"/>
      <c r="E545" s="151"/>
      <c r="F545" s="151"/>
      <c r="G545" s="151"/>
      <c r="H545" s="151"/>
      <c r="I545" s="151"/>
      <c r="J545" s="151"/>
      <c r="K545" s="151"/>
      <c r="L545" s="151"/>
      <c r="M545" s="151"/>
      <c r="N545" s="151"/>
    </row>
    <row r="546" ht="15.75" customHeight="1">
      <c r="A546" s="151"/>
      <c r="B546" s="151"/>
      <c r="C546" s="152"/>
      <c r="D546" s="151"/>
      <c r="E546" s="151"/>
      <c r="F546" s="151"/>
      <c r="G546" s="151"/>
      <c r="H546" s="151"/>
      <c r="I546" s="151"/>
      <c r="J546" s="151"/>
      <c r="K546" s="151"/>
      <c r="L546" s="151"/>
      <c r="M546" s="151"/>
      <c r="N546" s="151"/>
    </row>
    <row r="547" ht="15.75" customHeight="1">
      <c r="A547" s="151"/>
      <c r="B547" s="151"/>
      <c r="C547" s="152"/>
      <c r="D547" s="151"/>
      <c r="E547" s="151"/>
      <c r="F547" s="151"/>
      <c r="G547" s="151"/>
      <c r="H547" s="151"/>
      <c r="I547" s="151"/>
      <c r="J547" s="151"/>
      <c r="K547" s="151"/>
      <c r="L547" s="151"/>
      <c r="M547" s="151"/>
      <c r="N547" s="151"/>
    </row>
    <row r="548" ht="15.75" customHeight="1">
      <c r="A548" s="151"/>
      <c r="B548" s="151"/>
      <c r="C548" s="152"/>
      <c r="D548" s="151"/>
      <c r="E548" s="151"/>
      <c r="F548" s="151"/>
      <c r="G548" s="151"/>
      <c r="H548" s="151"/>
      <c r="I548" s="151"/>
      <c r="J548" s="151"/>
      <c r="K548" s="151"/>
      <c r="L548" s="151"/>
      <c r="M548" s="151"/>
      <c r="N548" s="151"/>
    </row>
    <row r="549" ht="15.75" customHeight="1">
      <c r="A549" s="151"/>
      <c r="B549" s="151"/>
      <c r="C549" s="152"/>
      <c r="D549" s="151"/>
      <c r="E549" s="151"/>
      <c r="F549" s="151"/>
      <c r="G549" s="151"/>
      <c r="H549" s="151"/>
      <c r="I549" s="151"/>
      <c r="J549" s="151"/>
      <c r="K549" s="151"/>
      <c r="L549" s="151"/>
      <c r="M549" s="151"/>
      <c r="N549" s="151"/>
    </row>
    <row r="550" ht="15.75" customHeight="1">
      <c r="A550" s="151"/>
      <c r="B550" s="151"/>
      <c r="C550" s="152"/>
      <c r="D550" s="151"/>
      <c r="E550" s="151"/>
      <c r="F550" s="151"/>
      <c r="G550" s="151"/>
      <c r="H550" s="151"/>
      <c r="I550" s="151"/>
      <c r="J550" s="151"/>
      <c r="K550" s="151"/>
      <c r="L550" s="151"/>
      <c r="M550" s="151"/>
      <c r="N550" s="151"/>
    </row>
    <row r="551" ht="15.75" customHeight="1">
      <c r="A551" s="151"/>
      <c r="B551" s="151"/>
      <c r="C551" s="152"/>
      <c r="D551" s="151"/>
      <c r="E551" s="151"/>
      <c r="F551" s="151"/>
      <c r="G551" s="151"/>
      <c r="H551" s="151"/>
      <c r="I551" s="151"/>
      <c r="J551" s="151"/>
      <c r="K551" s="151"/>
      <c r="L551" s="151"/>
      <c r="M551" s="151"/>
      <c r="N551" s="151"/>
    </row>
    <row r="552" ht="15.75" customHeight="1">
      <c r="A552" s="151"/>
      <c r="B552" s="151"/>
      <c r="C552" s="152"/>
      <c r="D552" s="151"/>
      <c r="E552" s="151"/>
      <c r="F552" s="151"/>
      <c r="G552" s="151"/>
      <c r="H552" s="151"/>
      <c r="I552" s="151"/>
      <c r="J552" s="151"/>
      <c r="K552" s="151"/>
      <c r="L552" s="151"/>
      <c r="M552" s="151"/>
      <c r="N552" s="151"/>
    </row>
    <row r="553" ht="15.75" customHeight="1">
      <c r="A553" s="151"/>
      <c r="B553" s="151"/>
      <c r="C553" s="152"/>
      <c r="D553" s="151"/>
      <c r="E553" s="151"/>
      <c r="F553" s="151"/>
      <c r="G553" s="151"/>
      <c r="H553" s="151"/>
      <c r="I553" s="151"/>
      <c r="J553" s="151"/>
      <c r="K553" s="151"/>
      <c r="L553" s="151"/>
      <c r="M553" s="151"/>
      <c r="N553" s="151"/>
    </row>
    <row r="554" ht="15.75" customHeight="1">
      <c r="A554" s="151"/>
      <c r="B554" s="151"/>
      <c r="C554" s="152"/>
      <c r="D554" s="151"/>
      <c r="E554" s="151"/>
      <c r="F554" s="151"/>
      <c r="G554" s="151"/>
      <c r="H554" s="151"/>
      <c r="I554" s="151"/>
      <c r="J554" s="151"/>
      <c r="K554" s="151"/>
      <c r="L554" s="151"/>
      <c r="M554" s="151"/>
      <c r="N554" s="151"/>
    </row>
    <row r="555" ht="15.75" customHeight="1">
      <c r="A555" s="151"/>
      <c r="B555" s="151"/>
      <c r="C555" s="152"/>
      <c r="D555" s="151"/>
      <c r="E555" s="151"/>
      <c r="F555" s="151"/>
      <c r="G555" s="151"/>
      <c r="H555" s="151"/>
      <c r="I555" s="151"/>
      <c r="J555" s="151"/>
      <c r="K555" s="151"/>
      <c r="L555" s="151"/>
      <c r="M555" s="151"/>
      <c r="N555" s="151"/>
    </row>
    <row r="556" ht="15.75" customHeight="1">
      <c r="A556" s="151"/>
      <c r="B556" s="151"/>
      <c r="C556" s="152"/>
      <c r="D556" s="151"/>
      <c r="E556" s="151"/>
      <c r="F556" s="151"/>
      <c r="G556" s="151"/>
      <c r="H556" s="151"/>
      <c r="I556" s="151"/>
      <c r="J556" s="151"/>
      <c r="K556" s="151"/>
      <c r="L556" s="151"/>
      <c r="M556" s="151"/>
      <c r="N556" s="151"/>
    </row>
    <row r="557" ht="15.75" customHeight="1">
      <c r="A557" s="151"/>
      <c r="B557" s="151"/>
      <c r="C557" s="152"/>
      <c r="D557" s="151"/>
      <c r="E557" s="151"/>
      <c r="F557" s="151"/>
      <c r="G557" s="151"/>
      <c r="H557" s="151"/>
      <c r="I557" s="151"/>
      <c r="J557" s="151"/>
      <c r="K557" s="151"/>
      <c r="L557" s="151"/>
      <c r="M557" s="151"/>
      <c r="N557" s="151"/>
    </row>
    <row r="558" ht="15.75" customHeight="1">
      <c r="A558" s="151"/>
      <c r="B558" s="151"/>
      <c r="C558" s="152"/>
      <c r="D558" s="151"/>
      <c r="E558" s="151"/>
      <c r="F558" s="151"/>
      <c r="G558" s="151"/>
      <c r="H558" s="151"/>
      <c r="I558" s="151"/>
      <c r="J558" s="151"/>
      <c r="K558" s="151"/>
      <c r="L558" s="151"/>
      <c r="M558" s="151"/>
      <c r="N558" s="151"/>
    </row>
    <row r="559" ht="15.75" customHeight="1">
      <c r="A559" s="151"/>
      <c r="B559" s="151"/>
      <c r="C559" s="152"/>
      <c r="D559" s="151"/>
      <c r="E559" s="151"/>
      <c r="F559" s="151"/>
      <c r="G559" s="151"/>
      <c r="H559" s="151"/>
      <c r="I559" s="151"/>
      <c r="J559" s="151"/>
      <c r="K559" s="151"/>
      <c r="L559" s="151"/>
      <c r="M559" s="151"/>
      <c r="N559" s="151"/>
    </row>
    <row r="560" ht="15.75" customHeight="1">
      <c r="A560" s="151"/>
      <c r="B560" s="151"/>
      <c r="C560" s="152"/>
      <c r="D560" s="151"/>
      <c r="E560" s="151"/>
      <c r="F560" s="151"/>
      <c r="G560" s="151"/>
      <c r="H560" s="151"/>
      <c r="I560" s="151"/>
      <c r="J560" s="151"/>
      <c r="K560" s="151"/>
      <c r="L560" s="151"/>
      <c r="M560" s="151"/>
      <c r="N560" s="151"/>
    </row>
    <row r="561" ht="15.75" customHeight="1">
      <c r="A561" s="151"/>
      <c r="B561" s="151"/>
      <c r="C561" s="152"/>
      <c r="D561" s="151"/>
      <c r="E561" s="151"/>
      <c r="F561" s="151"/>
      <c r="G561" s="151"/>
      <c r="H561" s="151"/>
      <c r="I561" s="151"/>
      <c r="J561" s="151"/>
      <c r="K561" s="151"/>
      <c r="L561" s="151"/>
      <c r="M561" s="151"/>
      <c r="N561" s="151"/>
    </row>
    <row r="562" ht="15.75" customHeight="1">
      <c r="A562" s="151"/>
      <c r="B562" s="151"/>
      <c r="C562" s="152"/>
      <c r="D562" s="151"/>
      <c r="E562" s="151"/>
      <c r="F562" s="151"/>
      <c r="G562" s="151"/>
      <c r="H562" s="151"/>
      <c r="I562" s="151"/>
      <c r="J562" s="151"/>
      <c r="K562" s="151"/>
      <c r="L562" s="151"/>
      <c r="M562" s="151"/>
      <c r="N562" s="151"/>
    </row>
    <row r="563" ht="15.75" customHeight="1">
      <c r="A563" s="151"/>
      <c r="B563" s="151"/>
      <c r="C563" s="152"/>
      <c r="D563" s="151"/>
      <c r="E563" s="151"/>
      <c r="F563" s="151"/>
      <c r="G563" s="151"/>
      <c r="H563" s="151"/>
      <c r="I563" s="151"/>
      <c r="J563" s="151"/>
      <c r="K563" s="151"/>
      <c r="L563" s="151"/>
      <c r="M563" s="151"/>
      <c r="N563" s="151"/>
    </row>
    <row r="564" ht="15.75" customHeight="1">
      <c r="A564" s="151"/>
      <c r="B564" s="151"/>
      <c r="C564" s="152"/>
      <c r="D564" s="151"/>
      <c r="E564" s="151"/>
      <c r="F564" s="151"/>
      <c r="G564" s="151"/>
      <c r="H564" s="151"/>
      <c r="I564" s="151"/>
      <c r="J564" s="151"/>
      <c r="K564" s="151"/>
      <c r="L564" s="151"/>
      <c r="M564" s="151"/>
      <c r="N564" s="151"/>
    </row>
    <row r="565" ht="15.75" customHeight="1">
      <c r="A565" s="151"/>
      <c r="B565" s="151"/>
      <c r="C565" s="152"/>
      <c r="D565" s="151"/>
      <c r="E565" s="151"/>
      <c r="F565" s="151"/>
      <c r="G565" s="151"/>
      <c r="H565" s="151"/>
      <c r="I565" s="151"/>
      <c r="J565" s="151"/>
      <c r="K565" s="151"/>
      <c r="L565" s="151"/>
      <c r="M565" s="151"/>
      <c r="N565" s="151"/>
    </row>
    <row r="566" ht="15.75" customHeight="1">
      <c r="A566" s="151"/>
      <c r="B566" s="151"/>
      <c r="C566" s="152"/>
      <c r="D566" s="151"/>
      <c r="E566" s="151"/>
      <c r="F566" s="151"/>
      <c r="G566" s="151"/>
      <c r="H566" s="151"/>
      <c r="I566" s="151"/>
      <c r="J566" s="151"/>
      <c r="K566" s="151"/>
      <c r="L566" s="151"/>
      <c r="M566" s="151"/>
      <c r="N566" s="151"/>
    </row>
    <row r="567" ht="15.75" customHeight="1">
      <c r="A567" s="151"/>
      <c r="B567" s="151"/>
      <c r="C567" s="152"/>
      <c r="D567" s="151"/>
      <c r="E567" s="151"/>
      <c r="F567" s="151"/>
      <c r="G567" s="151"/>
      <c r="H567" s="151"/>
      <c r="I567" s="151"/>
      <c r="J567" s="151"/>
      <c r="K567" s="151"/>
      <c r="L567" s="151"/>
      <c r="M567" s="151"/>
      <c r="N567" s="151"/>
    </row>
    <row r="568" ht="15.75" customHeight="1">
      <c r="A568" s="151"/>
      <c r="B568" s="151"/>
      <c r="C568" s="152"/>
      <c r="D568" s="151"/>
      <c r="E568" s="151"/>
      <c r="F568" s="151"/>
      <c r="G568" s="151"/>
      <c r="H568" s="151"/>
      <c r="I568" s="151"/>
      <c r="J568" s="151"/>
      <c r="K568" s="151"/>
      <c r="L568" s="151"/>
      <c r="M568" s="151"/>
      <c r="N568" s="151"/>
    </row>
    <row r="569" ht="15.75" customHeight="1">
      <c r="A569" s="151"/>
      <c r="B569" s="151"/>
      <c r="C569" s="152"/>
      <c r="D569" s="151"/>
      <c r="E569" s="151"/>
      <c r="F569" s="151"/>
      <c r="G569" s="151"/>
      <c r="H569" s="151"/>
      <c r="I569" s="151"/>
      <c r="J569" s="151"/>
      <c r="K569" s="151"/>
      <c r="L569" s="151"/>
      <c r="M569" s="151"/>
      <c r="N569" s="151"/>
    </row>
    <row r="570" ht="15.75" customHeight="1">
      <c r="A570" s="151"/>
      <c r="B570" s="151"/>
      <c r="C570" s="152"/>
      <c r="D570" s="151"/>
      <c r="E570" s="151"/>
      <c r="F570" s="151"/>
      <c r="G570" s="151"/>
      <c r="H570" s="151"/>
      <c r="I570" s="151"/>
      <c r="J570" s="151"/>
      <c r="K570" s="151"/>
      <c r="L570" s="151"/>
      <c r="M570" s="151"/>
      <c r="N570" s="151"/>
    </row>
    <row r="571" ht="15.75" customHeight="1">
      <c r="A571" s="151"/>
      <c r="B571" s="151"/>
      <c r="C571" s="152"/>
      <c r="D571" s="151"/>
      <c r="E571" s="151"/>
      <c r="F571" s="151"/>
      <c r="G571" s="151"/>
      <c r="H571" s="151"/>
      <c r="I571" s="151"/>
      <c r="J571" s="151"/>
      <c r="K571" s="151"/>
      <c r="L571" s="151"/>
      <c r="M571" s="151"/>
      <c r="N571" s="151"/>
    </row>
    <row r="572" ht="15.75" customHeight="1">
      <c r="A572" s="151"/>
      <c r="B572" s="151"/>
      <c r="C572" s="152"/>
      <c r="D572" s="151"/>
      <c r="E572" s="151"/>
      <c r="F572" s="151"/>
      <c r="G572" s="151"/>
      <c r="H572" s="151"/>
      <c r="I572" s="151"/>
      <c r="J572" s="151"/>
      <c r="K572" s="151"/>
      <c r="L572" s="151"/>
      <c r="M572" s="151"/>
      <c r="N572" s="151"/>
    </row>
    <row r="573" ht="15.75" customHeight="1">
      <c r="A573" s="151"/>
      <c r="B573" s="151"/>
      <c r="C573" s="152"/>
      <c r="D573" s="151"/>
      <c r="E573" s="151"/>
      <c r="F573" s="151"/>
      <c r="G573" s="151"/>
      <c r="H573" s="151"/>
      <c r="I573" s="151"/>
      <c r="J573" s="151"/>
      <c r="K573" s="151"/>
      <c r="L573" s="151"/>
      <c r="M573" s="151"/>
      <c r="N573" s="151"/>
    </row>
    <row r="574" ht="15.75" customHeight="1">
      <c r="A574" s="151"/>
      <c r="B574" s="151"/>
      <c r="C574" s="152"/>
      <c r="D574" s="151"/>
      <c r="E574" s="151"/>
      <c r="F574" s="151"/>
      <c r="G574" s="151"/>
      <c r="H574" s="151"/>
      <c r="I574" s="151"/>
      <c r="J574" s="151"/>
      <c r="K574" s="151"/>
      <c r="L574" s="151"/>
      <c r="M574" s="151"/>
      <c r="N574" s="151"/>
    </row>
    <row r="575" ht="15.75" customHeight="1">
      <c r="A575" s="151"/>
      <c r="B575" s="151"/>
      <c r="C575" s="152"/>
      <c r="D575" s="151"/>
      <c r="E575" s="151"/>
      <c r="F575" s="151"/>
      <c r="G575" s="151"/>
      <c r="H575" s="151"/>
      <c r="I575" s="151"/>
      <c r="J575" s="151"/>
      <c r="K575" s="151"/>
      <c r="L575" s="151"/>
      <c r="M575" s="151"/>
      <c r="N575" s="151"/>
    </row>
    <row r="576" ht="15.75" customHeight="1">
      <c r="A576" s="151"/>
      <c r="B576" s="151"/>
      <c r="C576" s="152"/>
      <c r="D576" s="151"/>
      <c r="E576" s="151"/>
      <c r="F576" s="151"/>
      <c r="G576" s="151"/>
      <c r="H576" s="151"/>
      <c r="I576" s="151"/>
      <c r="J576" s="151"/>
      <c r="K576" s="151"/>
      <c r="L576" s="151"/>
      <c r="M576" s="151"/>
      <c r="N576" s="151"/>
    </row>
    <row r="577" ht="15.75" customHeight="1">
      <c r="A577" s="151"/>
      <c r="B577" s="151"/>
      <c r="C577" s="152"/>
      <c r="D577" s="151"/>
      <c r="E577" s="151"/>
      <c r="F577" s="151"/>
      <c r="G577" s="151"/>
      <c r="H577" s="151"/>
      <c r="I577" s="151"/>
      <c r="J577" s="151"/>
      <c r="K577" s="151"/>
      <c r="L577" s="151"/>
      <c r="M577" s="151"/>
      <c r="N577" s="151"/>
    </row>
    <row r="578" ht="15.75" customHeight="1">
      <c r="A578" s="151"/>
      <c r="B578" s="151"/>
      <c r="C578" s="152"/>
      <c r="D578" s="151"/>
      <c r="E578" s="151"/>
      <c r="F578" s="151"/>
      <c r="G578" s="151"/>
      <c r="H578" s="151"/>
      <c r="I578" s="151"/>
      <c r="J578" s="151"/>
      <c r="K578" s="151"/>
      <c r="L578" s="151"/>
      <c r="M578" s="151"/>
      <c r="N578" s="151"/>
    </row>
    <row r="579" ht="15.75" customHeight="1">
      <c r="A579" s="151"/>
      <c r="B579" s="151"/>
      <c r="C579" s="152"/>
      <c r="D579" s="151"/>
      <c r="E579" s="151"/>
      <c r="F579" s="151"/>
      <c r="G579" s="151"/>
      <c r="H579" s="151"/>
      <c r="I579" s="151"/>
      <c r="J579" s="151"/>
      <c r="K579" s="151"/>
      <c r="L579" s="151"/>
      <c r="M579" s="151"/>
      <c r="N579" s="151"/>
    </row>
    <row r="580" ht="15.75" customHeight="1">
      <c r="A580" s="151"/>
      <c r="B580" s="151"/>
      <c r="C580" s="152"/>
      <c r="D580" s="151"/>
      <c r="E580" s="151"/>
      <c r="F580" s="151"/>
      <c r="G580" s="151"/>
      <c r="H580" s="151"/>
      <c r="I580" s="151"/>
      <c r="J580" s="151"/>
      <c r="K580" s="151"/>
      <c r="L580" s="151"/>
      <c r="M580" s="151"/>
      <c r="N580" s="151"/>
    </row>
    <row r="581" ht="15.75" customHeight="1">
      <c r="A581" s="151"/>
      <c r="B581" s="151"/>
      <c r="C581" s="152"/>
      <c r="D581" s="151"/>
      <c r="E581" s="151"/>
      <c r="F581" s="151"/>
      <c r="G581" s="151"/>
      <c r="H581" s="151"/>
      <c r="I581" s="151"/>
      <c r="J581" s="151"/>
      <c r="K581" s="151"/>
      <c r="L581" s="151"/>
      <c r="M581" s="151"/>
      <c r="N581" s="151"/>
    </row>
    <row r="582" ht="15.75" customHeight="1">
      <c r="A582" s="151"/>
      <c r="B582" s="151"/>
      <c r="C582" s="152"/>
      <c r="D582" s="151"/>
      <c r="E582" s="151"/>
      <c r="F582" s="151"/>
      <c r="G582" s="151"/>
      <c r="H582" s="151"/>
      <c r="I582" s="151"/>
      <c r="J582" s="151"/>
      <c r="K582" s="151"/>
      <c r="L582" s="151"/>
      <c r="M582" s="151"/>
      <c r="N582" s="151"/>
    </row>
    <row r="583" ht="15.75" customHeight="1">
      <c r="A583" s="151"/>
      <c r="B583" s="151"/>
      <c r="C583" s="152"/>
      <c r="D583" s="151"/>
      <c r="E583" s="151"/>
      <c r="F583" s="151"/>
      <c r="G583" s="151"/>
      <c r="H583" s="151"/>
      <c r="I583" s="151"/>
      <c r="J583" s="151"/>
      <c r="K583" s="151"/>
      <c r="L583" s="151"/>
      <c r="M583" s="151"/>
      <c r="N583" s="151"/>
    </row>
    <row r="584" ht="15.75" customHeight="1">
      <c r="A584" s="151"/>
      <c r="B584" s="151"/>
      <c r="C584" s="152"/>
      <c r="D584" s="151"/>
      <c r="E584" s="151"/>
      <c r="F584" s="151"/>
      <c r="G584" s="151"/>
      <c r="H584" s="151"/>
      <c r="I584" s="151"/>
      <c r="J584" s="151"/>
      <c r="K584" s="151"/>
      <c r="L584" s="151"/>
      <c r="M584" s="151"/>
      <c r="N584" s="151"/>
    </row>
    <row r="585" ht="15.75" customHeight="1">
      <c r="A585" s="151"/>
      <c r="B585" s="151"/>
      <c r="C585" s="152"/>
      <c r="D585" s="151"/>
      <c r="E585" s="151"/>
      <c r="F585" s="151"/>
      <c r="G585" s="151"/>
      <c r="H585" s="151"/>
      <c r="I585" s="151"/>
      <c r="J585" s="151"/>
      <c r="K585" s="151"/>
      <c r="L585" s="151"/>
      <c r="M585" s="151"/>
      <c r="N585" s="151"/>
    </row>
    <row r="586" ht="15.75" customHeight="1">
      <c r="A586" s="151"/>
      <c r="B586" s="151"/>
      <c r="C586" s="152"/>
      <c r="D586" s="151"/>
      <c r="E586" s="151"/>
      <c r="F586" s="151"/>
      <c r="G586" s="151"/>
      <c r="H586" s="151"/>
      <c r="I586" s="151"/>
      <c r="J586" s="151"/>
      <c r="K586" s="151"/>
      <c r="L586" s="151"/>
      <c r="M586" s="151"/>
      <c r="N586" s="151"/>
    </row>
    <row r="587" ht="15.75" customHeight="1">
      <c r="A587" s="151"/>
      <c r="B587" s="151"/>
      <c r="C587" s="152"/>
      <c r="D587" s="151"/>
      <c r="E587" s="151"/>
      <c r="F587" s="151"/>
      <c r="G587" s="151"/>
      <c r="H587" s="151"/>
      <c r="I587" s="151"/>
      <c r="J587" s="151"/>
      <c r="K587" s="151"/>
      <c r="L587" s="151"/>
      <c r="M587" s="151"/>
      <c r="N587" s="151"/>
    </row>
    <row r="588" ht="15.75" customHeight="1">
      <c r="A588" s="151"/>
      <c r="B588" s="151"/>
      <c r="C588" s="152"/>
      <c r="D588" s="151"/>
      <c r="E588" s="151"/>
      <c r="F588" s="151"/>
      <c r="G588" s="151"/>
      <c r="H588" s="151"/>
      <c r="I588" s="151"/>
      <c r="J588" s="151"/>
      <c r="K588" s="151"/>
      <c r="L588" s="151"/>
      <c r="M588" s="151"/>
      <c r="N588" s="151"/>
    </row>
    <row r="589" ht="15.75" customHeight="1">
      <c r="A589" s="151"/>
      <c r="B589" s="151"/>
      <c r="C589" s="152"/>
      <c r="D589" s="151"/>
      <c r="E589" s="151"/>
      <c r="F589" s="151"/>
      <c r="G589" s="151"/>
      <c r="H589" s="151"/>
      <c r="I589" s="151"/>
      <c r="J589" s="151"/>
      <c r="K589" s="151"/>
      <c r="L589" s="151"/>
      <c r="M589" s="151"/>
      <c r="N589" s="151"/>
    </row>
    <row r="590" ht="15.75" customHeight="1">
      <c r="A590" s="151"/>
      <c r="B590" s="151"/>
      <c r="C590" s="152"/>
      <c r="D590" s="151"/>
      <c r="E590" s="151"/>
      <c r="F590" s="151"/>
      <c r="G590" s="151"/>
      <c r="H590" s="151"/>
      <c r="I590" s="151"/>
      <c r="J590" s="151"/>
      <c r="K590" s="151"/>
      <c r="L590" s="151"/>
      <c r="M590" s="151"/>
      <c r="N590" s="151"/>
    </row>
    <row r="591" ht="15.75" customHeight="1">
      <c r="A591" s="151"/>
      <c r="B591" s="151"/>
      <c r="C591" s="152"/>
      <c r="D591" s="151"/>
      <c r="E591" s="151"/>
      <c r="F591" s="151"/>
      <c r="G591" s="151"/>
      <c r="H591" s="151"/>
      <c r="I591" s="151"/>
      <c r="J591" s="151"/>
      <c r="K591" s="151"/>
      <c r="L591" s="151"/>
      <c r="M591" s="151"/>
      <c r="N591" s="151"/>
    </row>
    <row r="592" ht="15.75" customHeight="1">
      <c r="A592" s="151"/>
      <c r="B592" s="151"/>
      <c r="C592" s="152"/>
      <c r="D592" s="151"/>
      <c r="E592" s="151"/>
      <c r="F592" s="151"/>
      <c r="G592" s="151"/>
      <c r="H592" s="151"/>
      <c r="I592" s="151"/>
      <c r="J592" s="151"/>
      <c r="K592" s="151"/>
      <c r="L592" s="151"/>
      <c r="M592" s="151"/>
      <c r="N592" s="151"/>
    </row>
    <row r="593" ht="15.75" customHeight="1">
      <c r="A593" s="151"/>
      <c r="B593" s="151"/>
      <c r="C593" s="152"/>
      <c r="D593" s="151"/>
      <c r="E593" s="151"/>
      <c r="F593" s="151"/>
      <c r="G593" s="151"/>
      <c r="H593" s="151"/>
      <c r="I593" s="151"/>
      <c r="J593" s="151"/>
      <c r="K593" s="151"/>
      <c r="L593" s="151"/>
      <c r="M593" s="151"/>
      <c r="N593" s="151"/>
    </row>
    <row r="594" ht="15.75" customHeight="1">
      <c r="A594" s="151"/>
      <c r="B594" s="151"/>
      <c r="C594" s="152"/>
      <c r="D594" s="151"/>
      <c r="E594" s="151"/>
      <c r="F594" s="151"/>
      <c r="G594" s="151"/>
      <c r="H594" s="151"/>
      <c r="I594" s="151"/>
      <c r="J594" s="151"/>
      <c r="K594" s="151"/>
      <c r="L594" s="151"/>
      <c r="M594" s="151"/>
      <c r="N594" s="151"/>
    </row>
    <row r="595" ht="15.75" customHeight="1">
      <c r="A595" s="151"/>
      <c r="B595" s="151"/>
      <c r="C595" s="152"/>
      <c r="D595" s="151"/>
      <c r="E595" s="151"/>
      <c r="F595" s="151"/>
      <c r="G595" s="151"/>
      <c r="H595" s="151"/>
      <c r="I595" s="151"/>
      <c r="J595" s="151"/>
      <c r="K595" s="151"/>
      <c r="L595" s="151"/>
      <c r="M595" s="151"/>
      <c r="N595" s="151"/>
    </row>
    <row r="596" ht="15.75" customHeight="1">
      <c r="A596" s="151"/>
      <c r="B596" s="151"/>
      <c r="C596" s="152"/>
      <c r="D596" s="151"/>
      <c r="E596" s="151"/>
      <c r="F596" s="151"/>
      <c r="G596" s="151"/>
      <c r="H596" s="151"/>
      <c r="I596" s="151"/>
      <c r="J596" s="151"/>
      <c r="K596" s="151"/>
      <c r="L596" s="151"/>
      <c r="M596" s="151"/>
      <c r="N596" s="151"/>
    </row>
    <row r="597" ht="15.75" customHeight="1">
      <c r="A597" s="151"/>
      <c r="B597" s="151"/>
      <c r="C597" s="152"/>
      <c r="D597" s="151"/>
      <c r="E597" s="151"/>
      <c r="F597" s="151"/>
      <c r="G597" s="151"/>
      <c r="H597" s="151"/>
      <c r="I597" s="151"/>
      <c r="J597" s="151"/>
      <c r="K597" s="151"/>
      <c r="L597" s="151"/>
      <c r="M597" s="151"/>
      <c r="N597" s="151"/>
    </row>
    <row r="598" ht="15.75" customHeight="1">
      <c r="A598" s="151"/>
      <c r="B598" s="151"/>
      <c r="C598" s="152"/>
      <c r="D598" s="151"/>
      <c r="E598" s="151"/>
      <c r="F598" s="151"/>
      <c r="G598" s="151"/>
      <c r="H598" s="151"/>
      <c r="I598" s="151"/>
      <c r="J598" s="151"/>
      <c r="K598" s="151"/>
      <c r="L598" s="151"/>
      <c r="M598" s="151"/>
      <c r="N598" s="151"/>
    </row>
    <row r="599" ht="15.75" customHeight="1">
      <c r="A599" s="151"/>
      <c r="B599" s="151"/>
      <c r="C599" s="152"/>
      <c r="D599" s="151"/>
      <c r="E599" s="151"/>
      <c r="F599" s="151"/>
      <c r="G599" s="151"/>
      <c r="H599" s="151"/>
      <c r="I599" s="151"/>
      <c r="J599" s="151"/>
      <c r="K599" s="151"/>
      <c r="L599" s="151"/>
      <c r="M599" s="151"/>
      <c r="N599" s="151"/>
    </row>
    <row r="600" ht="15.75" customHeight="1">
      <c r="A600" s="151"/>
      <c r="B600" s="151"/>
      <c r="C600" s="152"/>
      <c r="D600" s="151"/>
      <c r="E600" s="151"/>
      <c r="F600" s="151"/>
      <c r="G600" s="151"/>
      <c r="H600" s="151"/>
      <c r="I600" s="151"/>
      <c r="J600" s="151"/>
      <c r="K600" s="151"/>
      <c r="L600" s="151"/>
      <c r="M600" s="151"/>
      <c r="N600" s="151"/>
    </row>
    <row r="601" ht="15.75" customHeight="1">
      <c r="A601" s="151"/>
      <c r="B601" s="151"/>
      <c r="C601" s="152"/>
      <c r="D601" s="151"/>
      <c r="E601" s="151"/>
      <c r="F601" s="151"/>
      <c r="G601" s="151"/>
      <c r="H601" s="151"/>
      <c r="I601" s="151"/>
      <c r="J601" s="151"/>
      <c r="K601" s="151"/>
      <c r="L601" s="151"/>
      <c r="M601" s="151"/>
      <c r="N601" s="151"/>
    </row>
    <row r="602" ht="15.75" customHeight="1">
      <c r="A602" s="151"/>
      <c r="B602" s="151"/>
      <c r="C602" s="152"/>
      <c r="D602" s="151"/>
      <c r="E602" s="151"/>
      <c r="F602" s="151"/>
      <c r="G602" s="151"/>
      <c r="H602" s="151"/>
      <c r="I602" s="151"/>
      <c r="J602" s="151"/>
      <c r="K602" s="151"/>
      <c r="L602" s="151"/>
      <c r="M602" s="151"/>
      <c r="N602" s="151"/>
    </row>
    <row r="603" ht="15.75" customHeight="1">
      <c r="A603" s="151"/>
      <c r="B603" s="151"/>
      <c r="C603" s="152"/>
      <c r="D603" s="151"/>
      <c r="E603" s="151"/>
      <c r="F603" s="151"/>
      <c r="G603" s="151"/>
      <c r="H603" s="151"/>
      <c r="I603" s="151"/>
      <c r="J603" s="151"/>
      <c r="K603" s="151"/>
      <c r="L603" s="151"/>
      <c r="M603" s="151"/>
      <c r="N603" s="151"/>
    </row>
    <row r="604" ht="15.75" customHeight="1">
      <c r="A604" s="151"/>
      <c r="B604" s="151"/>
      <c r="C604" s="152"/>
      <c r="D604" s="151"/>
      <c r="E604" s="151"/>
      <c r="F604" s="151"/>
      <c r="G604" s="151"/>
      <c r="H604" s="151"/>
      <c r="I604" s="151"/>
      <c r="J604" s="151"/>
      <c r="K604" s="151"/>
      <c r="L604" s="151"/>
      <c r="M604" s="151"/>
      <c r="N604" s="151"/>
    </row>
    <row r="605" ht="15.75" customHeight="1">
      <c r="A605" s="151"/>
      <c r="B605" s="151"/>
      <c r="C605" s="152"/>
      <c r="D605" s="151"/>
      <c r="E605" s="151"/>
      <c r="F605" s="151"/>
      <c r="G605" s="151"/>
      <c r="H605" s="151"/>
      <c r="I605" s="151"/>
      <c r="J605" s="151"/>
      <c r="K605" s="151"/>
      <c r="L605" s="151"/>
      <c r="M605" s="151"/>
      <c r="N605" s="151"/>
    </row>
    <row r="606" ht="15.75" customHeight="1">
      <c r="A606" s="151"/>
      <c r="B606" s="151"/>
      <c r="C606" s="152"/>
      <c r="D606" s="151"/>
      <c r="E606" s="151"/>
      <c r="F606" s="151"/>
      <c r="G606" s="151"/>
      <c r="H606" s="151"/>
      <c r="I606" s="151"/>
      <c r="J606" s="151"/>
      <c r="K606" s="151"/>
      <c r="L606" s="151"/>
      <c r="M606" s="151"/>
      <c r="N606" s="151"/>
    </row>
    <row r="607" ht="15.75" customHeight="1">
      <c r="A607" s="151"/>
      <c r="B607" s="151"/>
      <c r="C607" s="152"/>
      <c r="D607" s="151"/>
      <c r="E607" s="151"/>
      <c r="F607" s="151"/>
      <c r="G607" s="151"/>
      <c r="H607" s="151"/>
      <c r="I607" s="151"/>
      <c r="J607" s="151"/>
      <c r="K607" s="151"/>
      <c r="L607" s="151"/>
      <c r="M607" s="151"/>
      <c r="N607" s="151"/>
    </row>
    <row r="608" ht="15.75" customHeight="1">
      <c r="A608" s="151"/>
      <c r="B608" s="151"/>
      <c r="C608" s="152"/>
      <c r="D608" s="151"/>
      <c r="E608" s="151"/>
      <c r="F608" s="151"/>
      <c r="G608" s="151"/>
      <c r="H608" s="151"/>
      <c r="I608" s="151"/>
      <c r="J608" s="151"/>
      <c r="K608" s="151"/>
      <c r="L608" s="151"/>
      <c r="M608" s="151"/>
      <c r="N608" s="151"/>
    </row>
    <row r="609" ht="15.75" customHeight="1">
      <c r="A609" s="151"/>
      <c r="B609" s="151"/>
      <c r="C609" s="152"/>
      <c r="D609" s="151"/>
      <c r="E609" s="151"/>
      <c r="F609" s="151"/>
      <c r="G609" s="151"/>
      <c r="H609" s="151"/>
      <c r="I609" s="151"/>
      <c r="J609" s="151"/>
      <c r="K609" s="151"/>
      <c r="L609" s="151"/>
      <c r="M609" s="151"/>
      <c r="N609" s="151"/>
    </row>
    <row r="610" ht="15.75" customHeight="1">
      <c r="A610" s="151"/>
      <c r="B610" s="151"/>
      <c r="C610" s="152"/>
      <c r="D610" s="151"/>
      <c r="E610" s="151"/>
      <c r="F610" s="151"/>
      <c r="G610" s="151"/>
      <c r="H610" s="151"/>
      <c r="I610" s="151"/>
      <c r="J610" s="151"/>
      <c r="K610" s="151"/>
      <c r="L610" s="151"/>
      <c r="M610" s="151"/>
      <c r="N610" s="151"/>
    </row>
    <row r="611" ht="15.75" customHeight="1">
      <c r="A611" s="151"/>
      <c r="B611" s="151"/>
      <c r="C611" s="152"/>
      <c r="D611" s="151"/>
      <c r="E611" s="151"/>
      <c r="F611" s="151"/>
      <c r="G611" s="151"/>
      <c r="H611" s="151"/>
      <c r="I611" s="151"/>
      <c r="J611" s="151"/>
      <c r="K611" s="151"/>
      <c r="L611" s="151"/>
      <c r="M611" s="151"/>
      <c r="N611" s="151"/>
    </row>
    <row r="612" ht="15.75" customHeight="1">
      <c r="A612" s="151"/>
      <c r="B612" s="151"/>
      <c r="C612" s="152"/>
      <c r="D612" s="151"/>
      <c r="E612" s="151"/>
      <c r="F612" s="151"/>
      <c r="G612" s="151"/>
      <c r="H612" s="151"/>
      <c r="I612" s="151"/>
      <c r="J612" s="151"/>
      <c r="K612" s="151"/>
      <c r="L612" s="151"/>
      <c r="M612" s="151"/>
      <c r="N612" s="151"/>
    </row>
    <row r="613" ht="15.75" customHeight="1">
      <c r="A613" s="151"/>
      <c r="B613" s="151"/>
      <c r="C613" s="152"/>
      <c r="D613" s="151"/>
      <c r="E613" s="151"/>
      <c r="F613" s="151"/>
      <c r="G613" s="151"/>
      <c r="H613" s="151"/>
      <c r="I613" s="151"/>
      <c r="J613" s="151"/>
      <c r="K613" s="151"/>
      <c r="L613" s="151"/>
      <c r="M613" s="151"/>
      <c r="N613" s="151"/>
    </row>
    <row r="614" ht="15.75" customHeight="1">
      <c r="A614" s="151"/>
      <c r="B614" s="151"/>
      <c r="C614" s="152"/>
      <c r="D614" s="151"/>
      <c r="E614" s="151"/>
      <c r="F614" s="151"/>
      <c r="G614" s="151"/>
      <c r="H614" s="151"/>
      <c r="I614" s="151"/>
      <c r="J614" s="151"/>
      <c r="K614" s="151"/>
      <c r="L614" s="151"/>
      <c r="M614" s="151"/>
      <c r="N614" s="151"/>
    </row>
    <row r="615" ht="15.75" customHeight="1">
      <c r="A615" s="151"/>
      <c r="B615" s="151"/>
      <c r="C615" s="152"/>
      <c r="D615" s="151"/>
      <c r="E615" s="151"/>
      <c r="F615" s="151"/>
      <c r="G615" s="151"/>
      <c r="H615" s="151"/>
      <c r="I615" s="151"/>
      <c r="J615" s="151"/>
      <c r="K615" s="151"/>
      <c r="L615" s="151"/>
      <c r="M615" s="151"/>
      <c r="N615" s="151"/>
    </row>
    <row r="616" ht="15.75" customHeight="1">
      <c r="A616" s="151"/>
      <c r="B616" s="151"/>
      <c r="C616" s="152"/>
      <c r="D616" s="151"/>
      <c r="E616" s="151"/>
      <c r="F616" s="151"/>
      <c r="G616" s="151"/>
      <c r="H616" s="151"/>
      <c r="I616" s="151"/>
      <c r="J616" s="151"/>
      <c r="K616" s="151"/>
      <c r="L616" s="151"/>
      <c r="M616" s="151"/>
      <c r="N616" s="151"/>
    </row>
    <row r="617" ht="15.75" customHeight="1">
      <c r="A617" s="151"/>
      <c r="B617" s="151"/>
      <c r="C617" s="152"/>
      <c r="D617" s="151"/>
      <c r="E617" s="151"/>
      <c r="F617" s="151"/>
      <c r="G617" s="151"/>
      <c r="H617" s="151"/>
      <c r="I617" s="151"/>
      <c r="J617" s="151"/>
      <c r="K617" s="151"/>
      <c r="L617" s="151"/>
      <c r="M617" s="151"/>
      <c r="N617" s="151"/>
    </row>
    <row r="618" ht="15.75" customHeight="1">
      <c r="A618" s="151"/>
      <c r="B618" s="151"/>
      <c r="C618" s="152"/>
      <c r="D618" s="151"/>
      <c r="E618" s="151"/>
      <c r="F618" s="151"/>
      <c r="G618" s="151"/>
      <c r="H618" s="151"/>
      <c r="I618" s="151"/>
      <c r="J618" s="151"/>
      <c r="K618" s="151"/>
      <c r="L618" s="151"/>
      <c r="M618" s="151"/>
      <c r="N618" s="151"/>
    </row>
    <row r="619" ht="15.75" customHeight="1">
      <c r="A619" s="151"/>
      <c r="B619" s="151"/>
      <c r="C619" s="152"/>
      <c r="D619" s="151"/>
      <c r="E619" s="151"/>
      <c r="F619" s="151"/>
      <c r="G619" s="151"/>
      <c r="H619" s="151"/>
      <c r="I619" s="151"/>
      <c r="J619" s="151"/>
      <c r="K619" s="151"/>
      <c r="L619" s="151"/>
      <c r="M619" s="151"/>
      <c r="N619" s="151"/>
    </row>
    <row r="620" ht="15.75" customHeight="1">
      <c r="A620" s="151"/>
      <c r="B620" s="151"/>
      <c r="C620" s="152"/>
      <c r="D620" s="151"/>
      <c r="E620" s="151"/>
      <c r="F620" s="151"/>
      <c r="G620" s="151"/>
      <c r="H620" s="151"/>
      <c r="I620" s="151"/>
      <c r="J620" s="151"/>
      <c r="K620" s="151"/>
      <c r="L620" s="151"/>
      <c r="M620" s="151"/>
      <c r="N620" s="151"/>
    </row>
    <row r="621" ht="15.75" customHeight="1">
      <c r="A621" s="151"/>
      <c r="B621" s="151"/>
      <c r="C621" s="152"/>
      <c r="D621" s="151"/>
      <c r="E621" s="151"/>
      <c r="F621" s="151"/>
      <c r="G621" s="151"/>
      <c r="H621" s="151"/>
      <c r="I621" s="151"/>
      <c r="J621" s="151"/>
      <c r="K621" s="151"/>
      <c r="L621" s="151"/>
      <c r="M621" s="151"/>
      <c r="N621" s="151"/>
    </row>
    <row r="622" ht="15.75" customHeight="1">
      <c r="A622" s="151"/>
      <c r="B622" s="151"/>
      <c r="C622" s="152"/>
      <c r="D622" s="151"/>
      <c r="E622" s="151"/>
      <c r="F622" s="151"/>
      <c r="G622" s="151"/>
      <c r="H622" s="151"/>
      <c r="I622" s="151"/>
      <c r="J622" s="151"/>
      <c r="K622" s="151"/>
      <c r="L622" s="151"/>
      <c r="M622" s="151"/>
      <c r="N622" s="151"/>
    </row>
    <row r="623" ht="15.75" customHeight="1">
      <c r="A623" s="151"/>
      <c r="B623" s="151"/>
      <c r="C623" s="152"/>
      <c r="D623" s="151"/>
      <c r="E623" s="151"/>
      <c r="F623" s="151"/>
      <c r="G623" s="151"/>
      <c r="H623" s="151"/>
      <c r="I623" s="151"/>
      <c r="J623" s="151"/>
      <c r="K623" s="151"/>
      <c r="L623" s="151"/>
      <c r="M623" s="151"/>
      <c r="N623" s="151"/>
    </row>
    <row r="624" ht="15.75" customHeight="1">
      <c r="A624" s="151"/>
      <c r="B624" s="151"/>
      <c r="C624" s="152"/>
      <c r="D624" s="151"/>
      <c r="E624" s="151"/>
      <c r="F624" s="151"/>
      <c r="G624" s="151"/>
      <c r="H624" s="151"/>
      <c r="I624" s="151"/>
      <c r="J624" s="151"/>
      <c r="K624" s="151"/>
      <c r="L624" s="151"/>
      <c r="M624" s="151"/>
      <c r="N624" s="151"/>
    </row>
    <row r="625" ht="15.75" customHeight="1">
      <c r="A625" s="151"/>
      <c r="B625" s="151"/>
      <c r="C625" s="152"/>
      <c r="D625" s="151"/>
      <c r="E625" s="151"/>
      <c r="F625" s="151"/>
      <c r="G625" s="151"/>
      <c r="H625" s="151"/>
      <c r="I625" s="151"/>
      <c r="J625" s="151"/>
      <c r="K625" s="151"/>
      <c r="L625" s="151"/>
      <c r="M625" s="151"/>
      <c r="N625" s="151"/>
    </row>
    <row r="626" ht="15.75" customHeight="1">
      <c r="A626" s="151"/>
      <c r="B626" s="151"/>
      <c r="C626" s="152"/>
      <c r="D626" s="151"/>
      <c r="E626" s="151"/>
      <c r="F626" s="151"/>
      <c r="G626" s="151"/>
      <c r="H626" s="151"/>
      <c r="I626" s="151"/>
      <c r="J626" s="151"/>
      <c r="K626" s="151"/>
      <c r="L626" s="151"/>
      <c r="M626" s="151"/>
      <c r="N626" s="151"/>
    </row>
    <row r="627" ht="15.75" customHeight="1">
      <c r="A627" s="151"/>
      <c r="B627" s="151"/>
      <c r="C627" s="152"/>
      <c r="D627" s="151"/>
      <c r="E627" s="151"/>
      <c r="F627" s="151"/>
      <c r="G627" s="151"/>
      <c r="H627" s="151"/>
      <c r="I627" s="151"/>
      <c r="J627" s="151"/>
      <c r="K627" s="151"/>
      <c r="L627" s="151"/>
      <c r="M627" s="151"/>
      <c r="N627" s="151"/>
    </row>
    <row r="628" ht="15.75" customHeight="1">
      <c r="A628" s="151"/>
      <c r="B628" s="151"/>
      <c r="C628" s="152"/>
      <c r="D628" s="151"/>
      <c r="E628" s="151"/>
      <c r="F628" s="151"/>
      <c r="G628" s="151"/>
      <c r="H628" s="151"/>
      <c r="I628" s="151"/>
      <c r="J628" s="151"/>
      <c r="K628" s="151"/>
      <c r="L628" s="151"/>
      <c r="M628" s="151"/>
      <c r="N628" s="151"/>
    </row>
    <row r="629" ht="15.75" customHeight="1">
      <c r="A629" s="151"/>
      <c r="B629" s="151"/>
      <c r="C629" s="152"/>
      <c r="D629" s="151"/>
      <c r="E629" s="151"/>
      <c r="F629" s="151"/>
      <c r="G629" s="151"/>
      <c r="H629" s="151"/>
      <c r="I629" s="151"/>
      <c r="J629" s="151"/>
      <c r="K629" s="151"/>
      <c r="L629" s="151"/>
      <c r="M629" s="151"/>
      <c r="N629" s="151"/>
    </row>
    <row r="630" ht="15.75" customHeight="1">
      <c r="A630" s="151"/>
      <c r="B630" s="151"/>
      <c r="C630" s="152"/>
      <c r="D630" s="151"/>
      <c r="E630" s="151"/>
      <c r="F630" s="151"/>
      <c r="G630" s="151"/>
      <c r="H630" s="151"/>
      <c r="I630" s="151"/>
      <c r="J630" s="151"/>
      <c r="K630" s="151"/>
      <c r="L630" s="151"/>
      <c r="M630" s="151"/>
      <c r="N630" s="151"/>
    </row>
    <row r="631" ht="15.75" customHeight="1">
      <c r="A631" s="151"/>
      <c r="B631" s="151"/>
      <c r="C631" s="152"/>
      <c r="D631" s="151"/>
      <c r="E631" s="151"/>
      <c r="F631" s="151"/>
      <c r="G631" s="151"/>
      <c r="H631" s="151"/>
      <c r="I631" s="151"/>
      <c r="J631" s="151"/>
      <c r="K631" s="151"/>
      <c r="L631" s="151"/>
      <c r="M631" s="151"/>
      <c r="N631" s="151"/>
    </row>
    <row r="632" ht="15.75" customHeight="1">
      <c r="A632" s="151"/>
      <c r="B632" s="151"/>
      <c r="C632" s="152"/>
      <c r="D632" s="151"/>
      <c r="E632" s="151"/>
      <c r="F632" s="151"/>
      <c r="G632" s="151"/>
      <c r="H632" s="151"/>
      <c r="I632" s="151"/>
      <c r="J632" s="151"/>
      <c r="K632" s="151"/>
      <c r="L632" s="151"/>
      <c r="M632" s="151"/>
      <c r="N632" s="151"/>
    </row>
    <row r="633" ht="15.75" customHeight="1">
      <c r="A633" s="151"/>
      <c r="B633" s="151"/>
      <c r="C633" s="152"/>
      <c r="D633" s="151"/>
      <c r="E633" s="151"/>
      <c r="F633" s="151"/>
      <c r="G633" s="151"/>
      <c r="H633" s="151"/>
      <c r="I633" s="151"/>
      <c r="J633" s="151"/>
      <c r="K633" s="151"/>
      <c r="L633" s="151"/>
      <c r="M633" s="151"/>
      <c r="N633" s="151"/>
    </row>
    <row r="634" ht="15.75" customHeight="1">
      <c r="A634" s="151"/>
      <c r="B634" s="151"/>
      <c r="C634" s="152"/>
      <c r="D634" s="151"/>
      <c r="E634" s="151"/>
      <c r="F634" s="151"/>
      <c r="G634" s="151"/>
      <c r="H634" s="151"/>
      <c r="I634" s="151"/>
      <c r="J634" s="151"/>
      <c r="K634" s="151"/>
      <c r="L634" s="151"/>
      <c r="M634" s="151"/>
      <c r="N634" s="151"/>
    </row>
    <row r="635" ht="15.75" customHeight="1">
      <c r="A635" s="151"/>
      <c r="B635" s="151"/>
      <c r="C635" s="152"/>
      <c r="D635" s="151"/>
      <c r="E635" s="151"/>
      <c r="F635" s="151"/>
      <c r="G635" s="151"/>
      <c r="H635" s="151"/>
      <c r="I635" s="151"/>
      <c r="J635" s="151"/>
      <c r="K635" s="151"/>
      <c r="L635" s="151"/>
      <c r="M635" s="151"/>
      <c r="N635" s="151"/>
    </row>
    <row r="636" ht="15.75" customHeight="1">
      <c r="A636" s="151"/>
      <c r="B636" s="151"/>
      <c r="C636" s="152"/>
      <c r="D636" s="151"/>
      <c r="E636" s="151"/>
      <c r="F636" s="151"/>
      <c r="G636" s="151"/>
      <c r="H636" s="151"/>
      <c r="I636" s="151"/>
      <c r="J636" s="151"/>
      <c r="K636" s="151"/>
      <c r="L636" s="151"/>
      <c r="M636" s="151"/>
      <c r="N636" s="151"/>
    </row>
    <row r="637" ht="15.75" customHeight="1">
      <c r="A637" s="151"/>
      <c r="B637" s="151"/>
      <c r="C637" s="152"/>
      <c r="D637" s="151"/>
      <c r="E637" s="151"/>
      <c r="F637" s="151"/>
      <c r="G637" s="151"/>
      <c r="H637" s="151"/>
      <c r="I637" s="151"/>
      <c r="J637" s="151"/>
      <c r="K637" s="151"/>
      <c r="L637" s="151"/>
      <c r="M637" s="151"/>
      <c r="N637" s="151"/>
    </row>
    <row r="638" ht="15.75" customHeight="1">
      <c r="A638" s="151"/>
      <c r="B638" s="151"/>
      <c r="C638" s="152"/>
      <c r="D638" s="151"/>
      <c r="E638" s="151"/>
      <c r="F638" s="151"/>
      <c r="G638" s="151"/>
      <c r="H638" s="151"/>
      <c r="I638" s="151"/>
      <c r="J638" s="151"/>
      <c r="K638" s="151"/>
      <c r="L638" s="151"/>
      <c r="M638" s="151"/>
      <c r="N638" s="151"/>
    </row>
    <row r="639" ht="15.75" customHeight="1">
      <c r="A639" s="151"/>
      <c r="B639" s="151"/>
      <c r="C639" s="152"/>
      <c r="D639" s="151"/>
      <c r="E639" s="151"/>
      <c r="F639" s="151"/>
      <c r="G639" s="151"/>
      <c r="H639" s="151"/>
      <c r="I639" s="151"/>
      <c r="J639" s="151"/>
      <c r="K639" s="151"/>
      <c r="L639" s="151"/>
      <c r="M639" s="151"/>
      <c r="N639" s="151"/>
    </row>
    <row r="640" ht="15.75" customHeight="1">
      <c r="A640" s="151"/>
      <c r="B640" s="151"/>
      <c r="C640" s="152"/>
      <c r="D640" s="151"/>
      <c r="E640" s="151"/>
      <c r="F640" s="151"/>
      <c r="G640" s="151"/>
      <c r="H640" s="151"/>
      <c r="I640" s="151"/>
      <c r="J640" s="151"/>
      <c r="K640" s="151"/>
      <c r="L640" s="151"/>
      <c r="M640" s="151"/>
      <c r="N640" s="151"/>
    </row>
    <row r="641" ht="15.75" customHeight="1">
      <c r="A641" s="151"/>
      <c r="B641" s="151"/>
      <c r="C641" s="152"/>
      <c r="D641" s="151"/>
      <c r="E641" s="151"/>
      <c r="F641" s="151"/>
      <c r="G641" s="151"/>
      <c r="H641" s="151"/>
      <c r="I641" s="151"/>
      <c r="J641" s="151"/>
      <c r="K641" s="151"/>
      <c r="L641" s="151"/>
      <c r="M641" s="151"/>
      <c r="N641" s="151"/>
    </row>
    <row r="642" ht="15.75" customHeight="1">
      <c r="A642" s="151"/>
      <c r="B642" s="151"/>
      <c r="C642" s="152"/>
      <c r="D642" s="151"/>
      <c r="E642" s="151"/>
      <c r="F642" s="151"/>
      <c r="G642" s="151"/>
      <c r="H642" s="151"/>
      <c r="I642" s="151"/>
      <c r="J642" s="151"/>
      <c r="K642" s="151"/>
      <c r="L642" s="151"/>
      <c r="M642" s="151"/>
      <c r="N642" s="151"/>
    </row>
    <row r="643" ht="15.75" customHeight="1">
      <c r="A643" s="151"/>
      <c r="B643" s="151"/>
      <c r="C643" s="152"/>
      <c r="D643" s="151"/>
      <c r="E643" s="151"/>
      <c r="F643" s="151"/>
      <c r="G643" s="151"/>
      <c r="H643" s="151"/>
      <c r="I643" s="151"/>
      <c r="J643" s="151"/>
      <c r="K643" s="151"/>
      <c r="L643" s="151"/>
      <c r="M643" s="151"/>
      <c r="N643" s="151"/>
    </row>
    <row r="644" ht="15.75" customHeight="1">
      <c r="A644" s="151"/>
      <c r="B644" s="151"/>
      <c r="C644" s="152"/>
      <c r="D644" s="151"/>
      <c r="E644" s="151"/>
      <c r="F644" s="151"/>
      <c r="G644" s="151"/>
      <c r="H644" s="151"/>
      <c r="I644" s="151"/>
      <c r="J644" s="151"/>
      <c r="K644" s="151"/>
      <c r="L644" s="151"/>
      <c r="M644" s="151"/>
      <c r="N644" s="151"/>
    </row>
    <row r="645" ht="15.75" customHeight="1">
      <c r="A645" s="151"/>
      <c r="B645" s="151"/>
      <c r="C645" s="152"/>
      <c r="D645" s="151"/>
      <c r="E645" s="151"/>
      <c r="F645" s="151"/>
      <c r="G645" s="151"/>
      <c r="H645" s="151"/>
      <c r="I645" s="151"/>
      <c r="J645" s="151"/>
      <c r="K645" s="151"/>
      <c r="L645" s="151"/>
      <c r="M645" s="151"/>
      <c r="N645" s="151"/>
    </row>
    <row r="646" ht="15.75" customHeight="1">
      <c r="A646" s="151"/>
      <c r="B646" s="151"/>
      <c r="C646" s="152"/>
      <c r="D646" s="151"/>
      <c r="E646" s="151"/>
      <c r="F646" s="151"/>
      <c r="G646" s="151"/>
      <c r="H646" s="151"/>
      <c r="I646" s="151"/>
      <c r="J646" s="151"/>
      <c r="K646" s="151"/>
      <c r="L646" s="151"/>
      <c r="M646" s="151"/>
      <c r="N646" s="151"/>
    </row>
    <row r="647" ht="15.75" customHeight="1">
      <c r="A647" s="151"/>
      <c r="B647" s="151"/>
      <c r="C647" s="152"/>
      <c r="D647" s="151"/>
      <c r="E647" s="151"/>
      <c r="F647" s="151"/>
      <c r="G647" s="151"/>
      <c r="H647" s="151"/>
      <c r="I647" s="151"/>
      <c r="J647" s="151"/>
      <c r="K647" s="151"/>
      <c r="L647" s="151"/>
      <c r="M647" s="151"/>
      <c r="N647" s="151"/>
    </row>
    <row r="648" ht="15.75" customHeight="1">
      <c r="A648" s="151"/>
      <c r="B648" s="151"/>
      <c r="C648" s="152"/>
      <c r="D648" s="151"/>
      <c r="E648" s="151"/>
      <c r="F648" s="151"/>
      <c r="G648" s="151"/>
      <c r="H648" s="151"/>
      <c r="I648" s="151"/>
      <c r="J648" s="151"/>
      <c r="K648" s="151"/>
      <c r="L648" s="151"/>
      <c r="M648" s="151"/>
      <c r="N648" s="151"/>
    </row>
    <row r="649" ht="15.75" customHeight="1">
      <c r="A649" s="151"/>
      <c r="B649" s="151"/>
      <c r="C649" s="152"/>
      <c r="D649" s="151"/>
      <c r="E649" s="151"/>
      <c r="F649" s="151"/>
      <c r="G649" s="151"/>
      <c r="H649" s="151"/>
      <c r="I649" s="151"/>
      <c r="J649" s="151"/>
      <c r="K649" s="151"/>
      <c r="L649" s="151"/>
      <c r="M649" s="151"/>
      <c r="N649" s="151"/>
    </row>
    <row r="650" ht="15.75" customHeight="1">
      <c r="A650" s="151"/>
      <c r="B650" s="151"/>
      <c r="C650" s="152"/>
      <c r="D650" s="151"/>
      <c r="E650" s="151"/>
      <c r="F650" s="151"/>
      <c r="G650" s="151"/>
      <c r="H650" s="151"/>
      <c r="I650" s="151"/>
      <c r="J650" s="151"/>
      <c r="K650" s="151"/>
      <c r="L650" s="151"/>
      <c r="M650" s="151"/>
      <c r="N650" s="151"/>
    </row>
    <row r="651" ht="15.75" customHeight="1">
      <c r="A651" s="151"/>
      <c r="B651" s="151"/>
      <c r="C651" s="152"/>
      <c r="D651" s="151"/>
      <c r="E651" s="151"/>
      <c r="F651" s="151"/>
      <c r="G651" s="151"/>
      <c r="H651" s="151"/>
      <c r="I651" s="151"/>
      <c r="J651" s="151"/>
      <c r="K651" s="151"/>
      <c r="L651" s="151"/>
      <c r="M651" s="151"/>
      <c r="N651" s="151"/>
    </row>
    <row r="652" ht="15.75" customHeight="1">
      <c r="A652" s="151"/>
      <c r="B652" s="151"/>
      <c r="C652" s="152"/>
      <c r="D652" s="151"/>
      <c r="E652" s="151"/>
      <c r="F652" s="151"/>
      <c r="G652" s="151"/>
      <c r="H652" s="151"/>
      <c r="I652" s="151"/>
      <c r="J652" s="151"/>
      <c r="K652" s="151"/>
      <c r="L652" s="151"/>
      <c r="M652" s="151"/>
      <c r="N652" s="151"/>
    </row>
    <row r="653" ht="15.75" customHeight="1">
      <c r="A653" s="151"/>
      <c r="B653" s="151"/>
      <c r="C653" s="152"/>
      <c r="D653" s="151"/>
      <c r="E653" s="151"/>
      <c r="F653" s="151"/>
      <c r="G653" s="151"/>
      <c r="H653" s="151"/>
      <c r="I653" s="151"/>
      <c r="J653" s="151"/>
      <c r="K653" s="151"/>
      <c r="L653" s="151"/>
      <c r="M653" s="151"/>
      <c r="N653" s="151"/>
    </row>
    <row r="654" ht="15.75" customHeight="1">
      <c r="A654" s="151"/>
      <c r="B654" s="151"/>
      <c r="C654" s="152"/>
      <c r="D654" s="151"/>
      <c r="E654" s="151"/>
      <c r="F654" s="151"/>
      <c r="G654" s="151"/>
      <c r="H654" s="151"/>
      <c r="I654" s="151"/>
      <c r="J654" s="151"/>
      <c r="K654" s="151"/>
      <c r="L654" s="151"/>
      <c r="M654" s="151"/>
      <c r="N654" s="151"/>
    </row>
    <row r="655" ht="15.75" customHeight="1">
      <c r="A655" s="151"/>
      <c r="B655" s="151"/>
      <c r="C655" s="152"/>
      <c r="D655" s="151"/>
      <c r="E655" s="151"/>
      <c r="F655" s="151"/>
      <c r="G655" s="151"/>
      <c r="H655" s="151"/>
      <c r="I655" s="151"/>
      <c r="J655" s="151"/>
      <c r="K655" s="151"/>
      <c r="L655" s="151"/>
      <c r="M655" s="151"/>
      <c r="N655" s="151"/>
    </row>
    <row r="656" ht="15.75" customHeight="1">
      <c r="A656" s="151"/>
      <c r="B656" s="151"/>
      <c r="C656" s="152"/>
      <c r="D656" s="151"/>
      <c r="E656" s="151"/>
      <c r="F656" s="151"/>
      <c r="G656" s="151"/>
      <c r="H656" s="151"/>
      <c r="I656" s="151"/>
      <c r="J656" s="151"/>
      <c r="K656" s="151"/>
      <c r="L656" s="151"/>
      <c r="M656" s="151"/>
      <c r="N656" s="151"/>
    </row>
    <row r="657" ht="15.75" customHeight="1">
      <c r="A657" s="151"/>
      <c r="B657" s="151"/>
      <c r="C657" s="152"/>
      <c r="D657" s="151"/>
      <c r="E657" s="151"/>
      <c r="F657" s="151"/>
      <c r="G657" s="151"/>
      <c r="H657" s="151"/>
      <c r="I657" s="151"/>
      <c r="J657" s="151"/>
      <c r="K657" s="151"/>
      <c r="L657" s="151"/>
      <c r="M657" s="151"/>
      <c r="N657" s="151"/>
    </row>
    <row r="658" ht="15.75" customHeight="1">
      <c r="A658" s="151"/>
      <c r="B658" s="151"/>
      <c r="C658" s="152"/>
      <c r="D658" s="151"/>
      <c r="E658" s="151"/>
      <c r="F658" s="151"/>
      <c r="G658" s="151"/>
      <c r="H658" s="151"/>
      <c r="I658" s="151"/>
      <c r="J658" s="151"/>
      <c r="K658" s="151"/>
      <c r="L658" s="151"/>
      <c r="M658" s="151"/>
      <c r="N658" s="151"/>
    </row>
    <row r="659" ht="15.75" customHeight="1">
      <c r="A659" s="151"/>
      <c r="B659" s="151"/>
      <c r="C659" s="152"/>
      <c r="D659" s="151"/>
      <c r="E659" s="151"/>
      <c r="F659" s="151"/>
      <c r="G659" s="151"/>
      <c r="H659" s="151"/>
      <c r="I659" s="151"/>
      <c r="J659" s="151"/>
      <c r="K659" s="151"/>
      <c r="L659" s="151"/>
      <c r="M659" s="151"/>
      <c r="N659" s="151"/>
    </row>
    <row r="660" ht="15.75" customHeight="1">
      <c r="A660" s="151"/>
      <c r="B660" s="151"/>
      <c r="C660" s="152"/>
      <c r="D660" s="151"/>
      <c r="E660" s="151"/>
      <c r="F660" s="151"/>
      <c r="G660" s="151"/>
      <c r="H660" s="151"/>
      <c r="I660" s="151"/>
      <c r="J660" s="151"/>
      <c r="K660" s="151"/>
      <c r="L660" s="151"/>
      <c r="M660" s="151"/>
      <c r="N660" s="151"/>
    </row>
    <row r="661" ht="15.75" customHeight="1">
      <c r="A661" s="151"/>
      <c r="B661" s="151"/>
      <c r="C661" s="152"/>
      <c r="D661" s="151"/>
      <c r="E661" s="151"/>
      <c r="F661" s="151"/>
      <c r="G661" s="151"/>
      <c r="H661" s="151"/>
      <c r="I661" s="151"/>
      <c r="J661" s="151"/>
      <c r="K661" s="151"/>
      <c r="L661" s="151"/>
      <c r="M661" s="151"/>
      <c r="N661" s="151"/>
    </row>
    <row r="662" ht="15.75" customHeight="1">
      <c r="A662" s="151"/>
      <c r="B662" s="151"/>
      <c r="C662" s="152"/>
      <c r="D662" s="151"/>
      <c r="E662" s="151"/>
      <c r="F662" s="151"/>
      <c r="G662" s="151"/>
      <c r="H662" s="151"/>
      <c r="I662" s="151"/>
      <c r="J662" s="151"/>
      <c r="K662" s="151"/>
      <c r="L662" s="151"/>
      <c r="M662" s="151"/>
      <c r="N662" s="151"/>
    </row>
    <row r="663" ht="15.75" customHeight="1">
      <c r="A663" s="151"/>
      <c r="B663" s="151"/>
      <c r="C663" s="152"/>
      <c r="D663" s="151"/>
      <c r="E663" s="151"/>
      <c r="F663" s="151"/>
      <c r="G663" s="151"/>
      <c r="H663" s="151"/>
      <c r="I663" s="151"/>
      <c r="J663" s="151"/>
      <c r="K663" s="151"/>
      <c r="L663" s="151"/>
      <c r="M663" s="151"/>
      <c r="N663" s="151"/>
    </row>
    <row r="664" ht="15.75" customHeight="1">
      <c r="A664" s="151"/>
      <c r="B664" s="151"/>
      <c r="C664" s="152"/>
      <c r="D664" s="151"/>
      <c r="E664" s="151"/>
      <c r="F664" s="151"/>
      <c r="G664" s="151"/>
      <c r="H664" s="151"/>
      <c r="I664" s="151"/>
      <c r="J664" s="151"/>
      <c r="K664" s="151"/>
      <c r="L664" s="151"/>
      <c r="M664" s="151"/>
      <c r="N664" s="151"/>
    </row>
    <row r="665" ht="15.75" customHeight="1">
      <c r="A665" s="151"/>
      <c r="B665" s="151"/>
      <c r="C665" s="152"/>
      <c r="D665" s="151"/>
      <c r="E665" s="151"/>
      <c r="F665" s="151"/>
      <c r="G665" s="151"/>
      <c r="H665" s="151"/>
      <c r="I665" s="151"/>
      <c r="J665" s="151"/>
      <c r="K665" s="151"/>
      <c r="L665" s="151"/>
      <c r="M665" s="151"/>
      <c r="N665" s="151"/>
    </row>
    <row r="666" ht="15.75" customHeight="1">
      <c r="A666" s="151"/>
      <c r="B666" s="151"/>
      <c r="C666" s="152"/>
      <c r="D666" s="151"/>
      <c r="E666" s="151"/>
      <c r="F666" s="151"/>
      <c r="G666" s="151"/>
      <c r="H666" s="151"/>
      <c r="I666" s="151"/>
      <c r="J666" s="151"/>
      <c r="K666" s="151"/>
      <c r="L666" s="151"/>
      <c r="M666" s="151"/>
      <c r="N666" s="151"/>
    </row>
    <row r="667" ht="15.75" customHeight="1">
      <c r="A667" s="151"/>
      <c r="B667" s="151"/>
      <c r="C667" s="152"/>
      <c r="D667" s="151"/>
      <c r="E667" s="151"/>
      <c r="F667" s="151"/>
      <c r="G667" s="151"/>
      <c r="H667" s="151"/>
      <c r="I667" s="151"/>
      <c r="J667" s="151"/>
      <c r="K667" s="151"/>
      <c r="L667" s="151"/>
      <c r="M667" s="151"/>
      <c r="N667" s="151"/>
    </row>
    <row r="668" ht="15.75" customHeight="1">
      <c r="A668" s="151"/>
      <c r="B668" s="151"/>
      <c r="C668" s="152"/>
      <c r="D668" s="151"/>
      <c r="E668" s="151"/>
      <c r="F668" s="151"/>
      <c r="G668" s="151"/>
      <c r="H668" s="151"/>
      <c r="I668" s="151"/>
      <c r="J668" s="151"/>
      <c r="K668" s="151"/>
      <c r="L668" s="151"/>
      <c r="M668" s="151"/>
      <c r="N668" s="151"/>
    </row>
    <row r="669" ht="15.75" customHeight="1">
      <c r="A669" s="151"/>
      <c r="B669" s="151"/>
      <c r="C669" s="152"/>
      <c r="D669" s="151"/>
      <c r="E669" s="151"/>
      <c r="F669" s="151"/>
      <c r="G669" s="151"/>
      <c r="H669" s="151"/>
      <c r="I669" s="151"/>
      <c r="J669" s="151"/>
      <c r="K669" s="151"/>
      <c r="L669" s="151"/>
      <c r="M669" s="151"/>
      <c r="N669" s="151"/>
    </row>
    <row r="670" ht="15.75" customHeight="1">
      <c r="A670" s="151"/>
      <c r="B670" s="151"/>
      <c r="C670" s="152"/>
      <c r="D670" s="151"/>
      <c r="E670" s="151"/>
      <c r="F670" s="151"/>
      <c r="G670" s="151"/>
      <c r="H670" s="151"/>
      <c r="I670" s="151"/>
      <c r="J670" s="151"/>
      <c r="K670" s="151"/>
      <c r="L670" s="151"/>
      <c r="M670" s="151"/>
      <c r="N670" s="151"/>
    </row>
    <row r="671" ht="15.75" customHeight="1">
      <c r="A671" s="151"/>
      <c r="B671" s="151"/>
      <c r="C671" s="152"/>
      <c r="D671" s="151"/>
      <c r="E671" s="151"/>
      <c r="F671" s="151"/>
      <c r="G671" s="151"/>
      <c r="H671" s="151"/>
      <c r="I671" s="151"/>
      <c r="J671" s="151"/>
      <c r="K671" s="151"/>
      <c r="L671" s="151"/>
      <c r="M671" s="151"/>
      <c r="N671" s="151"/>
    </row>
    <row r="672" ht="15.75" customHeight="1">
      <c r="A672" s="151"/>
      <c r="B672" s="151"/>
      <c r="C672" s="152"/>
      <c r="D672" s="151"/>
      <c r="E672" s="151"/>
      <c r="F672" s="151"/>
      <c r="G672" s="151"/>
      <c r="H672" s="151"/>
      <c r="I672" s="151"/>
      <c r="J672" s="151"/>
      <c r="K672" s="151"/>
      <c r="L672" s="151"/>
      <c r="M672" s="151"/>
      <c r="N672" s="151"/>
    </row>
    <row r="673" ht="15.75" customHeight="1">
      <c r="A673" s="151"/>
      <c r="B673" s="151"/>
      <c r="C673" s="152"/>
      <c r="D673" s="151"/>
      <c r="E673" s="151"/>
      <c r="F673" s="151"/>
      <c r="G673" s="151"/>
      <c r="H673" s="151"/>
      <c r="I673" s="151"/>
      <c r="J673" s="151"/>
      <c r="K673" s="151"/>
      <c r="L673" s="151"/>
      <c r="M673" s="151"/>
      <c r="N673" s="151"/>
    </row>
    <row r="674" ht="15.75" customHeight="1">
      <c r="A674" s="151"/>
      <c r="B674" s="151"/>
      <c r="C674" s="152"/>
      <c r="D674" s="151"/>
      <c r="E674" s="151"/>
      <c r="F674" s="151"/>
      <c r="G674" s="151"/>
      <c r="H674" s="151"/>
      <c r="I674" s="151"/>
      <c r="J674" s="151"/>
      <c r="K674" s="151"/>
      <c r="L674" s="151"/>
      <c r="M674" s="151"/>
      <c r="N674" s="151"/>
    </row>
    <row r="675" ht="15.75" customHeight="1">
      <c r="A675" s="151"/>
      <c r="B675" s="151"/>
      <c r="C675" s="152"/>
      <c r="D675" s="151"/>
      <c r="E675" s="151"/>
      <c r="F675" s="151"/>
      <c r="G675" s="151"/>
      <c r="H675" s="151"/>
      <c r="I675" s="151"/>
      <c r="J675" s="151"/>
      <c r="K675" s="151"/>
      <c r="L675" s="151"/>
      <c r="M675" s="151"/>
      <c r="N675" s="151"/>
    </row>
    <row r="676" ht="15.75" customHeight="1">
      <c r="A676" s="151"/>
      <c r="B676" s="151"/>
      <c r="C676" s="152"/>
      <c r="D676" s="151"/>
      <c r="E676" s="151"/>
      <c r="F676" s="151"/>
      <c r="G676" s="151"/>
      <c r="H676" s="151"/>
      <c r="I676" s="151"/>
      <c r="J676" s="151"/>
      <c r="K676" s="151"/>
      <c r="L676" s="151"/>
      <c r="M676" s="151"/>
      <c r="N676" s="151"/>
    </row>
    <row r="677" ht="15.75" customHeight="1">
      <c r="A677" s="151"/>
      <c r="B677" s="151"/>
      <c r="C677" s="152"/>
      <c r="D677" s="151"/>
      <c r="E677" s="151"/>
      <c r="F677" s="151"/>
      <c r="G677" s="151"/>
      <c r="H677" s="151"/>
      <c r="I677" s="151"/>
      <c r="J677" s="151"/>
      <c r="K677" s="151"/>
      <c r="L677" s="151"/>
      <c r="M677" s="151"/>
      <c r="N677" s="151"/>
    </row>
    <row r="678" ht="15.75" customHeight="1">
      <c r="A678" s="151"/>
      <c r="B678" s="151"/>
      <c r="C678" s="152"/>
      <c r="D678" s="151"/>
      <c r="E678" s="151"/>
      <c r="F678" s="151"/>
      <c r="G678" s="151"/>
      <c r="H678" s="151"/>
      <c r="I678" s="151"/>
      <c r="J678" s="151"/>
      <c r="K678" s="151"/>
      <c r="L678" s="151"/>
      <c r="M678" s="151"/>
      <c r="N678" s="151"/>
    </row>
    <row r="679" ht="15.75" customHeight="1">
      <c r="A679" s="151"/>
      <c r="B679" s="151"/>
      <c r="C679" s="152"/>
      <c r="D679" s="151"/>
      <c r="E679" s="151"/>
      <c r="F679" s="151"/>
      <c r="G679" s="151"/>
      <c r="H679" s="151"/>
      <c r="I679" s="151"/>
      <c r="J679" s="151"/>
      <c r="K679" s="151"/>
      <c r="L679" s="151"/>
      <c r="M679" s="151"/>
      <c r="N679" s="151"/>
    </row>
    <row r="680" ht="15.75" customHeight="1">
      <c r="A680" s="151"/>
      <c r="B680" s="151"/>
      <c r="C680" s="152"/>
      <c r="D680" s="151"/>
      <c r="E680" s="151"/>
      <c r="F680" s="151"/>
      <c r="G680" s="151"/>
      <c r="H680" s="151"/>
      <c r="I680" s="151"/>
      <c r="J680" s="151"/>
      <c r="K680" s="151"/>
      <c r="L680" s="151"/>
      <c r="M680" s="151"/>
      <c r="N680" s="151"/>
    </row>
    <row r="681" ht="15.75" customHeight="1">
      <c r="A681" s="151"/>
      <c r="B681" s="151"/>
      <c r="C681" s="152"/>
      <c r="D681" s="151"/>
      <c r="E681" s="151"/>
      <c r="F681" s="151"/>
      <c r="G681" s="151"/>
      <c r="H681" s="151"/>
      <c r="I681" s="151"/>
      <c r="J681" s="151"/>
      <c r="K681" s="151"/>
      <c r="L681" s="151"/>
      <c r="M681" s="151"/>
      <c r="N681" s="151"/>
    </row>
    <row r="682" ht="15.75" customHeight="1">
      <c r="A682" s="151"/>
      <c r="B682" s="151"/>
      <c r="C682" s="152"/>
      <c r="D682" s="151"/>
      <c r="E682" s="151"/>
      <c r="F682" s="151"/>
      <c r="G682" s="151"/>
      <c r="H682" s="151"/>
      <c r="I682" s="151"/>
      <c r="J682" s="151"/>
      <c r="K682" s="151"/>
      <c r="L682" s="151"/>
      <c r="M682" s="151"/>
      <c r="N682" s="151"/>
    </row>
    <row r="683" ht="15.75" customHeight="1">
      <c r="A683" s="151"/>
      <c r="B683" s="151"/>
      <c r="C683" s="152"/>
      <c r="D683" s="151"/>
      <c r="E683" s="151"/>
      <c r="F683" s="151"/>
      <c r="G683" s="151"/>
      <c r="H683" s="151"/>
      <c r="I683" s="151"/>
      <c r="J683" s="151"/>
      <c r="K683" s="151"/>
      <c r="L683" s="151"/>
      <c r="M683" s="151"/>
      <c r="N683" s="151"/>
    </row>
    <row r="684" ht="15.75" customHeight="1">
      <c r="A684" s="151"/>
      <c r="B684" s="151"/>
      <c r="C684" s="152"/>
      <c r="D684" s="151"/>
      <c r="E684" s="151"/>
      <c r="F684" s="151"/>
      <c r="G684" s="151"/>
      <c r="H684" s="151"/>
      <c r="I684" s="151"/>
      <c r="J684" s="151"/>
      <c r="K684" s="151"/>
      <c r="L684" s="151"/>
      <c r="M684" s="151"/>
      <c r="N684" s="151"/>
    </row>
    <row r="685" ht="15.75" customHeight="1">
      <c r="A685" s="151"/>
      <c r="B685" s="151"/>
      <c r="C685" s="152"/>
      <c r="D685" s="151"/>
      <c r="E685" s="151"/>
      <c r="F685" s="151"/>
      <c r="G685" s="151"/>
      <c r="H685" s="151"/>
      <c r="I685" s="151"/>
      <c r="J685" s="151"/>
      <c r="K685" s="151"/>
      <c r="L685" s="151"/>
      <c r="M685" s="151"/>
      <c r="N685" s="151"/>
    </row>
    <row r="686" ht="15.75" customHeight="1">
      <c r="A686" s="151"/>
      <c r="B686" s="151"/>
      <c r="C686" s="152"/>
      <c r="D686" s="151"/>
      <c r="E686" s="151"/>
      <c r="F686" s="151"/>
      <c r="G686" s="151"/>
      <c r="H686" s="151"/>
      <c r="I686" s="151"/>
      <c r="J686" s="151"/>
      <c r="K686" s="151"/>
      <c r="L686" s="151"/>
      <c r="M686" s="151"/>
      <c r="N686" s="151"/>
    </row>
    <row r="687" ht="15.75" customHeight="1">
      <c r="A687" s="151"/>
      <c r="B687" s="151"/>
      <c r="C687" s="152"/>
      <c r="D687" s="151"/>
      <c r="E687" s="151"/>
      <c r="F687" s="151"/>
      <c r="G687" s="151"/>
      <c r="H687" s="151"/>
      <c r="I687" s="151"/>
      <c r="J687" s="151"/>
      <c r="K687" s="151"/>
      <c r="L687" s="151"/>
      <c r="M687" s="151"/>
      <c r="N687" s="151"/>
    </row>
    <row r="688" ht="15.75" customHeight="1">
      <c r="A688" s="151"/>
      <c r="B688" s="151"/>
      <c r="C688" s="152"/>
      <c r="D688" s="151"/>
      <c r="E688" s="151"/>
      <c r="F688" s="151"/>
      <c r="G688" s="151"/>
      <c r="H688" s="151"/>
      <c r="I688" s="151"/>
      <c r="J688" s="151"/>
      <c r="K688" s="151"/>
      <c r="L688" s="151"/>
      <c r="M688" s="151"/>
      <c r="N688" s="151"/>
    </row>
    <row r="689" ht="15.75" customHeight="1">
      <c r="A689" s="151"/>
      <c r="B689" s="151"/>
      <c r="C689" s="152"/>
      <c r="D689" s="151"/>
      <c r="E689" s="151"/>
      <c r="F689" s="151"/>
      <c r="G689" s="151"/>
      <c r="H689" s="151"/>
      <c r="I689" s="151"/>
      <c r="J689" s="151"/>
      <c r="K689" s="151"/>
      <c r="L689" s="151"/>
      <c r="M689" s="151"/>
      <c r="N689" s="151"/>
    </row>
    <row r="690" ht="15.75" customHeight="1">
      <c r="A690" s="151"/>
      <c r="B690" s="151"/>
      <c r="C690" s="152"/>
      <c r="D690" s="151"/>
      <c r="E690" s="151"/>
      <c r="F690" s="151"/>
      <c r="G690" s="151"/>
      <c r="H690" s="151"/>
      <c r="I690" s="151"/>
      <c r="J690" s="151"/>
      <c r="K690" s="151"/>
      <c r="L690" s="151"/>
      <c r="M690" s="151"/>
      <c r="N690" s="151"/>
    </row>
    <row r="691" ht="15.75" customHeight="1">
      <c r="A691" s="151"/>
      <c r="B691" s="151"/>
      <c r="C691" s="152"/>
      <c r="D691" s="151"/>
      <c r="E691" s="151"/>
      <c r="F691" s="151"/>
      <c r="G691" s="151"/>
      <c r="H691" s="151"/>
      <c r="I691" s="151"/>
      <c r="J691" s="151"/>
      <c r="K691" s="151"/>
      <c r="L691" s="151"/>
      <c r="M691" s="151"/>
      <c r="N691" s="151"/>
    </row>
    <row r="692" ht="15.75" customHeight="1">
      <c r="A692" s="151"/>
      <c r="B692" s="151"/>
      <c r="C692" s="152"/>
      <c r="D692" s="151"/>
      <c r="E692" s="151"/>
      <c r="F692" s="151"/>
      <c r="G692" s="151"/>
      <c r="H692" s="151"/>
      <c r="I692" s="151"/>
      <c r="J692" s="151"/>
      <c r="K692" s="151"/>
      <c r="L692" s="151"/>
      <c r="M692" s="151"/>
      <c r="N692" s="151"/>
    </row>
    <row r="693" ht="15.75" customHeight="1">
      <c r="A693" s="151"/>
      <c r="B693" s="151"/>
      <c r="C693" s="152"/>
      <c r="D693" s="151"/>
      <c r="E693" s="151"/>
      <c r="F693" s="151"/>
      <c r="G693" s="151"/>
      <c r="H693" s="151"/>
      <c r="I693" s="151"/>
      <c r="J693" s="151"/>
      <c r="K693" s="151"/>
      <c r="L693" s="151"/>
      <c r="M693" s="151"/>
      <c r="N693" s="151"/>
    </row>
    <row r="694" ht="15.75" customHeight="1">
      <c r="A694" s="151"/>
      <c r="B694" s="151"/>
      <c r="C694" s="152"/>
      <c r="D694" s="151"/>
      <c r="E694" s="151"/>
      <c r="F694" s="151"/>
      <c r="G694" s="151"/>
      <c r="H694" s="151"/>
      <c r="I694" s="151"/>
      <c r="J694" s="151"/>
      <c r="K694" s="151"/>
      <c r="L694" s="151"/>
      <c r="M694" s="151"/>
      <c r="N694" s="151"/>
    </row>
    <row r="695" ht="15.75" customHeight="1">
      <c r="A695" s="151"/>
      <c r="B695" s="151"/>
      <c r="C695" s="152"/>
      <c r="D695" s="151"/>
      <c r="E695" s="151"/>
      <c r="F695" s="151"/>
      <c r="G695" s="151"/>
      <c r="H695" s="151"/>
      <c r="I695" s="151"/>
      <c r="J695" s="151"/>
      <c r="K695" s="151"/>
      <c r="L695" s="151"/>
      <c r="M695" s="151"/>
      <c r="N695" s="151"/>
    </row>
    <row r="696" ht="15.75" customHeight="1">
      <c r="A696" s="151"/>
      <c r="B696" s="151"/>
      <c r="C696" s="152"/>
      <c r="D696" s="151"/>
      <c r="E696" s="151"/>
      <c r="F696" s="151"/>
      <c r="G696" s="151"/>
      <c r="H696" s="151"/>
      <c r="I696" s="151"/>
      <c r="J696" s="151"/>
      <c r="K696" s="151"/>
      <c r="L696" s="151"/>
      <c r="M696" s="151"/>
      <c r="N696" s="151"/>
    </row>
    <row r="697" ht="15.75" customHeight="1">
      <c r="A697" s="151"/>
      <c r="B697" s="151"/>
      <c r="C697" s="152"/>
      <c r="D697" s="151"/>
      <c r="E697" s="151"/>
      <c r="F697" s="151"/>
      <c r="G697" s="151"/>
      <c r="H697" s="151"/>
      <c r="I697" s="151"/>
      <c r="J697" s="151"/>
      <c r="K697" s="151"/>
      <c r="L697" s="151"/>
      <c r="M697" s="151"/>
      <c r="N697" s="151"/>
    </row>
    <row r="698" ht="15.75" customHeight="1">
      <c r="A698" s="151"/>
      <c r="B698" s="151"/>
      <c r="C698" s="152"/>
      <c r="D698" s="151"/>
      <c r="E698" s="151"/>
      <c r="F698" s="151"/>
      <c r="G698" s="151"/>
      <c r="H698" s="151"/>
      <c r="I698" s="151"/>
      <c r="J698" s="151"/>
      <c r="K698" s="151"/>
      <c r="L698" s="151"/>
      <c r="M698" s="151"/>
      <c r="N698" s="151"/>
    </row>
    <row r="699" ht="15.75" customHeight="1">
      <c r="A699" s="151"/>
      <c r="B699" s="151"/>
      <c r="C699" s="152"/>
      <c r="D699" s="151"/>
      <c r="E699" s="151"/>
      <c r="F699" s="151"/>
      <c r="G699" s="151"/>
      <c r="H699" s="151"/>
      <c r="I699" s="151"/>
      <c r="J699" s="151"/>
      <c r="K699" s="151"/>
      <c r="L699" s="151"/>
      <c r="M699" s="151"/>
      <c r="N699" s="151"/>
    </row>
    <row r="700" ht="15.75" customHeight="1">
      <c r="A700" s="151"/>
      <c r="B700" s="151"/>
      <c r="C700" s="152"/>
      <c r="D700" s="151"/>
      <c r="E700" s="151"/>
      <c r="F700" s="151"/>
      <c r="G700" s="151"/>
      <c r="H700" s="151"/>
      <c r="I700" s="151"/>
      <c r="J700" s="151"/>
      <c r="K700" s="151"/>
      <c r="L700" s="151"/>
      <c r="M700" s="151"/>
      <c r="N700" s="151"/>
    </row>
    <row r="701" ht="15.75" customHeight="1">
      <c r="A701" s="151"/>
      <c r="B701" s="151"/>
      <c r="C701" s="152"/>
      <c r="D701" s="151"/>
      <c r="E701" s="151"/>
      <c r="F701" s="151"/>
      <c r="G701" s="151"/>
      <c r="H701" s="151"/>
      <c r="I701" s="151"/>
      <c r="J701" s="151"/>
      <c r="K701" s="151"/>
      <c r="L701" s="151"/>
      <c r="M701" s="151"/>
      <c r="N701" s="151"/>
    </row>
    <row r="702" ht="15.75" customHeight="1">
      <c r="A702" s="151"/>
      <c r="B702" s="151"/>
      <c r="C702" s="152"/>
      <c r="D702" s="151"/>
      <c r="E702" s="151"/>
      <c r="F702" s="151"/>
      <c r="G702" s="151"/>
      <c r="H702" s="151"/>
      <c r="I702" s="151"/>
      <c r="J702" s="151"/>
      <c r="K702" s="151"/>
      <c r="L702" s="151"/>
      <c r="M702" s="151"/>
      <c r="N702" s="151"/>
    </row>
    <row r="703" ht="15.75" customHeight="1">
      <c r="A703" s="151"/>
      <c r="B703" s="151"/>
      <c r="C703" s="152"/>
      <c r="D703" s="151"/>
      <c r="E703" s="151"/>
      <c r="F703" s="151"/>
      <c r="G703" s="151"/>
      <c r="H703" s="151"/>
      <c r="I703" s="151"/>
      <c r="J703" s="151"/>
      <c r="K703" s="151"/>
      <c r="L703" s="151"/>
      <c r="M703" s="151"/>
      <c r="N703" s="151"/>
    </row>
    <row r="704" ht="15.75" customHeight="1">
      <c r="A704" s="151"/>
      <c r="B704" s="151"/>
      <c r="C704" s="152"/>
      <c r="D704" s="151"/>
      <c r="E704" s="151"/>
      <c r="F704" s="151"/>
      <c r="G704" s="151"/>
      <c r="H704" s="151"/>
      <c r="I704" s="151"/>
      <c r="J704" s="151"/>
      <c r="K704" s="151"/>
      <c r="L704" s="151"/>
      <c r="M704" s="151"/>
      <c r="N704" s="151"/>
    </row>
    <row r="705" ht="15.75" customHeight="1">
      <c r="A705" s="151"/>
      <c r="B705" s="151"/>
      <c r="C705" s="152"/>
      <c r="D705" s="151"/>
      <c r="E705" s="151"/>
      <c r="F705" s="151"/>
      <c r="G705" s="151"/>
      <c r="H705" s="151"/>
      <c r="I705" s="151"/>
      <c r="J705" s="151"/>
      <c r="K705" s="151"/>
      <c r="L705" s="151"/>
      <c r="M705" s="151"/>
      <c r="N705" s="151"/>
    </row>
    <row r="706" ht="15.75" customHeight="1">
      <c r="A706" s="151"/>
      <c r="B706" s="151"/>
      <c r="C706" s="152"/>
      <c r="D706" s="151"/>
      <c r="E706" s="151"/>
      <c r="F706" s="151"/>
      <c r="G706" s="151"/>
      <c r="H706" s="151"/>
      <c r="I706" s="151"/>
      <c r="J706" s="151"/>
      <c r="K706" s="151"/>
      <c r="L706" s="151"/>
      <c r="M706" s="151"/>
      <c r="N706" s="151"/>
    </row>
    <row r="707" ht="15.75" customHeight="1">
      <c r="A707" s="151"/>
      <c r="B707" s="151"/>
      <c r="C707" s="152"/>
      <c r="D707" s="151"/>
      <c r="E707" s="151"/>
      <c r="F707" s="151"/>
      <c r="G707" s="151"/>
      <c r="H707" s="151"/>
      <c r="I707" s="151"/>
      <c r="J707" s="151"/>
      <c r="K707" s="151"/>
      <c r="L707" s="151"/>
      <c r="M707" s="151"/>
      <c r="N707" s="151"/>
    </row>
    <row r="708" ht="15.75" customHeight="1">
      <c r="A708" s="151"/>
      <c r="B708" s="151"/>
      <c r="C708" s="152"/>
      <c r="D708" s="151"/>
      <c r="E708" s="151"/>
      <c r="F708" s="151"/>
      <c r="G708" s="151"/>
      <c r="H708" s="151"/>
      <c r="I708" s="151"/>
      <c r="J708" s="151"/>
      <c r="K708" s="151"/>
      <c r="L708" s="151"/>
      <c r="M708" s="151"/>
      <c r="N708" s="151"/>
    </row>
    <row r="709" ht="15.75" customHeight="1">
      <c r="A709" s="151"/>
      <c r="B709" s="151"/>
      <c r="C709" s="152"/>
      <c r="D709" s="151"/>
      <c r="E709" s="151"/>
      <c r="F709" s="151"/>
      <c r="G709" s="151"/>
      <c r="H709" s="151"/>
      <c r="I709" s="151"/>
      <c r="J709" s="151"/>
      <c r="K709" s="151"/>
      <c r="L709" s="151"/>
      <c r="M709" s="151"/>
      <c r="N709" s="151"/>
    </row>
    <row r="710" ht="15.75" customHeight="1">
      <c r="A710" s="151"/>
      <c r="B710" s="151"/>
      <c r="C710" s="152"/>
      <c r="D710" s="151"/>
      <c r="E710" s="151"/>
      <c r="F710" s="151"/>
      <c r="G710" s="151"/>
      <c r="H710" s="151"/>
      <c r="I710" s="151"/>
      <c r="J710" s="151"/>
      <c r="K710" s="151"/>
      <c r="L710" s="151"/>
      <c r="M710" s="151"/>
      <c r="N710" s="151"/>
    </row>
    <row r="711" ht="15.75" customHeight="1">
      <c r="A711" s="151"/>
      <c r="B711" s="151"/>
      <c r="C711" s="152"/>
      <c r="D711" s="151"/>
      <c r="E711" s="151"/>
      <c r="F711" s="151"/>
      <c r="G711" s="151"/>
      <c r="H711" s="151"/>
      <c r="I711" s="151"/>
      <c r="J711" s="151"/>
      <c r="K711" s="151"/>
      <c r="L711" s="151"/>
      <c r="M711" s="151"/>
      <c r="N711" s="151"/>
    </row>
    <row r="712" ht="15.75" customHeight="1">
      <c r="A712" s="151"/>
      <c r="B712" s="151"/>
      <c r="C712" s="152"/>
      <c r="D712" s="151"/>
      <c r="E712" s="151"/>
      <c r="F712" s="151"/>
      <c r="G712" s="151"/>
      <c r="H712" s="151"/>
      <c r="I712" s="151"/>
      <c r="J712" s="151"/>
      <c r="K712" s="151"/>
      <c r="L712" s="151"/>
      <c r="M712" s="151"/>
      <c r="N712" s="151"/>
    </row>
    <row r="713" ht="15.75" customHeight="1">
      <c r="A713" s="151"/>
      <c r="B713" s="151"/>
      <c r="C713" s="152"/>
      <c r="D713" s="151"/>
      <c r="E713" s="151"/>
      <c r="F713" s="151"/>
      <c r="G713" s="151"/>
      <c r="H713" s="151"/>
      <c r="I713" s="151"/>
      <c r="J713" s="151"/>
      <c r="K713" s="151"/>
      <c r="L713" s="151"/>
      <c r="M713" s="151"/>
      <c r="N713" s="151"/>
    </row>
    <row r="714" ht="15.75" customHeight="1">
      <c r="A714" s="151"/>
      <c r="B714" s="151"/>
      <c r="C714" s="152"/>
      <c r="D714" s="151"/>
      <c r="E714" s="151"/>
      <c r="F714" s="151"/>
      <c r="G714" s="151"/>
      <c r="H714" s="151"/>
      <c r="I714" s="151"/>
      <c r="J714" s="151"/>
      <c r="K714" s="151"/>
      <c r="L714" s="151"/>
      <c r="M714" s="151"/>
      <c r="N714" s="151"/>
    </row>
    <row r="715" ht="15.75" customHeight="1">
      <c r="A715" s="151"/>
      <c r="B715" s="151"/>
      <c r="C715" s="152"/>
      <c r="D715" s="151"/>
      <c r="E715" s="151"/>
      <c r="F715" s="151"/>
      <c r="G715" s="151"/>
      <c r="H715" s="151"/>
      <c r="I715" s="151"/>
      <c r="J715" s="151"/>
      <c r="K715" s="151"/>
      <c r="L715" s="151"/>
      <c r="M715" s="151"/>
      <c r="N715" s="151"/>
    </row>
    <row r="716" ht="15.75" customHeight="1">
      <c r="A716" s="151"/>
      <c r="B716" s="151"/>
      <c r="C716" s="152"/>
      <c r="D716" s="151"/>
      <c r="E716" s="151"/>
      <c r="F716" s="151"/>
      <c r="G716" s="151"/>
      <c r="H716" s="151"/>
      <c r="I716" s="151"/>
      <c r="J716" s="151"/>
      <c r="K716" s="151"/>
      <c r="L716" s="151"/>
      <c r="M716" s="151"/>
      <c r="N716" s="151"/>
    </row>
    <row r="717" ht="15.75" customHeight="1">
      <c r="A717" s="151"/>
      <c r="B717" s="151"/>
      <c r="C717" s="152"/>
      <c r="D717" s="151"/>
      <c r="E717" s="151"/>
      <c r="F717" s="151"/>
      <c r="G717" s="151"/>
      <c r="H717" s="151"/>
      <c r="I717" s="151"/>
      <c r="J717" s="151"/>
      <c r="K717" s="151"/>
      <c r="L717" s="151"/>
      <c r="M717" s="151"/>
      <c r="N717" s="151"/>
    </row>
    <row r="718" ht="15.75" customHeight="1">
      <c r="A718" s="151"/>
      <c r="B718" s="151"/>
      <c r="C718" s="152"/>
      <c r="D718" s="151"/>
      <c r="E718" s="151"/>
      <c r="F718" s="151"/>
      <c r="G718" s="151"/>
      <c r="H718" s="151"/>
      <c r="I718" s="151"/>
      <c r="J718" s="151"/>
      <c r="K718" s="151"/>
      <c r="L718" s="151"/>
      <c r="M718" s="151"/>
      <c r="N718" s="151"/>
    </row>
    <row r="719" ht="15.75" customHeight="1">
      <c r="A719" s="151"/>
      <c r="B719" s="151"/>
      <c r="C719" s="152"/>
      <c r="D719" s="151"/>
      <c r="E719" s="151"/>
      <c r="F719" s="151"/>
      <c r="G719" s="151"/>
      <c r="H719" s="151"/>
      <c r="I719" s="151"/>
      <c r="J719" s="151"/>
      <c r="K719" s="151"/>
      <c r="L719" s="151"/>
      <c r="M719" s="151"/>
      <c r="N719" s="151"/>
    </row>
    <row r="720" ht="15.75" customHeight="1">
      <c r="A720" s="151"/>
      <c r="B720" s="151"/>
      <c r="C720" s="152"/>
      <c r="D720" s="151"/>
      <c r="E720" s="151"/>
      <c r="F720" s="151"/>
      <c r="G720" s="151"/>
      <c r="H720" s="151"/>
      <c r="I720" s="151"/>
      <c r="J720" s="151"/>
      <c r="K720" s="151"/>
      <c r="L720" s="151"/>
      <c r="M720" s="151"/>
      <c r="N720" s="151"/>
    </row>
    <row r="721" ht="15.75" customHeight="1">
      <c r="A721" s="151"/>
      <c r="B721" s="151"/>
      <c r="C721" s="152"/>
      <c r="D721" s="151"/>
      <c r="E721" s="151"/>
      <c r="F721" s="151"/>
      <c r="G721" s="151"/>
      <c r="H721" s="151"/>
      <c r="I721" s="151"/>
      <c r="J721" s="151"/>
      <c r="K721" s="151"/>
      <c r="L721" s="151"/>
      <c r="M721" s="151"/>
      <c r="N721" s="151"/>
    </row>
    <row r="722" ht="15.75" customHeight="1">
      <c r="A722" s="151"/>
      <c r="B722" s="151"/>
      <c r="C722" s="152"/>
      <c r="D722" s="151"/>
      <c r="E722" s="151"/>
      <c r="F722" s="151"/>
      <c r="G722" s="151"/>
      <c r="H722" s="151"/>
      <c r="I722" s="151"/>
      <c r="J722" s="151"/>
      <c r="K722" s="151"/>
      <c r="L722" s="151"/>
      <c r="M722" s="151"/>
      <c r="N722" s="151"/>
    </row>
    <row r="723" ht="15.75" customHeight="1">
      <c r="A723" s="151"/>
      <c r="B723" s="151"/>
      <c r="C723" s="152"/>
      <c r="D723" s="151"/>
      <c r="E723" s="151"/>
      <c r="F723" s="151"/>
      <c r="G723" s="151"/>
      <c r="H723" s="151"/>
      <c r="I723" s="151"/>
      <c r="J723" s="151"/>
      <c r="K723" s="151"/>
      <c r="L723" s="151"/>
      <c r="M723" s="151"/>
      <c r="N723" s="151"/>
    </row>
    <row r="724" ht="15.75" customHeight="1">
      <c r="A724" s="151"/>
      <c r="B724" s="151"/>
      <c r="C724" s="152"/>
      <c r="D724" s="151"/>
      <c r="E724" s="151"/>
      <c r="F724" s="151"/>
      <c r="G724" s="151"/>
      <c r="H724" s="151"/>
      <c r="I724" s="151"/>
      <c r="J724" s="151"/>
      <c r="K724" s="151"/>
      <c r="L724" s="151"/>
      <c r="M724" s="151"/>
      <c r="N724" s="151"/>
    </row>
    <row r="725" ht="15.75" customHeight="1">
      <c r="A725" s="151"/>
      <c r="B725" s="151"/>
      <c r="C725" s="152"/>
      <c r="D725" s="151"/>
      <c r="E725" s="151"/>
      <c r="F725" s="151"/>
      <c r="G725" s="151"/>
      <c r="H725" s="151"/>
      <c r="I725" s="151"/>
      <c r="J725" s="151"/>
      <c r="K725" s="151"/>
      <c r="L725" s="151"/>
      <c r="M725" s="151"/>
      <c r="N725" s="151"/>
    </row>
    <row r="726" ht="15.75" customHeight="1">
      <c r="A726" s="151"/>
      <c r="B726" s="151"/>
      <c r="C726" s="152"/>
      <c r="D726" s="151"/>
      <c r="E726" s="151"/>
      <c r="F726" s="151"/>
      <c r="G726" s="151"/>
      <c r="H726" s="151"/>
      <c r="I726" s="151"/>
      <c r="J726" s="151"/>
      <c r="K726" s="151"/>
      <c r="L726" s="151"/>
      <c r="M726" s="151"/>
      <c r="N726" s="151"/>
    </row>
    <row r="727" ht="15.75" customHeight="1">
      <c r="A727" s="151"/>
      <c r="B727" s="151"/>
      <c r="C727" s="152"/>
      <c r="D727" s="151"/>
      <c r="E727" s="151"/>
      <c r="F727" s="151"/>
      <c r="G727" s="151"/>
      <c r="H727" s="151"/>
      <c r="I727" s="151"/>
      <c r="J727" s="151"/>
      <c r="K727" s="151"/>
      <c r="L727" s="151"/>
      <c r="M727" s="151"/>
      <c r="N727" s="151"/>
    </row>
    <row r="728" ht="15.75" customHeight="1">
      <c r="A728" s="151"/>
      <c r="B728" s="151"/>
      <c r="C728" s="152"/>
      <c r="D728" s="151"/>
      <c r="E728" s="151"/>
      <c r="F728" s="151"/>
      <c r="G728" s="151"/>
      <c r="H728" s="151"/>
      <c r="I728" s="151"/>
      <c r="J728" s="151"/>
      <c r="K728" s="151"/>
      <c r="L728" s="151"/>
      <c r="M728" s="151"/>
      <c r="N728" s="151"/>
    </row>
    <row r="729" ht="15.75" customHeight="1">
      <c r="A729" s="151"/>
      <c r="B729" s="151"/>
      <c r="C729" s="152"/>
      <c r="D729" s="151"/>
      <c r="E729" s="151"/>
      <c r="F729" s="151"/>
      <c r="G729" s="151"/>
      <c r="H729" s="151"/>
      <c r="I729" s="151"/>
      <c r="J729" s="151"/>
      <c r="K729" s="151"/>
      <c r="L729" s="151"/>
      <c r="M729" s="151"/>
      <c r="N729" s="151"/>
    </row>
    <row r="730" ht="15.75" customHeight="1">
      <c r="A730" s="151"/>
      <c r="B730" s="151"/>
      <c r="C730" s="152"/>
      <c r="D730" s="151"/>
      <c r="E730" s="151"/>
      <c r="F730" s="151"/>
      <c r="G730" s="151"/>
      <c r="H730" s="151"/>
      <c r="I730" s="151"/>
      <c r="J730" s="151"/>
      <c r="K730" s="151"/>
      <c r="L730" s="151"/>
      <c r="M730" s="151"/>
      <c r="N730" s="151"/>
    </row>
    <row r="731" ht="15.75" customHeight="1">
      <c r="A731" s="151"/>
      <c r="B731" s="151"/>
      <c r="C731" s="152"/>
      <c r="D731" s="151"/>
      <c r="E731" s="151"/>
      <c r="F731" s="151"/>
      <c r="G731" s="151"/>
      <c r="H731" s="151"/>
      <c r="I731" s="151"/>
      <c r="J731" s="151"/>
      <c r="K731" s="151"/>
      <c r="L731" s="151"/>
      <c r="M731" s="151"/>
      <c r="N731" s="151"/>
    </row>
    <row r="732" ht="15.75" customHeight="1">
      <c r="A732" s="151"/>
      <c r="B732" s="151"/>
      <c r="C732" s="152"/>
      <c r="D732" s="151"/>
      <c r="E732" s="151"/>
      <c r="F732" s="151"/>
      <c r="G732" s="151"/>
      <c r="H732" s="151"/>
      <c r="I732" s="151"/>
      <c r="J732" s="151"/>
      <c r="K732" s="151"/>
      <c r="L732" s="151"/>
      <c r="M732" s="151"/>
      <c r="N732" s="151"/>
    </row>
    <row r="733" ht="15.75" customHeight="1">
      <c r="A733" s="151"/>
      <c r="B733" s="151"/>
      <c r="C733" s="152"/>
      <c r="D733" s="151"/>
      <c r="E733" s="151"/>
      <c r="F733" s="151"/>
      <c r="G733" s="151"/>
      <c r="H733" s="151"/>
      <c r="I733" s="151"/>
      <c r="J733" s="151"/>
      <c r="K733" s="151"/>
      <c r="L733" s="151"/>
      <c r="M733" s="151"/>
      <c r="N733" s="151"/>
    </row>
    <row r="734" ht="15.75" customHeight="1">
      <c r="A734" s="151"/>
      <c r="B734" s="151"/>
      <c r="C734" s="152"/>
      <c r="D734" s="151"/>
      <c r="E734" s="151"/>
      <c r="F734" s="151"/>
      <c r="G734" s="151"/>
      <c r="H734" s="151"/>
      <c r="I734" s="151"/>
      <c r="J734" s="151"/>
      <c r="K734" s="151"/>
      <c r="L734" s="151"/>
      <c r="M734" s="151"/>
      <c r="N734" s="151"/>
    </row>
    <row r="735" ht="15.75" customHeight="1">
      <c r="A735" s="151"/>
      <c r="B735" s="151"/>
      <c r="C735" s="152"/>
      <c r="D735" s="151"/>
      <c r="E735" s="151"/>
      <c r="F735" s="151"/>
      <c r="G735" s="151"/>
      <c r="H735" s="151"/>
      <c r="I735" s="151"/>
      <c r="J735" s="151"/>
      <c r="K735" s="151"/>
      <c r="L735" s="151"/>
      <c r="M735" s="151"/>
      <c r="N735" s="151"/>
    </row>
    <row r="736" ht="15.75" customHeight="1">
      <c r="A736" s="151"/>
      <c r="B736" s="151"/>
      <c r="C736" s="152"/>
      <c r="D736" s="151"/>
      <c r="E736" s="151"/>
      <c r="F736" s="151"/>
      <c r="G736" s="151"/>
      <c r="H736" s="151"/>
      <c r="I736" s="151"/>
      <c r="J736" s="151"/>
      <c r="K736" s="151"/>
      <c r="L736" s="151"/>
      <c r="M736" s="151"/>
      <c r="N736" s="151"/>
    </row>
    <row r="737" ht="15.75" customHeight="1">
      <c r="A737" s="151"/>
      <c r="B737" s="151"/>
      <c r="C737" s="152"/>
      <c r="D737" s="151"/>
      <c r="E737" s="151"/>
      <c r="F737" s="151"/>
      <c r="G737" s="151"/>
      <c r="H737" s="151"/>
      <c r="I737" s="151"/>
      <c r="J737" s="151"/>
      <c r="K737" s="151"/>
      <c r="L737" s="151"/>
      <c r="M737" s="151"/>
      <c r="N737" s="151"/>
    </row>
    <row r="738" ht="15.75" customHeight="1">
      <c r="A738" s="151"/>
      <c r="B738" s="151"/>
      <c r="C738" s="152"/>
      <c r="D738" s="151"/>
      <c r="E738" s="151"/>
      <c r="F738" s="151"/>
      <c r="G738" s="151"/>
      <c r="H738" s="151"/>
      <c r="I738" s="151"/>
      <c r="J738" s="151"/>
      <c r="K738" s="151"/>
      <c r="L738" s="151"/>
      <c r="M738" s="151"/>
      <c r="N738" s="151"/>
    </row>
    <row r="739" ht="15.75" customHeight="1">
      <c r="A739" s="151"/>
      <c r="B739" s="151"/>
      <c r="C739" s="152"/>
      <c r="D739" s="151"/>
      <c r="E739" s="151"/>
      <c r="F739" s="151"/>
      <c r="G739" s="151"/>
      <c r="H739" s="151"/>
      <c r="I739" s="151"/>
      <c r="J739" s="151"/>
      <c r="K739" s="151"/>
      <c r="L739" s="151"/>
      <c r="M739" s="151"/>
      <c r="N739" s="151"/>
    </row>
    <row r="740" ht="15.75" customHeight="1">
      <c r="A740" s="151"/>
      <c r="B740" s="151"/>
      <c r="C740" s="152"/>
      <c r="D740" s="151"/>
      <c r="E740" s="151"/>
      <c r="F740" s="151"/>
      <c r="G740" s="151"/>
      <c r="H740" s="151"/>
      <c r="I740" s="151"/>
      <c r="J740" s="151"/>
      <c r="K740" s="151"/>
      <c r="L740" s="151"/>
      <c r="M740" s="151"/>
      <c r="N740" s="151"/>
    </row>
    <row r="741" ht="15.75" customHeight="1">
      <c r="A741" s="151"/>
      <c r="B741" s="151"/>
      <c r="C741" s="152"/>
      <c r="D741" s="151"/>
      <c r="E741" s="151"/>
      <c r="F741" s="151"/>
      <c r="G741" s="151"/>
      <c r="H741" s="151"/>
      <c r="I741" s="151"/>
      <c r="J741" s="151"/>
      <c r="K741" s="151"/>
      <c r="L741" s="151"/>
      <c r="M741" s="151"/>
      <c r="N741" s="151"/>
    </row>
    <row r="742" ht="15.75" customHeight="1">
      <c r="A742" s="151"/>
      <c r="B742" s="151"/>
      <c r="C742" s="152"/>
      <c r="D742" s="151"/>
      <c r="E742" s="151"/>
      <c r="F742" s="151"/>
      <c r="G742" s="151"/>
      <c r="H742" s="151"/>
      <c r="I742" s="151"/>
      <c r="J742" s="151"/>
      <c r="K742" s="151"/>
      <c r="L742" s="151"/>
      <c r="M742" s="151"/>
      <c r="N742" s="151"/>
    </row>
    <row r="743" ht="15.75" customHeight="1">
      <c r="A743" s="151"/>
      <c r="B743" s="151"/>
      <c r="C743" s="152"/>
      <c r="D743" s="151"/>
      <c r="E743" s="151"/>
      <c r="F743" s="151"/>
      <c r="G743" s="151"/>
      <c r="H743" s="151"/>
      <c r="I743" s="151"/>
      <c r="J743" s="151"/>
      <c r="K743" s="151"/>
      <c r="L743" s="151"/>
      <c r="M743" s="151"/>
      <c r="N743" s="151"/>
    </row>
    <row r="744" ht="15.75" customHeight="1">
      <c r="A744" s="151"/>
      <c r="B744" s="151"/>
      <c r="C744" s="152"/>
      <c r="D744" s="151"/>
      <c r="E744" s="151"/>
      <c r="F744" s="151"/>
      <c r="G744" s="151"/>
      <c r="H744" s="151"/>
      <c r="I744" s="151"/>
      <c r="J744" s="151"/>
      <c r="K744" s="151"/>
      <c r="L744" s="151"/>
      <c r="M744" s="151"/>
      <c r="N744" s="151"/>
    </row>
    <row r="745" ht="15.75" customHeight="1">
      <c r="A745" s="151"/>
      <c r="B745" s="151"/>
      <c r="C745" s="152"/>
      <c r="D745" s="151"/>
      <c r="E745" s="151"/>
      <c r="F745" s="151"/>
      <c r="G745" s="151"/>
      <c r="H745" s="151"/>
      <c r="I745" s="151"/>
      <c r="J745" s="151"/>
      <c r="K745" s="151"/>
      <c r="L745" s="151"/>
      <c r="M745" s="151"/>
      <c r="N745" s="151"/>
    </row>
    <row r="746" ht="15.75" customHeight="1">
      <c r="A746" s="151"/>
      <c r="B746" s="151"/>
      <c r="C746" s="152"/>
      <c r="D746" s="151"/>
      <c r="E746" s="151"/>
      <c r="F746" s="151"/>
      <c r="G746" s="151"/>
      <c r="H746" s="151"/>
      <c r="I746" s="151"/>
      <c r="J746" s="151"/>
      <c r="K746" s="151"/>
      <c r="L746" s="151"/>
      <c r="M746" s="151"/>
      <c r="N746" s="151"/>
    </row>
    <row r="747" ht="15.75" customHeight="1">
      <c r="A747" s="151"/>
      <c r="B747" s="151"/>
      <c r="C747" s="152"/>
      <c r="D747" s="151"/>
      <c r="E747" s="151"/>
      <c r="F747" s="151"/>
      <c r="G747" s="151"/>
      <c r="H747" s="151"/>
      <c r="I747" s="151"/>
      <c r="J747" s="151"/>
      <c r="K747" s="151"/>
      <c r="L747" s="151"/>
      <c r="M747" s="151"/>
      <c r="N747" s="151"/>
    </row>
    <row r="748" ht="15.75" customHeight="1">
      <c r="A748" s="151"/>
      <c r="B748" s="151"/>
      <c r="C748" s="152"/>
      <c r="D748" s="151"/>
      <c r="E748" s="151"/>
      <c r="F748" s="151"/>
      <c r="G748" s="151"/>
      <c r="H748" s="151"/>
      <c r="I748" s="151"/>
      <c r="J748" s="151"/>
      <c r="K748" s="151"/>
      <c r="L748" s="151"/>
      <c r="M748" s="151"/>
      <c r="N748" s="151"/>
    </row>
    <row r="749" ht="15.75" customHeight="1">
      <c r="A749" s="151"/>
      <c r="B749" s="151"/>
      <c r="C749" s="152"/>
      <c r="D749" s="151"/>
      <c r="E749" s="151"/>
      <c r="F749" s="151"/>
      <c r="G749" s="151"/>
      <c r="H749" s="151"/>
      <c r="I749" s="151"/>
      <c r="J749" s="151"/>
      <c r="K749" s="151"/>
      <c r="L749" s="151"/>
      <c r="M749" s="151"/>
      <c r="N749" s="151"/>
    </row>
    <row r="750" ht="15.75" customHeight="1">
      <c r="A750" s="151"/>
      <c r="B750" s="151"/>
      <c r="C750" s="152"/>
      <c r="D750" s="151"/>
      <c r="E750" s="151"/>
      <c r="F750" s="151"/>
      <c r="G750" s="151"/>
      <c r="H750" s="151"/>
      <c r="I750" s="151"/>
      <c r="J750" s="151"/>
      <c r="K750" s="151"/>
      <c r="L750" s="151"/>
      <c r="M750" s="151"/>
      <c r="N750" s="151"/>
    </row>
    <row r="751" ht="15.75" customHeight="1">
      <c r="A751" s="151"/>
      <c r="B751" s="151"/>
      <c r="C751" s="152"/>
      <c r="D751" s="151"/>
      <c r="E751" s="151"/>
      <c r="F751" s="151"/>
      <c r="G751" s="151"/>
      <c r="H751" s="151"/>
      <c r="I751" s="151"/>
      <c r="J751" s="151"/>
      <c r="K751" s="151"/>
      <c r="L751" s="151"/>
      <c r="M751" s="151"/>
      <c r="N751" s="151"/>
    </row>
    <row r="752" ht="15.75" customHeight="1">
      <c r="A752" s="151"/>
      <c r="B752" s="151"/>
      <c r="C752" s="152"/>
      <c r="D752" s="151"/>
      <c r="E752" s="151"/>
      <c r="F752" s="151"/>
      <c r="G752" s="151"/>
      <c r="H752" s="151"/>
      <c r="I752" s="151"/>
      <c r="J752" s="151"/>
      <c r="K752" s="151"/>
      <c r="L752" s="151"/>
      <c r="M752" s="151"/>
      <c r="N752" s="151"/>
    </row>
    <row r="753" ht="15.75" customHeight="1">
      <c r="A753" s="151"/>
      <c r="B753" s="151"/>
      <c r="C753" s="152"/>
      <c r="D753" s="151"/>
      <c r="E753" s="151"/>
      <c r="F753" s="151"/>
      <c r="G753" s="151"/>
      <c r="H753" s="151"/>
      <c r="I753" s="151"/>
      <c r="J753" s="151"/>
      <c r="K753" s="151"/>
      <c r="L753" s="151"/>
      <c r="M753" s="151"/>
      <c r="N753" s="151"/>
    </row>
    <row r="754" ht="15.75" customHeight="1">
      <c r="A754" s="151"/>
      <c r="B754" s="151"/>
      <c r="C754" s="152"/>
      <c r="D754" s="151"/>
      <c r="E754" s="151"/>
      <c r="F754" s="151"/>
      <c r="G754" s="151"/>
      <c r="H754" s="151"/>
      <c r="I754" s="151"/>
      <c r="J754" s="151"/>
      <c r="K754" s="151"/>
      <c r="L754" s="151"/>
      <c r="M754" s="151"/>
      <c r="N754" s="151"/>
    </row>
    <row r="755" ht="15.75" customHeight="1">
      <c r="A755" s="151"/>
      <c r="B755" s="151"/>
      <c r="C755" s="152"/>
      <c r="D755" s="151"/>
      <c r="E755" s="151"/>
      <c r="F755" s="151"/>
      <c r="G755" s="151"/>
      <c r="H755" s="151"/>
      <c r="I755" s="151"/>
      <c r="J755" s="151"/>
      <c r="K755" s="151"/>
      <c r="L755" s="151"/>
      <c r="M755" s="151"/>
      <c r="N755" s="151"/>
    </row>
    <row r="756" ht="15.75" customHeight="1">
      <c r="A756" s="151"/>
      <c r="B756" s="151"/>
      <c r="C756" s="152"/>
      <c r="D756" s="151"/>
      <c r="E756" s="151"/>
      <c r="F756" s="151"/>
      <c r="G756" s="151"/>
      <c r="H756" s="151"/>
      <c r="I756" s="151"/>
      <c r="J756" s="151"/>
      <c r="K756" s="151"/>
      <c r="L756" s="151"/>
      <c r="M756" s="151"/>
      <c r="N756" s="151"/>
    </row>
    <row r="757" ht="15.75" customHeight="1">
      <c r="A757" s="151"/>
      <c r="B757" s="151"/>
      <c r="C757" s="152"/>
      <c r="D757" s="151"/>
      <c r="E757" s="151"/>
      <c r="F757" s="151"/>
      <c r="G757" s="151"/>
      <c r="H757" s="151"/>
      <c r="I757" s="151"/>
      <c r="J757" s="151"/>
      <c r="K757" s="151"/>
      <c r="L757" s="151"/>
      <c r="M757" s="151"/>
      <c r="N757" s="151"/>
    </row>
    <row r="758" ht="15.75" customHeight="1">
      <c r="A758" s="151"/>
      <c r="B758" s="151"/>
      <c r="C758" s="152"/>
      <c r="D758" s="151"/>
      <c r="E758" s="151"/>
      <c r="F758" s="151"/>
      <c r="G758" s="151"/>
      <c r="H758" s="151"/>
      <c r="I758" s="151"/>
      <c r="J758" s="151"/>
      <c r="K758" s="151"/>
      <c r="L758" s="151"/>
      <c r="M758" s="151"/>
      <c r="N758" s="151"/>
    </row>
    <row r="759" ht="15.75" customHeight="1">
      <c r="A759" s="151"/>
      <c r="B759" s="151"/>
      <c r="C759" s="152"/>
      <c r="D759" s="151"/>
      <c r="E759" s="151"/>
      <c r="F759" s="151"/>
      <c r="G759" s="151"/>
      <c r="H759" s="151"/>
      <c r="I759" s="151"/>
      <c r="J759" s="151"/>
      <c r="K759" s="151"/>
      <c r="L759" s="151"/>
      <c r="M759" s="151"/>
      <c r="N759" s="151"/>
    </row>
    <row r="760" ht="15.75" customHeight="1">
      <c r="A760" s="151"/>
      <c r="B760" s="151"/>
      <c r="C760" s="152"/>
      <c r="D760" s="151"/>
      <c r="E760" s="151"/>
      <c r="F760" s="151"/>
      <c r="G760" s="151"/>
      <c r="H760" s="151"/>
      <c r="I760" s="151"/>
      <c r="J760" s="151"/>
      <c r="K760" s="151"/>
      <c r="L760" s="151"/>
      <c r="M760" s="151"/>
      <c r="N760" s="151"/>
    </row>
    <row r="761" ht="15.75" customHeight="1">
      <c r="A761" s="151"/>
      <c r="B761" s="151"/>
      <c r="C761" s="152"/>
      <c r="D761" s="151"/>
      <c r="E761" s="151"/>
      <c r="F761" s="151"/>
      <c r="G761" s="151"/>
      <c r="H761" s="151"/>
      <c r="I761" s="151"/>
      <c r="J761" s="151"/>
      <c r="K761" s="151"/>
      <c r="L761" s="151"/>
      <c r="M761" s="151"/>
      <c r="N761" s="151"/>
    </row>
    <row r="762" ht="15.75" customHeight="1">
      <c r="A762" s="151"/>
      <c r="B762" s="151"/>
      <c r="C762" s="152"/>
      <c r="D762" s="151"/>
      <c r="E762" s="151"/>
      <c r="F762" s="151"/>
      <c r="G762" s="151"/>
      <c r="H762" s="151"/>
      <c r="I762" s="151"/>
      <c r="J762" s="151"/>
      <c r="K762" s="151"/>
      <c r="L762" s="151"/>
      <c r="M762" s="151"/>
      <c r="N762" s="151"/>
    </row>
    <row r="763" ht="15.75" customHeight="1">
      <c r="A763" s="151"/>
      <c r="B763" s="151"/>
      <c r="C763" s="152"/>
      <c r="D763" s="151"/>
      <c r="E763" s="151"/>
      <c r="F763" s="151"/>
      <c r="G763" s="151"/>
      <c r="H763" s="151"/>
      <c r="I763" s="151"/>
      <c r="J763" s="151"/>
      <c r="K763" s="151"/>
      <c r="L763" s="151"/>
      <c r="M763" s="151"/>
      <c r="N763" s="151"/>
    </row>
    <row r="764" ht="15.75" customHeight="1">
      <c r="A764" s="151"/>
      <c r="B764" s="151"/>
      <c r="C764" s="152"/>
      <c r="D764" s="151"/>
      <c r="E764" s="151"/>
      <c r="F764" s="151"/>
      <c r="G764" s="151"/>
      <c r="H764" s="151"/>
      <c r="I764" s="151"/>
      <c r="J764" s="151"/>
      <c r="K764" s="151"/>
      <c r="L764" s="151"/>
      <c r="M764" s="151"/>
      <c r="N764" s="151"/>
    </row>
    <row r="765" ht="15.75" customHeight="1">
      <c r="A765" s="151"/>
      <c r="B765" s="151"/>
      <c r="C765" s="152"/>
      <c r="D765" s="151"/>
      <c r="E765" s="151"/>
      <c r="F765" s="151"/>
      <c r="G765" s="151"/>
      <c r="H765" s="151"/>
      <c r="I765" s="151"/>
      <c r="J765" s="151"/>
      <c r="K765" s="151"/>
      <c r="L765" s="151"/>
      <c r="M765" s="151"/>
      <c r="N765" s="151"/>
    </row>
    <row r="766" ht="15.75" customHeight="1">
      <c r="A766" s="151"/>
      <c r="B766" s="151"/>
      <c r="C766" s="152"/>
      <c r="D766" s="151"/>
      <c r="E766" s="151"/>
      <c r="F766" s="151"/>
      <c r="G766" s="151"/>
      <c r="H766" s="151"/>
      <c r="I766" s="151"/>
      <c r="J766" s="151"/>
      <c r="K766" s="151"/>
      <c r="L766" s="151"/>
      <c r="M766" s="151"/>
      <c r="N766" s="151"/>
    </row>
    <row r="767" ht="15.75" customHeight="1">
      <c r="A767" s="151"/>
      <c r="B767" s="151"/>
      <c r="C767" s="152"/>
      <c r="D767" s="151"/>
      <c r="E767" s="151"/>
      <c r="F767" s="151"/>
      <c r="G767" s="151"/>
      <c r="H767" s="151"/>
      <c r="I767" s="151"/>
      <c r="J767" s="151"/>
      <c r="K767" s="151"/>
      <c r="L767" s="151"/>
      <c r="M767" s="151"/>
      <c r="N767" s="151"/>
    </row>
    <row r="768" ht="15.75" customHeight="1">
      <c r="A768" s="151"/>
      <c r="B768" s="151"/>
      <c r="C768" s="152"/>
      <c r="D768" s="151"/>
      <c r="E768" s="151"/>
      <c r="F768" s="151"/>
      <c r="G768" s="151"/>
      <c r="H768" s="151"/>
      <c r="I768" s="151"/>
      <c r="J768" s="151"/>
      <c r="K768" s="151"/>
      <c r="L768" s="151"/>
      <c r="M768" s="151"/>
      <c r="N768" s="151"/>
    </row>
    <row r="769" ht="15.75" customHeight="1">
      <c r="A769" s="151"/>
      <c r="B769" s="151"/>
      <c r="C769" s="152"/>
      <c r="D769" s="151"/>
      <c r="E769" s="151"/>
      <c r="F769" s="151"/>
      <c r="G769" s="151"/>
      <c r="H769" s="151"/>
      <c r="I769" s="151"/>
      <c r="J769" s="151"/>
      <c r="K769" s="151"/>
      <c r="L769" s="151"/>
      <c r="M769" s="151"/>
      <c r="N769" s="151"/>
    </row>
    <row r="770" ht="15.75" customHeight="1">
      <c r="A770" s="151"/>
      <c r="B770" s="151"/>
      <c r="C770" s="152"/>
      <c r="D770" s="151"/>
      <c r="E770" s="151"/>
      <c r="F770" s="151"/>
      <c r="G770" s="151"/>
      <c r="H770" s="151"/>
      <c r="I770" s="151"/>
      <c r="J770" s="151"/>
      <c r="K770" s="151"/>
      <c r="L770" s="151"/>
      <c r="M770" s="151"/>
      <c r="N770" s="151"/>
    </row>
    <row r="771" ht="15.75" customHeight="1">
      <c r="A771" s="151"/>
      <c r="B771" s="151"/>
      <c r="C771" s="152"/>
      <c r="D771" s="151"/>
      <c r="E771" s="151"/>
      <c r="F771" s="151"/>
      <c r="G771" s="151"/>
      <c r="H771" s="151"/>
      <c r="I771" s="151"/>
      <c r="J771" s="151"/>
      <c r="K771" s="151"/>
      <c r="L771" s="151"/>
      <c r="M771" s="151"/>
      <c r="N771" s="151"/>
    </row>
    <row r="772" ht="15.75" customHeight="1">
      <c r="A772" s="151"/>
      <c r="B772" s="151"/>
      <c r="C772" s="152"/>
      <c r="D772" s="151"/>
      <c r="E772" s="151"/>
      <c r="F772" s="151"/>
      <c r="G772" s="151"/>
      <c r="H772" s="151"/>
      <c r="I772" s="151"/>
      <c r="J772" s="151"/>
      <c r="K772" s="151"/>
      <c r="L772" s="151"/>
      <c r="M772" s="151"/>
      <c r="N772" s="151"/>
    </row>
    <row r="773" ht="15.75" customHeight="1">
      <c r="A773" s="151"/>
      <c r="B773" s="151"/>
      <c r="C773" s="152"/>
      <c r="D773" s="151"/>
      <c r="E773" s="151"/>
      <c r="F773" s="151"/>
      <c r="G773" s="151"/>
      <c r="H773" s="151"/>
      <c r="I773" s="151"/>
      <c r="J773" s="151"/>
      <c r="K773" s="151"/>
      <c r="L773" s="151"/>
      <c r="M773" s="151"/>
      <c r="N773" s="151"/>
    </row>
    <row r="774" ht="15.75" customHeight="1">
      <c r="A774" s="151"/>
      <c r="B774" s="151"/>
      <c r="C774" s="152"/>
      <c r="D774" s="151"/>
      <c r="E774" s="151"/>
      <c r="F774" s="151"/>
      <c r="G774" s="151"/>
      <c r="H774" s="151"/>
      <c r="I774" s="151"/>
      <c r="J774" s="151"/>
      <c r="K774" s="151"/>
      <c r="L774" s="151"/>
      <c r="M774" s="151"/>
      <c r="N774" s="151"/>
    </row>
    <row r="775" ht="15.75" customHeight="1">
      <c r="A775" s="151"/>
      <c r="B775" s="151"/>
      <c r="C775" s="152"/>
      <c r="D775" s="151"/>
      <c r="E775" s="151"/>
      <c r="F775" s="151"/>
      <c r="G775" s="151"/>
      <c r="H775" s="151"/>
      <c r="I775" s="151"/>
      <c r="J775" s="151"/>
      <c r="K775" s="151"/>
      <c r="L775" s="151"/>
      <c r="M775" s="151"/>
      <c r="N775" s="151"/>
    </row>
    <row r="776" ht="15.75" customHeight="1">
      <c r="A776" s="151"/>
      <c r="B776" s="151"/>
      <c r="C776" s="152"/>
      <c r="D776" s="151"/>
      <c r="E776" s="151"/>
      <c r="F776" s="151"/>
      <c r="G776" s="151"/>
      <c r="H776" s="151"/>
      <c r="I776" s="151"/>
      <c r="J776" s="151"/>
      <c r="K776" s="151"/>
      <c r="L776" s="151"/>
      <c r="M776" s="151"/>
      <c r="N776" s="151"/>
    </row>
    <row r="777" ht="15.75" customHeight="1">
      <c r="A777" s="151"/>
      <c r="B777" s="151"/>
      <c r="C777" s="152"/>
      <c r="D777" s="151"/>
      <c r="E777" s="151"/>
      <c r="F777" s="151"/>
      <c r="G777" s="151"/>
      <c r="H777" s="151"/>
      <c r="I777" s="151"/>
      <c r="J777" s="151"/>
      <c r="K777" s="151"/>
      <c r="L777" s="151"/>
      <c r="M777" s="151"/>
      <c r="N777" s="151"/>
    </row>
    <row r="778" ht="15.75" customHeight="1">
      <c r="A778" s="151"/>
      <c r="B778" s="151"/>
      <c r="C778" s="152"/>
      <c r="D778" s="151"/>
      <c r="E778" s="151"/>
      <c r="F778" s="151"/>
      <c r="G778" s="151"/>
      <c r="H778" s="151"/>
      <c r="I778" s="151"/>
      <c r="J778" s="151"/>
      <c r="K778" s="151"/>
      <c r="L778" s="151"/>
      <c r="M778" s="151"/>
      <c r="N778" s="151"/>
    </row>
    <row r="779" ht="15.75" customHeight="1">
      <c r="A779" s="151"/>
      <c r="B779" s="151"/>
      <c r="C779" s="152"/>
      <c r="D779" s="151"/>
      <c r="E779" s="151"/>
      <c r="F779" s="151"/>
      <c r="G779" s="151"/>
      <c r="H779" s="151"/>
      <c r="I779" s="151"/>
      <c r="J779" s="151"/>
      <c r="K779" s="151"/>
      <c r="L779" s="151"/>
      <c r="M779" s="151"/>
      <c r="N779" s="151"/>
    </row>
    <row r="780" ht="15.75" customHeight="1">
      <c r="A780" s="151"/>
      <c r="B780" s="151"/>
      <c r="C780" s="152"/>
      <c r="D780" s="151"/>
      <c r="E780" s="151"/>
      <c r="F780" s="151"/>
      <c r="G780" s="151"/>
      <c r="H780" s="151"/>
      <c r="I780" s="151"/>
      <c r="J780" s="151"/>
      <c r="K780" s="151"/>
      <c r="L780" s="151"/>
      <c r="M780" s="151"/>
      <c r="N780" s="151"/>
    </row>
    <row r="781" ht="15.75" customHeight="1">
      <c r="A781" s="151"/>
      <c r="B781" s="151"/>
      <c r="C781" s="152"/>
      <c r="D781" s="151"/>
      <c r="E781" s="151"/>
      <c r="F781" s="151"/>
      <c r="G781" s="151"/>
      <c r="H781" s="151"/>
      <c r="I781" s="151"/>
      <c r="J781" s="151"/>
      <c r="K781" s="151"/>
      <c r="L781" s="151"/>
      <c r="M781" s="151"/>
      <c r="N781" s="151"/>
    </row>
    <row r="782" ht="15.75" customHeight="1">
      <c r="A782" s="151"/>
      <c r="B782" s="151"/>
      <c r="C782" s="152"/>
      <c r="D782" s="151"/>
      <c r="E782" s="151"/>
      <c r="F782" s="151"/>
      <c r="G782" s="151"/>
      <c r="H782" s="151"/>
      <c r="I782" s="151"/>
      <c r="J782" s="151"/>
      <c r="K782" s="151"/>
      <c r="L782" s="151"/>
      <c r="M782" s="151"/>
      <c r="N782" s="151"/>
    </row>
    <row r="783" ht="15.75" customHeight="1">
      <c r="A783" s="151"/>
      <c r="B783" s="151"/>
      <c r="C783" s="152"/>
      <c r="D783" s="151"/>
      <c r="E783" s="151"/>
      <c r="F783" s="151"/>
      <c r="G783" s="151"/>
      <c r="H783" s="151"/>
      <c r="I783" s="151"/>
      <c r="J783" s="151"/>
      <c r="K783" s="151"/>
      <c r="L783" s="151"/>
      <c r="M783" s="151"/>
      <c r="N783" s="151"/>
    </row>
    <row r="784" ht="15.75" customHeight="1">
      <c r="A784" s="151"/>
      <c r="B784" s="151"/>
      <c r="C784" s="152"/>
      <c r="D784" s="151"/>
      <c r="E784" s="151"/>
      <c r="F784" s="151"/>
      <c r="G784" s="151"/>
      <c r="H784" s="151"/>
      <c r="I784" s="151"/>
      <c r="J784" s="151"/>
      <c r="K784" s="151"/>
      <c r="L784" s="151"/>
      <c r="M784" s="151"/>
      <c r="N784" s="151"/>
    </row>
    <row r="785" ht="15.75" customHeight="1">
      <c r="A785" s="151"/>
      <c r="B785" s="151"/>
      <c r="C785" s="152"/>
      <c r="D785" s="151"/>
      <c r="E785" s="151"/>
      <c r="F785" s="151"/>
      <c r="G785" s="151"/>
      <c r="H785" s="151"/>
      <c r="I785" s="151"/>
      <c r="J785" s="151"/>
      <c r="K785" s="151"/>
      <c r="L785" s="151"/>
      <c r="M785" s="151"/>
      <c r="N785" s="151"/>
    </row>
    <row r="786" ht="15.75" customHeight="1">
      <c r="A786" s="151"/>
      <c r="B786" s="151"/>
      <c r="C786" s="152"/>
      <c r="D786" s="151"/>
      <c r="E786" s="151"/>
      <c r="F786" s="151"/>
      <c r="G786" s="151"/>
      <c r="H786" s="151"/>
      <c r="I786" s="151"/>
      <c r="J786" s="151"/>
      <c r="K786" s="151"/>
      <c r="L786" s="151"/>
      <c r="M786" s="151"/>
      <c r="N786" s="151"/>
    </row>
    <row r="787" ht="15.75" customHeight="1">
      <c r="A787" s="151"/>
      <c r="B787" s="151"/>
      <c r="C787" s="152"/>
      <c r="D787" s="151"/>
      <c r="E787" s="151"/>
      <c r="F787" s="151"/>
      <c r="G787" s="151"/>
      <c r="H787" s="151"/>
      <c r="I787" s="151"/>
      <c r="J787" s="151"/>
      <c r="K787" s="151"/>
      <c r="L787" s="151"/>
      <c r="M787" s="151"/>
      <c r="N787" s="151"/>
    </row>
    <row r="788" ht="15.75" customHeight="1">
      <c r="A788" s="151"/>
      <c r="B788" s="151"/>
      <c r="C788" s="152"/>
      <c r="D788" s="151"/>
      <c r="E788" s="151"/>
      <c r="F788" s="151"/>
      <c r="G788" s="151"/>
      <c r="H788" s="151"/>
      <c r="I788" s="151"/>
      <c r="J788" s="151"/>
      <c r="K788" s="151"/>
      <c r="L788" s="151"/>
      <c r="M788" s="151"/>
      <c r="N788" s="151"/>
    </row>
    <row r="789" ht="15.75" customHeight="1">
      <c r="A789" s="151"/>
      <c r="B789" s="151"/>
      <c r="C789" s="152"/>
      <c r="D789" s="151"/>
      <c r="E789" s="151"/>
      <c r="F789" s="151"/>
      <c r="G789" s="151"/>
      <c r="H789" s="151"/>
      <c r="I789" s="151"/>
      <c r="J789" s="151"/>
      <c r="K789" s="151"/>
      <c r="L789" s="151"/>
      <c r="M789" s="151"/>
      <c r="N789" s="151"/>
    </row>
    <row r="790" ht="15.75" customHeight="1">
      <c r="A790" s="151"/>
      <c r="B790" s="151"/>
      <c r="C790" s="152"/>
      <c r="D790" s="151"/>
      <c r="E790" s="151"/>
      <c r="F790" s="151"/>
      <c r="G790" s="151"/>
      <c r="H790" s="151"/>
      <c r="I790" s="151"/>
      <c r="J790" s="151"/>
      <c r="K790" s="151"/>
      <c r="L790" s="151"/>
      <c r="M790" s="151"/>
      <c r="N790" s="151"/>
    </row>
    <row r="791" ht="15.75" customHeight="1">
      <c r="A791" s="151"/>
      <c r="B791" s="151"/>
      <c r="C791" s="152"/>
      <c r="D791" s="151"/>
      <c r="E791" s="151"/>
      <c r="F791" s="151"/>
      <c r="G791" s="151"/>
      <c r="H791" s="151"/>
      <c r="I791" s="151"/>
      <c r="J791" s="151"/>
      <c r="K791" s="151"/>
      <c r="L791" s="151"/>
      <c r="M791" s="151"/>
      <c r="N791" s="151"/>
    </row>
    <row r="792" ht="15.75" customHeight="1">
      <c r="A792" s="151"/>
      <c r="B792" s="151"/>
      <c r="C792" s="152"/>
      <c r="D792" s="151"/>
      <c r="E792" s="151"/>
      <c r="F792" s="151"/>
      <c r="G792" s="151"/>
      <c r="H792" s="151"/>
      <c r="I792" s="151"/>
      <c r="J792" s="151"/>
      <c r="K792" s="151"/>
      <c r="L792" s="151"/>
      <c r="M792" s="151"/>
      <c r="N792" s="151"/>
    </row>
    <row r="793" ht="15.75" customHeight="1">
      <c r="A793" s="151"/>
      <c r="B793" s="151"/>
      <c r="C793" s="152"/>
      <c r="D793" s="151"/>
      <c r="E793" s="151"/>
      <c r="F793" s="151"/>
      <c r="G793" s="151"/>
      <c r="H793" s="151"/>
      <c r="I793" s="151"/>
      <c r="J793" s="151"/>
      <c r="K793" s="151"/>
      <c r="L793" s="151"/>
      <c r="M793" s="151"/>
      <c r="N793" s="151"/>
    </row>
    <row r="794" ht="15.75" customHeight="1">
      <c r="A794" s="151"/>
      <c r="B794" s="151"/>
      <c r="C794" s="152"/>
      <c r="D794" s="151"/>
      <c r="E794" s="151"/>
      <c r="F794" s="151"/>
      <c r="G794" s="151"/>
      <c r="H794" s="151"/>
      <c r="I794" s="151"/>
      <c r="J794" s="151"/>
      <c r="K794" s="151"/>
      <c r="L794" s="151"/>
      <c r="M794" s="151"/>
      <c r="N794" s="151"/>
    </row>
    <row r="795" ht="15.75" customHeight="1">
      <c r="A795" s="151"/>
      <c r="B795" s="151"/>
      <c r="C795" s="152"/>
      <c r="D795" s="151"/>
      <c r="E795" s="151"/>
      <c r="F795" s="151"/>
      <c r="G795" s="151"/>
      <c r="H795" s="151"/>
      <c r="I795" s="151"/>
      <c r="J795" s="151"/>
      <c r="K795" s="151"/>
      <c r="L795" s="151"/>
      <c r="M795" s="151"/>
      <c r="N795" s="151"/>
    </row>
    <row r="796" ht="15.75" customHeight="1">
      <c r="A796" s="151"/>
      <c r="B796" s="151"/>
      <c r="C796" s="152"/>
      <c r="D796" s="151"/>
      <c r="E796" s="151"/>
      <c r="F796" s="151"/>
      <c r="G796" s="151"/>
      <c r="H796" s="151"/>
      <c r="I796" s="151"/>
      <c r="J796" s="151"/>
      <c r="K796" s="151"/>
      <c r="L796" s="151"/>
      <c r="M796" s="151"/>
      <c r="N796" s="151"/>
    </row>
    <row r="797" ht="15.75" customHeight="1">
      <c r="A797" s="151"/>
      <c r="B797" s="151"/>
      <c r="C797" s="152"/>
      <c r="D797" s="151"/>
      <c r="E797" s="151"/>
      <c r="F797" s="151"/>
      <c r="G797" s="151"/>
      <c r="H797" s="151"/>
      <c r="I797" s="151"/>
      <c r="J797" s="151"/>
      <c r="K797" s="151"/>
      <c r="L797" s="151"/>
      <c r="M797" s="151"/>
      <c r="N797" s="151"/>
    </row>
    <row r="798" ht="15.75" customHeight="1">
      <c r="A798" s="151"/>
      <c r="B798" s="151"/>
      <c r="C798" s="152"/>
      <c r="D798" s="151"/>
      <c r="E798" s="151"/>
      <c r="F798" s="151"/>
      <c r="G798" s="151"/>
      <c r="H798" s="151"/>
      <c r="I798" s="151"/>
      <c r="J798" s="151"/>
      <c r="K798" s="151"/>
      <c r="L798" s="151"/>
      <c r="M798" s="151"/>
      <c r="N798" s="151"/>
    </row>
    <row r="799" ht="15.75" customHeight="1">
      <c r="A799" s="151"/>
      <c r="B799" s="151"/>
      <c r="C799" s="152"/>
      <c r="D799" s="151"/>
      <c r="E799" s="151"/>
      <c r="F799" s="151"/>
      <c r="G799" s="151"/>
      <c r="H799" s="151"/>
      <c r="I799" s="151"/>
      <c r="J799" s="151"/>
      <c r="K799" s="151"/>
      <c r="L799" s="151"/>
      <c r="M799" s="151"/>
      <c r="N799" s="151"/>
    </row>
    <row r="800" ht="15.75" customHeight="1">
      <c r="A800" s="151"/>
      <c r="B800" s="151"/>
      <c r="C800" s="152"/>
      <c r="D800" s="151"/>
      <c r="E800" s="151"/>
      <c r="F800" s="151"/>
      <c r="G800" s="151"/>
      <c r="H800" s="151"/>
      <c r="I800" s="151"/>
      <c r="J800" s="151"/>
      <c r="K800" s="151"/>
      <c r="L800" s="151"/>
      <c r="M800" s="151"/>
      <c r="N800" s="151"/>
    </row>
    <row r="801" ht="15.75" customHeight="1">
      <c r="A801" s="151"/>
      <c r="B801" s="151"/>
      <c r="C801" s="152"/>
      <c r="D801" s="151"/>
      <c r="E801" s="151"/>
      <c r="F801" s="151"/>
      <c r="G801" s="151"/>
      <c r="H801" s="151"/>
      <c r="I801" s="151"/>
      <c r="J801" s="151"/>
      <c r="K801" s="151"/>
      <c r="L801" s="151"/>
      <c r="M801" s="151"/>
      <c r="N801" s="151"/>
    </row>
    <row r="802" ht="15.75" customHeight="1">
      <c r="A802" s="151"/>
      <c r="B802" s="151"/>
      <c r="C802" s="152"/>
      <c r="D802" s="151"/>
      <c r="E802" s="151"/>
      <c r="F802" s="151"/>
      <c r="G802" s="151"/>
      <c r="H802" s="151"/>
      <c r="I802" s="151"/>
      <c r="J802" s="151"/>
      <c r="K802" s="151"/>
      <c r="L802" s="151"/>
      <c r="M802" s="151"/>
      <c r="N802" s="151"/>
    </row>
    <row r="803" ht="15.75" customHeight="1">
      <c r="A803" s="151"/>
      <c r="B803" s="151"/>
      <c r="C803" s="152"/>
      <c r="D803" s="151"/>
      <c r="E803" s="151"/>
      <c r="F803" s="151"/>
      <c r="G803" s="151"/>
      <c r="H803" s="151"/>
      <c r="I803" s="151"/>
      <c r="J803" s="151"/>
      <c r="K803" s="151"/>
      <c r="L803" s="151"/>
      <c r="M803" s="151"/>
      <c r="N803" s="151"/>
    </row>
    <row r="804" ht="15.75" customHeight="1">
      <c r="A804" s="151"/>
      <c r="B804" s="151"/>
      <c r="C804" s="152"/>
      <c r="D804" s="151"/>
      <c r="E804" s="151"/>
      <c r="F804" s="151"/>
      <c r="G804" s="151"/>
      <c r="H804" s="151"/>
      <c r="I804" s="151"/>
      <c r="J804" s="151"/>
      <c r="K804" s="151"/>
      <c r="L804" s="151"/>
      <c r="M804" s="151"/>
      <c r="N804" s="151"/>
    </row>
    <row r="805" ht="15.75" customHeight="1">
      <c r="A805" s="151"/>
      <c r="B805" s="151"/>
      <c r="C805" s="152"/>
      <c r="D805" s="151"/>
      <c r="E805" s="151"/>
      <c r="F805" s="151"/>
      <c r="G805" s="151"/>
      <c r="H805" s="151"/>
      <c r="I805" s="151"/>
      <c r="J805" s="151"/>
      <c r="K805" s="151"/>
      <c r="L805" s="151"/>
      <c r="M805" s="151"/>
      <c r="N805" s="151"/>
    </row>
    <row r="806" ht="15.75" customHeight="1">
      <c r="A806" s="151"/>
      <c r="B806" s="151"/>
      <c r="C806" s="152"/>
      <c r="D806" s="151"/>
      <c r="E806" s="151"/>
      <c r="F806" s="151"/>
      <c r="G806" s="151"/>
      <c r="H806" s="151"/>
      <c r="I806" s="151"/>
      <c r="J806" s="151"/>
      <c r="K806" s="151"/>
      <c r="L806" s="151"/>
      <c r="M806" s="151"/>
      <c r="N806" s="151"/>
    </row>
    <row r="807" ht="15.75" customHeight="1">
      <c r="A807" s="151"/>
      <c r="B807" s="151"/>
      <c r="C807" s="152"/>
      <c r="D807" s="151"/>
      <c r="E807" s="151"/>
      <c r="F807" s="151"/>
      <c r="G807" s="151"/>
      <c r="H807" s="151"/>
      <c r="I807" s="151"/>
      <c r="J807" s="151"/>
      <c r="K807" s="151"/>
      <c r="L807" s="151"/>
      <c r="M807" s="151"/>
      <c r="N807" s="151"/>
    </row>
    <row r="808" ht="15.75" customHeight="1">
      <c r="A808" s="151"/>
      <c r="B808" s="151"/>
      <c r="C808" s="152"/>
      <c r="D808" s="151"/>
      <c r="E808" s="151"/>
      <c r="F808" s="151"/>
      <c r="G808" s="151"/>
      <c r="H808" s="151"/>
      <c r="I808" s="151"/>
      <c r="J808" s="151"/>
      <c r="K808" s="151"/>
      <c r="L808" s="151"/>
      <c r="M808" s="151"/>
      <c r="N808" s="151"/>
    </row>
    <row r="809" ht="15.75" customHeight="1">
      <c r="A809" s="151"/>
      <c r="B809" s="151"/>
      <c r="C809" s="152"/>
      <c r="D809" s="151"/>
      <c r="E809" s="151"/>
      <c r="F809" s="151"/>
      <c r="G809" s="151"/>
      <c r="H809" s="151"/>
      <c r="I809" s="151"/>
      <c r="J809" s="151"/>
      <c r="K809" s="151"/>
      <c r="L809" s="151"/>
      <c r="M809" s="151"/>
      <c r="N809" s="151"/>
    </row>
    <row r="810" ht="15.75" customHeight="1">
      <c r="A810" s="151"/>
      <c r="B810" s="151"/>
      <c r="C810" s="152"/>
      <c r="D810" s="151"/>
      <c r="E810" s="151"/>
      <c r="F810" s="151"/>
      <c r="G810" s="151"/>
      <c r="H810" s="151"/>
      <c r="I810" s="151"/>
      <c r="J810" s="151"/>
      <c r="K810" s="151"/>
      <c r="L810" s="151"/>
      <c r="M810" s="151"/>
      <c r="N810" s="151"/>
    </row>
    <row r="811" ht="15.75" customHeight="1">
      <c r="A811" s="151"/>
      <c r="B811" s="151"/>
      <c r="C811" s="152"/>
      <c r="D811" s="151"/>
      <c r="E811" s="151"/>
      <c r="F811" s="151"/>
      <c r="G811" s="151"/>
      <c r="H811" s="151"/>
      <c r="I811" s="151"/>
      <c r="J811" s="151"/>
      <c r="K811" s="151"/>
      <c r="L811" s="151"/>
      <c r="M811" s="151"/>
      <c r="N811" s="151"/>
    </row>
    <row r="812" ht="15.75" customHeight="1">
      <c r="A812" s="151"/>
      <c r="B812" s="151"/>
      <c r="C812" s="152"/>
      <c r="D812" s="151"/>
      <c r="E812" s="151"/>
      <c r="F812" s="151"/>
      <c r="G812" s="151"/>
      <c r="H812" s="151"/>
      <c r="I812" s="151"/>
      <c r="J812" s="151"/>
      <c r="K812" s="151"/>
      <c r="L812" s="151"/>
      <c r="M812" s="151"/>
      <c r="N812" s="151"/>
    </row>
    <row r="813" ht="15.75" customHeight="1">
      <c r="A813" s="151"/>
      <c r="B813" s="151"/>
      <c r="C813" s="152"/>
      <c r="D813" s="151"/>
      <c r="E813" s="151"/>
      <c r="F813" s="151"/>
      <c r="G813" s="151"/>
      <c r="H813" s="151"/>
      <c r="I813" s="151"/>
      <c r="J813" s="151"/>
      <c r="K813" s="151"/>
      <c r="L813" s="151"/>
      <c r="M813" s="151"/>
      <c r="N813" s="151"/>
    </row>
    <row r="814" ht="15.75" customHeight="1">
      <c r="A814" s="151"/>
      <c r="B814" s="151"/>
      <c r="C814" s="152"/>
      <c r="D814" s="151"/>
      <c r="E814" s="151"/>
      <c r="F814" s="151"/>
      <c r="G814" s="151"/>
      <c r="H814" s="151"/>
      <c r="I814" s="151"/>
      <c r="J814" s="151"/>
      <c r="K814" s="151"/>
      <c r="L814" s="151"/>
      <c r="M814" s="151"/>
      <c r="N814" s="151"/>
    </row>
    <row r="815" ht="15.75" customHeight="1">
      <c r="A815" s="151"/>
      <c r="B815" s="151"/>
      <c r="C815" s="152"/>
      <c r="D815" s="151"/>
      <c r="E815" s="151"/>
      <c r="F815" s="151"/>
      <c r="G815" s="151"/>
      <c r="H815" s="151"/>
      <c r="I815" s="151"/>
      <c r="J815" s="151"/>
      <c r="K815" s="151"/>
      <c r="L815" s="151"/>
      <c r="M815" s="151"/>
      <c r="N815" s="151"/>
    </row>
    <row r="816" ht="15.75" customHeight="1">
      <c r="A816" s="151"/>
      <c r="B816" s="151"/>
      <c r="C816" s="152"/>
      <c r="D816" s="151"/>
      <c r="E816" s="151"/>
      <c r="F816" s="151"/>
      <c r="G816" s="151"/>
      <c r="H816" s="151"/>
      <c r="I816" s="151"/>
      <c r="J816" s="151"/>
      <c r="K816" s="151"/>
      <c r="L816" s="151"/>
      <c r="M816" s="151"/>
      <c r="N816" s="151"/>
    </row>
    <row r="817" ht="15.75" customHeight="1">
      <c r="A817" s="151"/>
      <c r="B817" s="151"/>
      <c r="C817" s="152"/>
      <c r="D817" s="151"/>
      <c r="E817" s="151"/>
      <c r="F817" s="151"/>
      <c r="G817" s="151"/>
      <c r="H817" s="151"/>
      <c r="I817" s="151"/>
      <c r="J817" s="151"/>
      <c r="K817" s="151"/>
      <c r="L817" s="151"/>
      <c r="M817" s="151"/>
      <c r="N817" s="151"/>
    </row>
    <row r="818" ht="15.75" customHeight="1">
      <c r="A818" s="151"/>
      <c r="B818" s="151"/>
      <c r="C818" s="152"/>
      <c r="D818" s="151"/>
      <c r="E818" s="151"/>
      <c r="F818" s="151"/>
      <c r="G818" s="151"/>
      <c r="H818" s="151"/>
      <c r="I818" s="151"/>
      <c r="J818" s="151"/>
      <c r="K818" s="151"/>
      <c r="L818" s="151"/>
      <c r="M818" s="151"/>
      <c r="N818" s="151"/>
    </row>
    <row r="819" ht="15.75" customHeight="1">
      <c r="A819" s="151"/>
      <c r="B819" s="151"/>
      <c r="C819" s="152"/>
      <c r="D819" s="151"/>
      <c r="E819" s="151"/>
      <c r="F819" s="151"/>
      <c r="G819" s="151"/>
      <c r="H819" s="151"/>
      <c r="I819" s="151"/>
      <c r="J819" s="151"/>
      <c r="K819" s="151"/>
      <c r="L819" s="151"/>
      <c r="M819" s="151"/>
      <c r="N819" s="151"/>
    </row>
    <row r="820" ht="15.75" customHeight="1">
      <c r="A820" s="151"/>
      <c r="B820" s="151"/>
      <c r="C820" s="152"/>
      <c r="D820" s="151"/>
      <c r="E820" s="151"/>
      <c r="F820" s="151"/>
      <c r="G820" s="151"/>
      <c r="H820" s="151"/>
      <c r="I820" s="151"/>
      <c r="J820" s="151"/>
      <c r="K820" s="151"/>
      <c r="L820" s="151"/>
      <c r="M820" s="151"/>
      <c r="N820" s="151"/>
    </row>
    <row r="821" ht="15.75" customHeight="1">
      <c r="A821" s="151"/>
      <c r="B821" s="151"/>
      <c r="C821" s="152"/>
      <c r="D821" s="151"/>
      <c r="E821" s="151"/>
      <c r="F821" s="151"/>
      <c r="G821" s="151"/>
      <c r="H821" s="151"/>
      <c r="I821" s="151"/>
      <c r="J821" s="151"/>
      <c r="K821" s="151"/>
      <c r="L821" s="151"/>
      <c r="M821" s="151"/>
      <c r="N821" s="151"/>
    </row>
    <row r="822" ht="15.75" customHeight="1">
      <c r="A822" s="151"/>
      <c r="B822" s="151"/>
      <c r="C822" s="152"/>
      <c r="D822" s="151"/>
      <c r="E822" s="151"/>
      <c r="F822" s="151"/>
      <c r="G822" s="151"/>
      <c r="H822" s="151"/>
      <c r="I822" s="151"/>
      <c r="J822" s="151"/>
      <c r="K822" s="151"/>
      <c r="L822" s="151"/>
      <c r="M822" s="151"/>
      <c r="N822" s="151"/>
    </row>
    <row r="823" ht="15.75" customHeight="1">
      <c r="A823" s="151"/>
      <c r="B823" s="151"/>
      <c r="C823" s="152"/>
      <c r="D823" s="151"/>
      <c r="E823" s="151"/>
      <c r="F823" s="151"/>
      <c r="G823" s="151"/>
      <c r="H823" s="151"/>
      <c r="I823" s="151"/>
      <c r="J823" s="151"/>
      <c r="K823" s="151"/>
      <c r="L823" s="151"/>
      <c r="M823" s="151"/>
      <c r="N823" s="151"/>
    </row>
    <row r="824" ht="15.75" customHeight="1">
      <c r="A824" s="151"/>
      <c r="B824" s="151"/>
      <c r="C824" s="152"/>
      <c r="D824" s="151"/>
      <c r="E824" s="151"/>
      <c r="F824" s="151"/>
      <c r="G824" s="151"/>
      <c r="H824" s="151"/>
      <c r="I824" s="151"/>
      <c r="J824" s="151"/>
      <c r="K824" s="151"/>
      <c r="L824" s="151"/>
      <c r="M824" s="151"/>
      <c r="N824" s="151"/>
    </row>
    <row r="825" ht="15.75" customHeight="1">
      <c r="A825" s="151"/>
      <c r="B825" s="151"/>
      <c r="C825" s="152"/>
      <c r="D825" s="151"/>
      <c r="E825" s="151"/>
      <c r="F825" s="151"/>
      <c r="G825" s="151"/>
      <c r="H825" s="151"/>
      <c r="I825" s="151"/>
      <c r="J825" s="151"/>
      <c r="K825" s="151"/>
      <c r="L825" s="151"/>
      <c r="M825" s="151"/>
      <c r="N825" s="151"/>
    </row>
    <row r="826" ht="15.75" customHeight="1">
      <c r="A826" s="151"/>
      <c r="B826" s="151"/>
      <c r="C826" s="152"/>
      <c r="D826" s="151"/>
      <c r="E826" s="151"/>
      <c r="F826" s="151"/>
      <c r="G826" s="151"/>
      <c r="H826" s="151"/>
      <c r="I826" s="151"/>
      <c r="J826" s="151"/>
      <c r="K826" s="151"/>
      <c r="L826" s="151"/>
      <c r="M826" s="151"/>
      <c r="N826" s="151"/>
    </row>
    <row r="827" ht="15.75" customHeight="1">
      <c r="A827" s="151"/>
      <c r="B827" s="151"/>
      <c r="C827" s="152"/>
      <c r="D827" s="151"/>
      <c r="E827" s="151"/>
      <c r="F827" s="151"/>
      <c r="G827" s="151"/>
      <c r="H827" s="151"/>
      <c r="I827" s="151"/>
      <c r="J827" s="151"/>
      <c r="K827" s="151"/>
      <c r="L827" s="151"/>
      <c r="M827" s="151"/>
      <c r="N827" s="151"/>
    </row>
    <row r="828" ht="15.75" customHeight="1">
      <c r="A828" s="151"/>
      <c r="B828" s="151"/>
      <c r="C828" s="152"/>
      <c r="D828" s="151"/>
      <c r="E828" s="151"/>
      <c r="F828" s="151"/>
      <c r="G828" s="151"/>
      <c r="H828" s="151"/>
      <c r="I828" s="151"/>
      <c r="J828" s="151"/>
      <c r="K828" s="151"/>
      <c r="L828" s="151"/>
      <c r="M828" s="151"/>
      <c r="N828" s="151"/>
    </row>
    <row r="829" ht="15.75" customHeight="1">
      <c r="A829" s="151"/>
      <c r="B829" s="151"/>
      <c r="C829" s="152"/>
      <c r="D829" s="151"/>
      <c r="E829" s="151"/>
      <c r="F829" s="151"/>
      <c r="G829" s="151"/>
      <c r="H829" s="151"/>
      <c r="I829" s="151"/>
      <c r="J829" s="151"/>
      <c r="K829" s="151"/>
      <c r="L829" s="151"/>
      <c r="M829" s="151"/>
      <c r="N829" s="151"/>
    </row>
    <row r="830" ht="15.75" customHeight="1">
      <c r="A830" s="151"/>
      <c r="B830" s="151"/>
      <c r="C830" s="152"/>
      <c r="D830" s="151"/>
      <c r="E830" s="151"/>
      <c r="F830" s="151"/>
      <c r="G830" s="151"/>
      <c r="H830" s="151"/>
      <c r="I830" s="151"/>
      <c r="J830" s="151"/>
      <c r="K830" s="151"/>
      <c r="L830" s="151"/>
      <c r="M830" s="151"/>
      <c r="N830" s="151"/>
    </row>
    <row r="831" ht="15.75" customHeight="1">
      <c r="A831" s="151"/>
      <c r="B831" s="151"/>
      <c r="C831" s="152"/>
      <c r="D831" s="151"/>
      <c r="E831" s="151"/>
      <c r="F831" s="151"/>
      <c r="G831" s="151"/>
      <c r="H831" s="151"/>
      <c r="I831" s="151"/>
      <c r="J831" s="151"/>
      <c r="K831" s="151"/>
      <c r="L831" s="151"/>
      <c r="M831" s="151"/>
      <c r="N831" s="151"/>
    </row>
    <row r="832" ht="15.75" customHeight="1">
      <c r="A832" s="151"/>
      <c r="B832" s="151"/>
      <c r="C832" s="152"/>
      <c r="D832" s="151"/>
      <c r="E832" s="151"/>
      <c r="F832" s="151"/>
      <c r="G832" s="151"/>
      <c r="H832" s="151"/>
      <c r="I832" s="151"/>
      <c r="J832" s="151"/>
      <c r="K832" s="151"/>
      <c r="L832" s="151"/>
      <c r="M832" s="151"/>
      <c r="N832" s="151"/>
    </row>
    <row r="833" ht="15.75" customHeight="1">
      <c r="A833" s="151"/>
      <c r="B833" s="151"/>
      <c r="C833" s="152"/>
      <c r="D833" s="151"/>
      <c r="E833" s="151"/>
      <c r="F833" s="151"/>
      <c r="G833" s="151"/>
      <c r="H833" s="151"/>
      <c r="I833" s="151"/>
      <c r="J833" s="151"/>
      <c r="K833" s="151"/>
      <c r="L833" s="151"/>
      <c r="M833" s="151"/>
      <c r="N833" s="151"/>
    </row>
    <row r="834" ht="15.75" customHeight="1">
      <c r="A834" s="151"/>
      <c r="B834" s="151"/>
      <c r="C834" s="152"/>
      <c r="D834" s="151"/>
      <c r="E834" s="151"/>
      <c r="F834" s="151"/>
      <c r="G834" s="151"/>
      <c r="H834" s="151"/>
      <c r="I834" s="151"/>
      <c r="J834" s="151"/>
      <c r="K834" s="151"/>
      <c r="L834" s="151"/>
      <c r="M834" s="151"/>
      <c r="N834" s="151"/>
    </row>
    <row r="835" ht="15.75" customHeight="1">
      <c r="A835" s="151"/>
      <c r="B835" s="151"/>
      <c r="C835" s="152"/>
      <c r="D835" s="151"/>
      <c r="E835" s="151"/>
      <c r="F835" s="151"/>
      <c r="G835" s="151"/>
      <c r="H835" s="151"/>
      <c r="I835" s="151"/>
      <c r="J835" s="151"/>
      <c r="K835" s="151"/>
      <c r="L835" s="151"/>
      <c r="M835" s="151"/>
      <c r="N835" s="151"/>
    </row>
    <row r="836" ht="15.75" customHeight="1">
      <c r="A836" s="151"/>
      <c r="B836" s="151"/>
      <c r="C836" s="152"/>
      <c r="D836" s="151"/>
      <c r="E836" s="151"/>
      <c r="F836" s="151"/>
      <c r="G836" s="151"/>
      <c r="H836" s="151"/>
      <c r="I836" s="151"/>
      <c r="J836" s="151"/>
      <c r="K836" s="151"/>
      <c r="L836" s="151"/>
      <c r="M836" s="151"/>
      <c r="N836" s="151"/>
    </row>
    <row r="837" ht="15.75" customHeight="1">
      <c r="A837" s="151"/>
      <c r="B837" s="151"/>
      <c r="C837" s="152"/>
      <c r="D837" s="151"/>
      <c r="E837" s="151"/>
      <c r="F837" s="151"/>
      <c r="G837" s="151"/>
      <c r="H837" s="151"/>
      <c r="I837" s="151"/>
      <c r="J837" s="151"/>
      <c r="K837" s="151"/>
      <c r="L837" s="151"/>
      <c r="M837" s="151"/>
      <c r="N837" s="151"/>
    </row>
    <row r="838" ht="15.75" customHeight="1">
      <c r="A838" s="151"/>
      <c r="B838" s="151"/>
      <c r="C838" s="152"/>
      <c r="D838" s="151"/>
      <c r="E838" s="151"/>
      <c r="F838" s="151"/>
      <c r="G838" s="151"/>
      <c r="H838" s="151"/>
      <c r="I838" s="151"/>
      <c r="J838" s="151"/>
      <c r="K838" s="151"/>
      <c r="L838" s="151"/>
      <c r="M838" s="151"/>
      <c r="N838" s="151"/>
    </row>
    <row r="839" ht="15.75" customHeight="1">
      <c r="A839" s="151"/>
      <c r="B839" s="151"/>
      <c r="C839" s="152"/>
      <c r="D839" s="151"/>
      <c r="E839" s="151"/>
      <c r="F839" s="151"/>
      <c r="G839" s="151"/>
      <c r="H839" s="151"/>
      <c r="I839" s="151"/>
      <c r="J839" s="151"/>
      <c r="K839" s="151"/>
      <c r="L839" s="151"/>
      <c r="M839" s="151"/>
      <c r="N839" s="151"/>
    </row>
    <row r="840" ht="15.75" customHeight="1">
      <c r="A840" s="151"/>
      <c r="B840" s="151"/>
      <c r="C840" s="152"/>
      <c r="D840" s="151"/>
      <c r="E840" s="151"/>
      <c r="F840" s="151"/>
      <c r="G840" s="151"/>
      <c r="H840" s="151"/>
      <c r="I840" s="151"/>
      <c r="J840" s="151"/>
      <c r="K840" s="151"/>
      <c r="L840" s="151"/>
      <c r="M840" s="151"/>
      <c r="N840" s="151"/>
    </row>
    <row r="841" ht="15.75" customHeight="1">
      <c r="A841" s="151"/>
      <c r="B841" s="151"/>
      <c r="C841" s="152"/>
      <c r="D841" s="151"/>
      <c r="E841" s="151"/>
      <c r="F841" s="151"/>
      <c r="G841" s="151"/>
      <c r="H841" s="151"/>
      <c r="I841" s="151"/>
      <c r="J841" s="151"/>
      <c r="K841" s="151"/>
      <c r="L841" s="151"/>
      <c r="M841" s="151"/>
      <c r="N841" s="151"/>
    </row>
    <row r="842" ht="15.75" customHeight="1">
      <c r="A842" s="151"/>
      <c r="B842" s="151"/>
      <c r="C842" s="152"/>
      <c r="D842" s="151"/>
      <c r="E842" s="151"/>
      <c r="F842" s="151"/>
      <c r="G842" s="151"/>
      <c r="H842" s="151"/>
      <c r="I842" s="151"/>
      <c r="J842" s="151"/>
      <c r="K842" s="151"/>
      <c r="L842" s="151"/>
      <c r="M842" s="151"/>
      <c r="N842" s="151"/>
    </row>
    <row r="843" ht="15.75" customHeight="1">
      <c r="A843" s="151"/>
      <c r="B843" s="151"/>
      <c r="C843" s="152"/>
      <c r="D843" s="151"/>
      <c r="E843" s="151"/>
      <c r="F843" s="151"/>
      <c r="G843" s="151"/>
      <c r="H843" s="151"/>
      <c r="I843" s="151"/>
      <c r="J843" s="151"/>
      <c r="K843" s="151"/>
      <c r="L843" s="151"/>
      <c r="M843" s="151"/>
      <c r="N843" s="151"/>
    </row>
    <row r="844" ht="15.75" customHeight="1">
      <c r="A844" s="151"/>
      <c r="B844" s="151"/>
      <c r="C844" s="152"/>
      <c r="D844" s="151"/>
      <c r="E844" s="151"/>
      <c r="F844" s="151"/>
      <c r="G844" s="151"/>
      <c r="H844" s="151"/>
      <c r="I844" s="151"/>
      <c r="J844" s="151"/>
      <c r="K844" s="151"/>
      <c r="L844" s="151"/>
      <c r="M844" s="151"/>
      <c r="N844" s="151"/>
    </row>
    <row r="845" ht="15.75" customHeight="1">
      <c r="A845" s="151"/>
      <c r="B845" s="151"/>
      <c r="C845" s="152"/>
      <c r="D845" s="151"/>
      <c r="E845" s="151"/>
      <c r="F845" s="151"/>
      <c r="G845" s="151"/>
      <c r="H845" s="151"/>
      <c r="I845" s="151"/>
      <c r="J845" s="151"/>
      <c r="K845" s="151"/>
      <c r="L845" s="151"/>
      <c r="M845" s="151"/>
      <c r="N845" s="151"/>
    </row>
    <row r="846" ht="15.75" customHeight="1">
      <c r="A846" s="151"/>
      <c r="B846" s="151"/>
      <c r="C846" s="152"/>
      <c r="D846" s="151"/>
      <c r="E846" s="151"/>
      <c r="F846" s="151"/>
      <c r="G846" s="151"/>
      <c r="H846" s="151"/>
      <c r="I846" s="151"/>
      <c r="J846" s="151"/>
      <c r="K846" s="151"/>
      <c r="L846" s="151"/>
      <c r="M846" s="151"/>
      <c r="N846" s="151"/>
    </row>
    <row r="847" ht="15.75" customHeight="1">
      <c r="A847" s="151"/>
      <c r="B847" s="151"/>
      <c r="C847" s="152"/>
      <c r="D847" s="151"/>
      <c r="E847" s="151"/>
      <c r="F847" s="151"/>
      <c r="G847" s="151"/>
      <c r="H847" s="151"/>
      <c r="I847" s="151"/>
      <c r="J847" s="151"/>
      <c r="K847" s="151"/>
      <c r="L847" s="151"/>
      <c r="M847" s="151"/>
      <c r="N847" s="151"/>
    </row>
    <row r="848" ht="15.75" customHeight="1">
      <c r="A848" s="151"/>
      <c r="B848" s="151"/>
      <c r="C848" s="152"/>
      <c r="D848" s="151"/>
      <c r="E848" s="151"/>
      <c r="F848" s="151"/>
      <c r="G848" s="151"/>
      <c r="H848" s="151"/>
      <c r="I848" s="151"/>
      <c r="J848" s="151"/>
      <c r="K848" s="151"/>
      <c r="L848" s="151"/>
      <c r="M848" s="151"/>
      <c r="N848" s="151"/>
    </row>
    <row r="849" ht="15.75" customHeight="1">
      <c r="A849" s="151"/>
      <c r="B849" s="151"/>
      <c r="C849" s="152"/>
      <c r="D849" s="151"/>
      <c r="E849" s="151"/>
      <c r="F849" s="151"/>
      <c r="G849" s="151"/>
      <c r="H849" s="151"/>
      <c r="I849" s="151"/>
      <c r="J849" s="151"/>
      <c r="K849" s="151"/>
      <c r="L849" s="151"/>
      <c r="M849" s="151"/>
      <c r="N849" s="151"/>
    </row>
    <row r="850" ht="15.75" customHeight="1">
      <c r="A850" s="151"/>
      <c r="B850" s="151"/>
      <c r="C850" s="152"/>
      <c r="D850" s="151"/>
      <c r="E850" s="151"/>
      <c r="F850" s="151"/>
      <c r="G850" s="151"/>
      <c r="H850" s="151"/>
      <c r="I850" s="151"/>
      <c r="J850" s="151"/>
      <c r="K850" s="151"/>
      <c r="L850" s="151"/>
      <c r="M850" s="151"/>
      <c r="N850" s="151"/>
    </row>
    <row r="851" ht="15.75" customHeight="1">
      <c r="A851" s="151"/>
      <c r="B851" s="151"/>
      <c r="C851" s="152"/>
      <c r="D851" s="151"/>
      <c r="E851" s="151"/>
      <c r="F851" s="151"/>
      <c r="G851" s="151"/>
      <c r="H851" s="151"/>
      <c r="I851" s="151"/>
      <c r="J851" s="151"/>
      <c r="K851" s="151"/>
      <c r="L851" s="151"/>
      <c r="M851" s="151"/>
      <c r="N851" s="151"/>
    </row>
    <row r="852" ht="15.75" customHeight="1">
      <c r="A852" s="151"/>
      <c r="B852" s="151"/>
      <c r="C852" s="152"/>
      <c r="D852" s="151"/>
      <c r="E852" s="151"/>
      <c r="F852" s="151"/>
      <c r="G852" s="151"/>
      <c r="H852" s="151"/>
      <c r="I852" s="151"/>
      <c r="J852" s="151"/>
      <c r="K852" s="151"/>
      <c r="L852" s="151"/>
      <c r="M852" s="151"/>
      <c r="N852" s="151"/>
    </row>
    <row r="853" ht="15.75" customHeight="1">
      <c r="A853" s="151"/>
      <c r="B853" s="151"/>
      <c r="C853" s="152"/>
      <c r="D853" s="151"/>
      <c r="E853" s="151"/>
      <c r="F853" s="151"/>
      <c r="G853" s="151"/>
      <c r="H853" s="151"/>
      <c r="I853" s="151"/>
      <c r="J853" s="151"/>
      <c r="K853" s="151"/>
      <c r="L853" s="151"/>
      <c r="M853" s="151"/>
      <c r="N853" s="151"/>
    </row>
    <row r="854" ht="15.75" customHeight="1">
      <c r="A854" s="151"/>
      <c r="B854" s="151"/>
      <c r="C854" s="152"/>
      <c r="D854" s="151"/>
      <c r="E854" s="151"/>
      <c r="F854" s="151"/>
      <c r="G854" s="151"/>
      <c r="H854" s="151"/>
      <c r="I854" s="151"/>
      <c r="J854" s="151"/>
      <c r="K854" s="151"/>
      <c r="L854" s="151"/>
      <c r="M854" s="151"/>
      <c r="N854" s="151"/>
    </row>
    <row r="855" ht="15.75" customHeight="1">
      <c r="A855" s="151"/>
      <c r="B855" s="151"/>
      <c r="C855" s="152"/>
      <c r="D855" s="151"/>
      <c r="E855" s="151"/>
      <c r="F855" s="151"/>
      <c r="G855" s="151"/>
      <c r="H855" s="151"/>
      <c r="I855" s="151"/>
      <c r="J855" s="151"/>
      <c r="K855" s="151"/>
      <c r="L855" s="151"/>
      <c r="M855" s="151"/>
      <c r="N855" s="151"/>
    </row>
    <row r="856" ht="15.75" customHeight="1">
      <c r="A856" s="151"/>
      <c r="B856" s="151"/>
      <c r="C856" s="152"/>
      <c r="D856" s="151"/>
      <c r="E856" s="151"/>
      <c r="F856" s="151"/>
      <c r="G856" s="151"/>
      <c r="H856" s="151"/>
      <c r="I856" s="151"/>
      <c r="J856" s="151"/>
      <c r="K856" s="151"/>
      <c r="L856" s="151"/>
      <c r="M856" s="151"/>
      <c r="N856" s="151"/>
    </row>
    <row r="857" ht="15.75" customHeight="1">
      <c r="A857" s="151"/>
      <c r="B857" s="151"/>
      <c r="C857" s="152"/>
      <c r="D857" s="151"/>
      <c r="E857" s="151"/>
      <c r="F857" s="151"/>
      <c r="G857" s="151"/>
      <c r="H857" s="151"/>
      <c r="I857" s="151"/>
      <c r="J857" s="151"/>
      <c r="K857" s="151"/>
      <c r="L857" s="151"/>
      <c r="M857" s="151"/>
      <c r="N857" s="151"/>
    </row>
    <row r="858" ht="15.75" customHeight="1">
      <c r="A858" s="151"/>
      <c r="B858" s="151"/>
      <c r="C858" s="152"/>
      <c r="D858" s="151"/>
      <c r="E858" s="151"/>
      <c r="F858" s="151"/>
      <c r="G858" s="151"/>
      <c r="H858" s="151"/>
      <c r="I858" s="151"/>
      <c r="J858" s="151"/>
      <c r="K858" s="151"/>
      <c r="L858" s="151"/>
      <c r="M858" s="151"/>
      <c r="N858" s="151"/>
    </row>
    <row r="859" ht="15.75" customHeight="1">
      <c r="A859" s="151"/>
      <c r="B859" s="151"/>
      <c r="C859" s="152"/>
      <c r="D859" s="151"/>
      <c r="E859" s="151"/>
      <c r="F859" s="151"/>
      <c r="G859" s="151"/>
      <c r="H859" s="151"/>
      <c r="I859" s="151"/>
      <c r="J859" s="151"/>
      <c r="K859" s="151"/>
      <c r="L859" s="151"/>
      <c r="M859" s="151"/>
      <c r="N859" s="151"/>
    </row>
    <row r="860" ht="15.75" customHeight="1">
      <c r="A860" s="151"/>
      <c r="B860" s="151"/>
      <c r="C860" s="152"/>
      <c r="D860" s="151"/>
      <c r="E860" s="151"/>
      <c r="F860" s="151"/>
      <c r="G860" s="151"/>
      <c r="H860" s="151"/>
      <c r="I860" s="151"/>
      <c r="J860" s="151"/>
      <c r="K860" s="151"/>
      <c r="L860" s="151"/>
      <c r="M860" s="151"/>
      <c r="N860" s="151"/>
    </row>
    <row r="861" ht="15.75" customHeight="1">
      <c r="A861" s="151"/>
      <c r="B861" s="151"/>
      <c r="C861" s="152"/>
      <c r="D861" s="151"/>
      <c r="E861" s="151"/>
      <c r="F861" s="151"/>
      <c r="G861" s="151"/>
      <c r="H861" s="151"/>
      <c r="I861" s="151"/>
      <c r="J861" s="151"/>
      <c r="K861" s="151"/>
      <c r="L861" s="151"/>
      <c r="M861" s="151"/>
      <c r="N861" s="151"/>
    </row>
    <row r="862" ht="15.75" customHeight="1">
      <c r="A862" s="151"/>
      <c r="B862" s="151"/>
      <c r="C862" s="152"/>
      <c r="D862" s="151"/>
      <c r="E862" s="151"/>
      <c r="F862" s="151"/>
      <c r="G862" s="151"/>
      <c r="H862" s="151"/>
      <c r="I862" s="151"/>
      <c r="J862" s="151"/>
      <c r="K862" s="151"/>
      <c r="L862" s="151"/>
      <c r="M862" s="151"/>
      <c r="N862" s="151"/>
    </row>
    <row r="863" ht="15.75" customHeight="1">
      <c r="A863" s="151"/>
      <c r="B863" s="151"/>
      <c r="C863" s="152"/>
      <c r="D863" s="151"/>
      <c r="E863" s="151"/>
      <c r="F863" s="151"/>
      <c r="G863" s="151"/>
      <c r="H863" s="151"/>
      <c r="I863" s="151"/>
      <c r="J863" s="151"/>
      <c r="K863" s="151"/>
      <c r="L863" s="151"/>
      <c r="M863" s="151"/>
      <c r="N863" s="151"/>
    </row>
    <row r="864" ht="15.75" customHeight="1">
      <c r="A864" s="151"/>
      <c r="B864" s="151"/>
      <c r="C864" s="152"/>
      <c r="D864" s="151"/>
      <c r="E864" s="151"/>
      <c r="F864" s="151"/>
      <c r="G864" s="151"/>
      <c r="H864" s="151"/>
      <c r="I864" s="151"/>
      <c r="J864" s="151"/>
      <c r="K864" s="151"/>
      <c r="L864" s="151"/>
      <c r="M864" s="151"/>
      <c r="N864" s="151"/>
    </row>
    <row r="865" ht="15.75" customHeight="1">
      <c r="A865" s="151"/>
      <c r="B865" s="151"/>
      <c r="C865" s="152"/>
      <c r="D865" s="151"/>
      <c r="E865" s="151"/>
      <c r="F865" s="151"/>
      <c r="G865" s="151"/>
      <c r="H865" s="151"/>
      <c r="I865" s="151"/>
      <c r="J865" s="151"/>
      <c r="K865" s="151"/>
      <c r="L865" s="151"/>
      <c r="M865" s="151"/>
      <c r="N865" s="151"/>
    </row>
    <row r="866" ht="15.75" customHeight="1">
      <c r="A866" s="151"/>
      <c r="B866" s="151"/>
      <c r="C866" s="152"/>
      <c r="D866" s="151"/>
      <c r="E866" s="151"/>
      <c r="F866" s="151"/>
      <c r="G866" s="151"/>
      <c r="H866" s="151"/>
      <c r="I866" s="151"/>
      <c r="J866" s="151"/>
      <c r="K866" s="151"/>
      <c r="L866" s="151"/>
      <c r="M866" s="151"/>
      <c r="N866" s="151"/>
    </row>
    <row r="867" ht="15.75" customHeight="1">
      <c r="A867" s="151"/>
      <c r="B867" s="151"/>
      <c r="C867" s="152"/>
      <c r="D867" s="151"/>
      <c r="E867" s="151"/>
      <c r="F867" s="151"/>
      <c r="G867" s="151"/>
      <c r="H867" s="151"/>
      <c r="I867" s="151"/>
      <c r="J867" s="151"/>
      <c r="K867" s="151"/>
      <c r="L867" s="151"/>
      <c r="M867" s="151"/>
      <c r="N867" s="151"/>
    </row>
    <row r="868" ht="15.75" customHeight="1">
      <c r="A868" s="151"/>
      <c r="B868" s="151"/>
      <c r="C868" s="152"/>
      <c r="D868" s="151"/>
      <c r="E868" s="151"/>
      <c r="F868" s="151"/>
      <c r="G868" s="151"/>
      <c r="H868" s="151"/>
      <c r="I868" s="151"/>
      <c r="J868" s="151"/>
      <c r="K868" s="151"/>
      <c r="L868" s="151"/>
      <c r="M868" s="151"/>
      <c r="N868" s="151"/>
    </row>
    <row r="869" ht="15.75" customHeight="1">
      <c r="A869" s="151"/>
      <c r="B869" s="151"/>
      <c r="C869" s="152"/>
      <c r="D869" s="151"/>
      <c r="E869" s="151"/>
      <c r="F869" s="151"/>
      <c r="G869" s="151"/>
      <c r="H869" s="151"/>
      <c r="I869" s="151"/>
      <c r="J869" s="151"/>
      <c r="K869" s="151"/>
      <c r="L869" s="151"/>
      <c r="M869" s="151"/>
      <c r="N869" s="151"/>
    </row>
    <row r="870" ht="15.75" customHeight="1">
      <c r="A870" s="151"/>
      <c r="B870" s="151"/>
      <c r="C870" s="152"/>
      <c r="D870" s="151"/>
      <c r="E870" s="151"/>
      <c r="F870" s="151"/>
      <c r="G870" s="151"/>
      <c r="H870" s="151"/>
      <c r="I870" s="151"/>
      <c r="J870" s="151"/>
      <c r="K870" s="151"/>
      <c r="L870" s="151"/>
      <c r="M870" s="151"/>
      <c r="N870" s="151"/>
    </row>
    <row r="871" ht="15.75" customHeight="1">
      <c r="A871" s="151"/>
      <c r="B871" s="151"/>
      <c r="C871" s="152"/>
      <c r="D871" s="151"/>
      <c r="E871" s="151"/>
      <c r="F871" s="151"/>
      <c r="G871" s="151"/>
      <c r="H871" s="151"/>
      <c r="I871" s="151"/>
      <c r="J871" s="151"/>
      <c r="K871" s="151"/>
      <c r="L871" s="151"/>
      <c r="M871" s="151"/>
      <c r="N871" s="151"/>
    </row>
    <row r="872" ht="15.75" customHeight="1">
      <c r="A872" s="151"/>
      <c r="B872" s="151"/>
      <c r="C872" s="152"/>
      <c r="D872" s="151"/>
      <c r="E872" s="151"/>
      <c r="F872" s="151"/>
      <c r="G872" s="151"/>
      <c r="H872" s="151"/>
      <c r="I872" s="151"/>
      <c r="J872" s="151"/>
      <c r="K872" s="151"/>
      <c r="L872" s="151"/>
      <c r="M872" s="151"/>
      <c r="N872" s="151"/>
    </row>
    <row r="873" ht="15.75" customHeight="1">
      <c r="A873" s="151"/>
      <c r="B873" s="151"/>
      <c r="C873" s="152"/>
      <c r="D873" s="151"/>
      <c r="E873" s="151"/>
      <c r="F873" s="151"/>
      <c r="G873" s="151"/>
      <c r="H873" s="151"/>
      <c r="I873" s="151"/>
      <c r="J873" s="151"/>
      <c r="K873" s="151"/>
      <c r="L873" s="151"/>
      <c r="M873" s="151"/>
      <c r="N873" s="151"/>
    </row>
    <row r="874" ht="15.75" customHeight="1">
      <c r="A874" s="151"/>
      <c r="B874" s="151"/>
      <c r="C874" s="152"/>
      <c r="D874" s="151"/>
      <c r="E874" s="151"/>
      <c r="F874" s="151"/>
      <c r="G874" s="151"/>
      <c r="H874" s="151"/>
      <c r="I874" s="151"/>
      <c r="J874" s="151"/>
      <c r="K874" s="151"/>
      <c r="L874" s="151"/>
      <c r="M874" s="151"/>
      <c r="N874" s="151"/>
    </row>
    <row r="875" ht="15.75" customHeight="1">
      <c r="A875" s="151"/>
      <c r="B875" s="151"/>
      <c r="C875" s="152"/>
      <c r="D875" s="151"/>
      <c r="E875" s="151"/>
      <c r="F875" s="151"/>
      <c r="G875" s="151"/>
      <c r="H875" s="151"/>
      <c r="I875" s="151"/>
      <c r="J875" s="151"/>
      <c r="K875" s="151"/>
      <c r="L875" s="151"/>
      <c r="M875" s="151"/>
      <c r="N875" s="151"/>
    </row>
    <row r="876" ht="15.75" customHeight="1">
      <c r="A876" s="151"/>
      <c r="B876" s="151"/>
      <c r="C876" s="152"/>
      <c r="D876" s="151"/>
      <c r="E876" s="151"/>
      <c r="F876" s="151"/>
      <c r="G876" s="151"/>
      <c r="H876" s="151"/>
      <c r="I876" s="151"/>
      <c r="J876" s="151"/>
      <c r="K876" s="151"/>
      <c r="L876" s="151"/>
      <c r="M876" s="151"/>
      <c r="N876" s="151"/>
    </row>
    <row r="877" ht="15.75" customHeight="1">
      <c r="A877" s="151"/>
      <c r="B877" s="151"/>
      <c r="C877" s="152"/>
      <c r="D877" s="151"/>
      <c r="E877" s="151"/>
      <c r="F877" s="151"/>
      <c r="G877" s="151"/>
      <c r="H877" s="151"/>
      <c r="I877" s="151"/>
      <c r="J877" s="151"/>
      <c r="K877" s="151"/>
      <c r="L877" s="151"/>
      <c r="M877" s="151"/>
      <c r="N877" s="151"/>
    </row>
    <row r="878" ht="15.75" customHeight="1">
      <c r="A878" s="151"/>
      <c r="B878" s="151"/>
      <c r="C878" s="152"/>
      <c r="D878" s="151"/>
      <c r="E878" s="151"/>
      <c r="F878" s="151"/>
      <c r="G878" s="151"/>
      <c r="H878" s="151"/>
      <c r="I878" s="151"/>
      <c r="J878" s="151"/>
      <c r="K878" s="151"/>
      <c r="L878" s="151"/>
      <c r="M878" s="151"/>
      <c r="N878" s="151"/>
    </row>
    <row r="879" ht="15.75" customHeight="1">
      <c r="A879" s="151"/>
      <c r="B879" s="151"/>
      <c r="C879" s="152"/>
      <c r="D879" s="151"/>
      <c r="E879" s="151"/>
      <c r="F879" s="151"/>
      <c r="G879" s="151"/>
      <c r="H879" s="151"/>
      <c r="I879" s="151"/>
      <c r="J879" s="151"/>
      <c r="K879" s="151"/>
      <c r="L879" s="151"/>
      <c r="M879" s="151"/>
      <c r="N879" s="151"/>
    </row>
    <row r="880" ht="15.75" customHeight="1">
      <c r="A880" s="151"/>
      <c r="B880" s="151"/>
      <c r="C880" s="152"/>
      <c r="D880" s="151"/>
      <c r="E880" s="151"/>
      <c r="F880" s="151"/>
      <c r="G880" s="151"/>
      <c r="H880" s="151"/>
      <c r="I880" s="151"/>
      <c r="J880" s="151"/>
      <c r="K880" s="151"/>
      <c r="L880" s="151"/>
      <c r="M880" s="151"/>
      <c r="N880" s="151"/>
    </row>
    <row r="881" ht="15.75" customHeight="1">
      <c r="A881" s="151"/>
      <c r="B881" s="151"/>
      <c r="C881" s="152"/>
      <c r="D881" s="151"/>
      <c r="E881" s="151"/>
      <c r="F881" s="151"/>
      <c r="G881" s="151"/>
      <c r="H881" s="151"/>
      <c r="I881" s="151"/>
      <c r="J881" s="151"/>
      <c r="K881" s="151"/>
      <c r="L881" s="151"/>
      <c r="M881" s="151"/>
      <c r="N881" s="151"/>
    </row>
    <row r="882" ht="15.75" customHeight="1">
      <c r="A882" s="151"/>
      <c r="B882" s="151"/>
      <c r="C882" s="152"/>
      <c r="D882" s="151"/>
      <c r="E882" s="151"/>
      <c r="F882" s="151"/>
      <c r="G882" s="151"/>
      <c r="H882" s="151"/>
      <c r="I882" s="151"/>
      <c r="J882" s="151"/>
      <c r="K882" s="151"/>
      <c r="L882" s="151"/>
      <c r="M882" s="151"/>
      <c r="N882" s="151"/>
    </row>
    <row r="883" ht="15.75" customHeight="1">
      <c r="A883" s="151"/>
      <c r="B883" s="151"/>
      <c r="C883" s="152"/>
      <c r="D883" s="151"/>
      <c r="E883" s="151"/>
      <c r="F883" s="151"/>
      <c r="G883" s="151"/>
      <c r="H883" s="151"/>
      <c r="I883" s="151"/>
      <c r="J883" s="151"/>
      <c r="K883" s="151"/>
      <c r="L883" s="151"/>
      <c r="M883" s="151"/>
      <c r="N883" s="151"/>
    </row>
    <row r="884" ht="15.75" customHeight="1">
      <c r="A884" s="151"/>
      <c r="B884" s="151"/>
      <c r="C884" s="152"/>
      <c r="D884" s="151"/>
      <c r="E884" s="151"/>
      <c r="F884" s="151"/>
      <c r="G884" s="151"/>
      <c r="H884" s="151"/>
      <c r="I884" s="151"/>
      <c r="J884" s="151"/>
      <c r="K884" s="151"/>
      <c r="L884" s="151"/>
      <c r="M884" s="151"/>
      <c r="N884" s="151"/>
    </row>
    <row r="885" ht="15.75" customHeight="1">
      <c r="A885" s="151"/>
      <c r="B885" s="151"/>
      <c r="C885" s="152"/>
      <c r="D885" s="151"/>
      <c r="E885" s="151"/>
      <c r="F885" s="151"/>
      <c r="G885" s="151"/>
      <c r="H885" s="151"/>
      <c r="I885" s="151"/>
      <c r="J885" s="151"/>
      <c r="K885" s="151"/>
      <c r="L885" s="151"/>
      <c r="M885" s="151"/>
      <c r="N885" s="151"/>
    </row>
    <row r="886" ht="15.75" customHeight="1">
      <c r="A886" s="151"/>
      <c r="B886" s="151"/>
      <c r="C886" s="152"/>
      <c r="D886" s="151"/>
      <c r="E886" s="151"/>
      <c r="F886" s="151"/>
      <c r="G886" s="151"/>
      <c r="H886" s="151"/>
      <c r="I886" s="151"/>
      <c r="J886" s="151"/>
      <c r="K886" s="151"/>
      <c r="L886" s="151"/>
      <c r="M886" s="151"/>
      <c r="N886" s="151"/>
    </row>
    <row r="887" ht="15.75" customHeight="1">
      <c r="A887" s="151"/>
      <c r="B887" s="151"/>
      <c r="C887" s="152"/>
      <c r="D887" s="151"/>
      <c r="E887" s="151"/>
      <c r="F887" s="151"/>
      <c r="G887" s="151"/>
      <c r="H887" s="151"/>
      <c r="I887" s="151"/>
      <c r="J887" s="151"/>
      <c r="K887" s="151"/>
      <c r="L887" s="151"/>
      <c r="M887" s="151"/>
      <c r="N887" s="151"/>
    </row>
    <row r="888" ht="15.75" customHeight="1">
      <c r="A888" s="151"/>
      <c r="B888" s="151"/>
      <c r="C888" s="152"/>
      <c r="D888" s="151"/>
      <c r="E888" s="151"/>
      <c r="F888" s="151"/>
      <c r="G888" s="151"/>
      <c r="H888" s="151"/>
      <c r="I888" s="151"/>
      <c r="J888" s="151"/>
      <c r="K888" s="151"/>
      <c r="L888" s="151"/>
      <c r="M888" s="151"/>
      <c r="N888" s="151"/>
    </row>
    <row r="889" ht="15.75" customHeight="1">
      <c r="A889" s="151"/>
      <c r="B889" s="151"/>
      <c r="C889" s="152"/>
      <c r="D889" s="151"/>
      <c r="E889" s="151"/>
      <c r="F889" s="151"/>
      <c r="G889" s="151"/>
      <c r="H889" s="151"/>
      <c r="I889" s="151"/>
      <c r="J889" s="151"/>
      <c r="K889" s="151"/>
      <c r="L889" s="151"/>
      <c r="M889" s="151"/>
      <c r="N889" s="151"/>
    </row>
    <row r="890" ht="15.75" customHeight="1">
      <c r="A890" s="151"/>
      <c r="B890" s="151"/>
      <c r="C890" s="152"/>
      <c r="D890" s="151"/>
      <c r="E890" s="151"/>
      <c r="F890" s="151"/>
      <c r="G890" s="151"/>
      <c r="H890" s="151"/>
      <c r="I890" s="151"/>
      <c r="J890" s="151"/>
      <c r="K890" s="151"/>
      <c r="L890" s="151"/>
      <c r="M890" s="151"/>
      <c r="N890" s="151"/>
    </row>
    <row r="891" ht="15.75" customHeight="1">
      <c r="A891" s="151"/>
      <c r="B891" s="151"/>
      <c r="C891" s="152"/>
      <c r="D891" s="151"/>
      <c r="E891" s="151"/>
      <c r="F891" s="151"/>
      <c r="G891" s="151"/>
      <c r="H891" s="151"/>
      <c r="I891" s="151"/>
      <c r="J891" s="151"/>
      <c r="K891" s="151"/>
      <c r="L891" s="151"/>
      <c r="M891" s="151"/>
      <c r="N891" s="151"/>
    </row>
    <row r="892" ht="15.75" customHeight="1">
      <c r="A892" s="151"/>
      <c r="B892" s="151"/>
      <c r="C892" s="152"/>
      <c r="D892" s="151"/>
      <c r="E892" s="151"/>
      <c r="F892" s="151"/>
      <c r="G892" s="151"/>
      <c r="H892" s="151"/>
      <c r="I892" s="151"/>
      <c r="J892" s="151"/>
      <c r="K892" s="151"/>
      <c r="L892" s="151"/>
      <c r="M892" s="151"/>
      <c r="N892" s="151"/>
    </row>
    <row r="893" ht="15.75" customHeight="1">
      <c r="A893" s="151"/>
      <c r="B893" s="151"/>
      <c r="C893" s="152"/>
      <c r="D893" s="151"/>
      <c r="E893" s="151"/>
      <c r="F893" s="151"/>
      <c r="G893" s="151"/>
      <c r="H893" s="151"/>
      <c r="I893" s="151"/>
      <c r="J893" s="151"/>
      <c r="K893" s="151"/>
      <c r="L893" s="151"/>
      <c r="M893" s="151"/>
      <c r="N893" s="151"/>
    </row>
    <row r="894" ht="15.75" customHeight="1">
      <c r="A894" s="151"/>
      <c r="B894" s="151"/>
      <c r="C894" s="152"/>
      <c r="D894" s="151"/>
      <c r="E894" s="151"/>
      <c r="F894" s="151"/>
      <c r="G894" s="151"/>
      <c r="H894" s="151"/>
      <c r="I894" s="151"/>
      <c r="J894" s="151"/>
      <c r="K894" s="151"/>
      <c r="L894" s="151"/>
      <c r="M894" s="151"/>
      <c r="N894" s="151"/>
    </row>
    <row r="895" ht="15.75" customHeight="1">
      <c r="A895" s="151"/>
      <c r="B895" s="151"/>
      <c r="C895" s="152"/>
      <c r="D895" s="151"/>
      <c r="E895" s="151"/>
      <c r="F895" s="151"/>
      <c r="G895" s="151"/>
      <c r="H895" s="151"/>
      <c r="I895" s="151"/>
      <c r="J895" s="151"/>
      <c r="K895" s="151"/>
      <c r="L895" s="151"/>
      <c r="M895" s="151"/>
      <c r="N895" s="151"/>
    </row>
    <row r="896" ht="15.75" customHeight="1">
      <c r="A896" s="151"/>
      <c r="B896" s="151"/>
      <c r="C896" s="152"/>
      <c r="D896" s="151"/>
      <c r="E896" s="151"/>
      <c r="F896" s="151"/>
      <c r="G896" s="151"/>
      <c r="H896" s="151"/>
      <c r="I896" s="151"/>
      <c r="J896" s="151"/>
      <c r="K896" s="151"/>
      <c r="L896" s="151"/>
      <c r="M896" s="151"/>
      <c r="N896" s="151"/>
    </row>
    <row r="897" ht="15.75" customHeight="1">
      <c r="A897" s="151"/>
      <c r="B897" s="151"/>
      <c r="C897" s="152"/>
      <c r="D897" s="151"/>
      <c r="E897" s="151"/>
      <c r="F897" s="151"/>
      <c r="G897" s="151"/>
      <c r="H897" s="151"/>
      <c r="I897" s="151"/>
      <c r="J897" s="151"/>
      <c r="K897" s="151"/>
      <c r="L897" s="151"/>
      <c r="M897" s="151"/>
      <c r="N897" s="151"/>
    </row>
    <row r="898" ht="15.75" customHeight="1">
      <c r="A898" s="151"/>
      <c r="B898" s="151"/>
      <c r="C898" s="152"/>
      <c r="D898" s="151"/>
      <c r="E898" s="151"/>
      <c r="F898" s="151"/>
      <c r="G898" s="151"/>
      <c r="H898" s="151"/>
      <c r="I898" s="151"/>
      <c r="J898" s="151"/>
      <c r="K898" s="151"/>
      <c r="L898" s="151"/>
      <c r="M898" s="151"/>
      <c r="N898" s="151"/>
    </row>
    <row r="899" ht="15.75" customHeight="1">
      <c r="A899" s="151"/>
      <c r="B899" s="151"/>
      <c r="C899" s="152"/>
      <c r="D899" s="151"/>
      <c r="E899" s="151"/>
      <c r="F899" s="151"/>
      <c r="G899" s="151"/>
      <c r="H899" s="151"/>
      <c r="I899" s="151"/>
      <c r="J899" s="151"/>
      <c r="K899" s="151"/>
      <c r="L899" s="151"/>
      <c r="M899" s="151"/>
      <c r="N899" s="151"/>
    </row>
    <row r="900" ht="15.75" customHeight="1">
      <c r="A900" s="151"/>
      <c r="B900" s="151"/>
      <c r="C900" s="152"/>
      <c r="D900" s="151"/>
      <c r="E900" s="151"/>
      <c r="F900" s="151"/>
      <c r="G900" s="151"/>
      <c r="H900" s="151"/>
      <c r="I900" s="151"/>
      <c r="J900" s="151"/>
      <c r="K900" s="151"/>
      <c r="L900" s="151"/>
      <c r="M900" s="151"/>
      <c r="N900" s="151"/>
    </row>
    <row r="901" ht="15.75" customHeight="1">
      <c r="A901" s="151"/>
      <c r="B901" s="151"/>
      <c r="C901" s="152"/>
      <c r="D901" s="151"/>
      <c r="E901" s="151"/>
      <c r="F901" s="151"/>
      <c r="G901" s="151"/>
      <c r="H901" s="151"/>
      <c r="I901" s="151"/>
      <c r="J901" s="151"/>
      <c r="K901" s="151"/>
      <c r="L901" s="151"/>
      <c r="M901" s="151"/>
      <c r="N901" s="151"/>
    </row>
    <row r="902" ht="15.75" customHeight="1">
      <c r="A902" s="151"/>
      <c r="B902" s="151"/>
      <c r="C902" s="152"/>
      <c r="D902" s="151"/>
      <c r="E902" s="151"/>
      <c r="F902" s="151"/>
      <c r="G902" s="151"/>
      <c r="H902" s="151"/>
      <c r="I902" s="151"/>
      <c r="J902" s="151"/>
      <c r="K902" s="151"/>
      <c r="L902" s="151"/>
      <c r="M902" s="151"/>
      <c r="N902" s="151"/>
    </row>
    <row r="903" ht="15.75" customHeight="1">
      <c r="A903" s="151"/>
      <c r="B903" s="151"/>
      <c r="C903" s="152"/>
      <c r="D903" s="151"/>
      <c r="E903" s="151"/>
      <c r="F903" s="151"/>
      <c r="G903" s="151"/>
      <c r="H903" s="151"/>
      <c r="I903" s="151"/>
      <c r="J903" s="151"/>
      <c r="K903" s="151"/>
      <c r="L903" s="151"/>
      <c r="M903" s="151"/>
      <c r="N903" s="151"/>
    </row>
    <row r="904" ht="15.75" customHeight="1">
      <c r="A904" s="151"/>
      <c r="B904" s="151"/>
      <c r="C904" s="152"/>
      <c r="D904" s="151"/>
      <c r="E904" s="151"/>
      <c r="F904" s="151"/>
      <c r="G904" s="151"/>
      <c r="H904" s="151"/>
      <c r="I904" s="151"/>
      <c r="J904" s="151"/>
      <c r="K904" s="151"/>
      <c r="L904" s="151"/>
      <c r="M904" s="151"/>
      <c r="N904" s="151"/>
    </row>
    <row r="905" ht="15.75" customHeight="1">
      <c r="A905" s="151"/>
      <c r="B905" s="151"/>
      <c r="C905" s="152"/>
      <c r="D905" s="151"/>
      <c r="E905" s="151"/>
      <c r="F905" s="151"/>
      <c r="G905" s="151"/>
      <c r="H905" s="151"/>
      <c r="I905" s="151"/>
      <c r="J905" s="151"/>
      <c r="K905" s="151"/>
      <c r="L905" s="151"/>
      <c r="M905" s="151"/>
      <c r="N905" s="151"/>
    </row>
    <row r="906" ht="15.75" customHeight="1">
      <c r="A906" s="151"/>
      <c r="B906" s="151"/>
      <c r="C906" s="152"/>
      <c r="D906" s="151"/>
      <c r="E906" s="151"/>
      <c r="F906" s="151"/>
      <c r="G906" s="151"/>
      <c r="H906" s="151"/>
      <c r="I906" s="151"/>
      <c r="J906" s="151"/>
      <c r="K906" s="151"/>
      <c r="L906" s="151"/>
      <c r="M906" s="151"/>
      <c r="N906" s="151"/>
    </row>
    <row r="907" ht="15.75" customHeight="1">
      <c r="A907" s="151"/>
      <c r="B907" s="151"/>
      <c r="C907" s="152"/>
      <c r="D907" s="151"/>
      <c r="E907" s="151"/>
      <c r="F907" s="151"/>
      <c r="G907" s="151"/>
      <c r="H907" s="151"/>
      <c r="I907" s="151"/>
      <c r="J907" s="151"/>
      <c r="K907" s="151"/>
      <c r="L907" s="151"/>
      <c r="M907" s="151"/>
      <c r="N907" s="151"/>
    </row>
    <row r="908" ht="15.75" customHeight="1">
      <c r="A908" s="151"/>
      <c r="B908" s="151"/>
      <c r="C908" s="152"/>
      <c r="D908" s="151"/>
      <c r="E908" s="151"/>
      <c r="F908" s="151"/>
      <c r="G908" s="151"/>
      <c r="H908" s="151"/>
      <c r="I908" s="151"/>
      <c r="J908" s="151"/>
      <c r="K908" s="151"/>
      <c r="L908" s="151"/>
      <c r="M908" s="151"/>
      <c r="N908" s="151"/>
    </row>
    <row r="909" ht="15.75" customHeight="1">
      <c r="A909" s="151"/>
      <c r="B909" s="151"/>
      <c r="C909" s="152"/>
      <c r="D909" s="151"/>
      <c r="E909" s="151"/>
      <c r="F909" s="151"/>
      <c r="G909" s="151"/>
      <c r="H909" s="151"/>
      <c r="I909" s="151"/>
      <c r="J909" s="151"/>
      <c r="K909" s="151"/>
      <c r="L909" s="151"/>
      <c r="M909" s="151"/>
      <c r="N909" s="151"/>
    </row>
    <row r="910" ht="15.75" customHeight="1">
      <c r="A910" s="151"/>
      <c r="B910" s="151"/>
      <c r="C910" s="152"/>
      <c r="D910" s="151"/>
      <c r="E910" s="151"/>
      <c r="F910" s="151"/>
      <c r="G910" s="151"/>
      <c r="H910" s="151"/>
      <c r="I910" s="151"/>
      <c r="J910" s="151"/>
      <c r="K910" s="151"/>
      <c r="L910" s="151"/>
      <c r="M910" s="151"/>
      <c r="N910" s="151"/>
    </row>
    <row r="911" ht="15.75" customHeight="1">
      <c r="A911" s="151"/>
      <c r="B911" s="151"/>
      <c r="C911" s="152"/>
      <c r="D911" s="151"/>
      <c r="E911" s="151"/>
      <c r="F911" s="151"/>
      <c r="G911" s="151"/>
      <c r="H911" s="151"/>
      <c r="I911" s="151"/>
      <c r="J911" s="151"/>
      <c r="K911" s="151"/>
      <c r="L911" s="151"/>
      <c r="M911" s="151"/>
      <c r="N911" s="151"/>
    </row>
    <row r="912" ht="15.75" customHeight="1">
      <c r="A912" s="151"/>
      <c r="B912" s="151"/>
      <c r="C912" s="152"/>
      <c r="D912" s="151"/>
      <c r="E912" s="151"/>
      <c r="F912" s="151"/>
      <c r="G912" s="151"/>
      <c r="H912" s="151"/>
      <c r="I912" s="151"/>
      <c r="J912" s="151"/>
      <c r="K912" s="151"/>
      <c r="L912" s="151"/>
      <c r="M912" s="151"/>
      <c r="N912" s="151"/>
    </row>
    <row r="913" ht="15.75" customHeight="1">
      <c r="A913" s="151"/>
      <c r="B913" s="151"/>
      <c r="C913" s="152"/>
      <c r="D913" s="151"/>
      <c r="E913" s="151"/>
      <c r="F913" s="151"/>
      <c r="G913" s="151"/>
      <c r="H913" s="151"/>
      <c r="I913" s="151"/>
      <c r="J913" s="151"/>
      <c r="K913" s="151"/>
      <c r="L913" s="151"/>
      <c r="M913" s="151"/>
      <c r="N913" s="151"/>
    </row>
    <row r="914" ht="15.75" customHeight="1">
      <c r="A914" s="151"/>
      <c r="B914" s="151"/>
      <c r="C914" s="152"/>
      <c r="D914" s="151"/>
      <c r="E914" s="151"/>
      <c r="F914" s="151"/>
      <c r="G914" s="151"/>
      <c r="H914" s="151"/>
      <c r="I914" s="151"/>
      <c r="J914" s="151"/>
      <c r="K914" s="151"/>
      <c r="L914" s="151"/>
      <c r="M914" s="151"/>
      <c r="N914" s="151"/>
    </row>
    <row r="915" ht="15.75" customHeight="1">
      <c r="A915" s="151"/>
      <c r="B915" s="151"/>
      <c r="C915" s="152"/>
      <c r="D915" s="151"/>
      <c r="E915" s="151"/>
      <c r="F915" s="151"/>
      <c r="G915" s="151"/>
      <c r="H915" s="151"/>
      <c r="I915" s="151"/>
      <c r="J915" s="151"/>
      <c r="K915" s="151"/>
      <c r="L915" s="151"/>
      <c r="M915" s="151"/>
      <c r="N915" s="151"/>
    </row>
    <row r="916" ht="15.75" customHeight="1">
      <c r="A916" s="151"/>
      <c r="B916" s="151"/>
      <c r="C916" s="152"/>
      <c r="D916" s="151"/>
      <c r="E916" s="151"/>
      <c r="F916" s="151"/>
      <c r="G916" s="151"/>
      <c r="H916" s="151"/>
      <c r="I916" s="151"/>
      <c r="J916" s="151"/>
      <c r="K916" s="151"/>
      <c r="L916" s="151"/>
      <c r="M916" s="151"/>
      <c r="N916" s="151"/>
    </row>
    <row r="917" ht="15.75" customHeight="1">
      <c r="A917" s="151"/>
      <c r="B917" s="151"/>
      <c r="C917" s="152"/>
      <c r="D917" s="151"/>
      <c r="E917" s="151"/>
      <c r="F917" s="151"/>
      <c r="G917" s="151"/>
      <c r="H917" s="151"/>
      <c r="I917" s="151"/>
      <c r="J917" s="151"/>
      <c r="K917" s="151"/>
      <c r="L917" s="151"/>
      <c r="M917" s="151"/>
      <c r="N917" s="151"/>
    </row>
    <row r="918" ht="15.75" customHeight="1">
      <c r="A918" s="151"/>
      <c r="B918" s="151"/>
      <c r="C918" s="152"/>
      <c r="D918" s="151"/>
      <c r="E918" s="151"/>
      <c r="F918" s="151"/>
      <c r="G918" s="151"/>
      <c r="H918" s="151"/>
      <c r="I918" s="151"/>
      <c r="J918" s="151"/>
      <c r="K918" s="151"/>
      <c r="L918" s="151"/>
      <c r="M918" s="151"/>
      <c r="N918" s="151"/>
    </row>
    <row r="919" ht="15.75" customHeight="1">
      <c r="A919" s="151"/>
      <c r="B919" s="151"/>
      <c r="C919" s="152"/>
      <c r="D919" s="151"/>
      <c r="E919" s="151"/>
      <c r="F919" s="151"/>
      <c r="G919" s="151"/>
      <c r="H919" s="151"/>
      <c r="I919" s="151"/>
      <c r="J919" s="151"/>
      <c r="K919" s="151"/>
      <c r="L919" s="151"/>
      <c r="M919" s="151"/>
      <c r="N919" s="151"/>
    </row>
    <row r="920" ht="15.75" customHeight="1">
      <c r="A920" s="151"/>
      <c r="B920" s="151"/>
      <c r="C920" s="152"/>
      <c r="D920" s="151"/>
      <c r="E920" s="151"/>
      <c r="F920" s="151"/>
      <c r="G920" s="151"/>
      <c r="H920" s="151"/>
      <c r="I920" s="151"/>
      <c r="J920" s="151"/>
      <c r="K920" s="151"/>
      <c r="L920" s="151"/>
      <c r="M920" s="151"/>
      <c r="N920" s="151"/>
    </row>
    <row r="921" ht="15.75" customHeight="1">
      <c r="A921" s="151"/>
      <c r="B921" s="151"/>
      <c r="C921" s="152"/>
      <c r="D921" s="151"/>
      <c r="E921" s="151"/>
      <c r="F921" s="151"/>
      <c r="G921" s="151"/>
      <c r="H921" s="151"/>
      <c r="I921" s="151"/>
      <c r="J921" s="151"/>
      <c r="K921" s="151"/>
      <c r="L921" s="151"/>
      <c r="M921" s="151"/>
      <c r="N921" s="151"/>
    </row>
    <row r="922" ht="15.75" customHeight="1">
      <c r="A922" s="151"/>
      <c r="B922" s="151"/>
      <c r="C922" s="152"/>
      <c r="D922" s="151"/>
      <c r="E922" s="151"/>
      <c r="F922" s="151"/>
      <c r="G922" s="151"/>
      <c r="H922" s="151"/>
      <c r="I922" s="151"/>
      <c r="J922" s="151"/>
      <c r="K922" s="151"/>
      <c r="L922" s="151"/>
      <c r="M922" s="151"/>
      <c r="N922" s="151"/>
    </row>
    <row r="923" ht="15.75" customHeight="1">
      <c r="A923" s="151"/>
      <c r="B923" s="151"/>
      <c r="C923" s="152"/>
      <c r="D923" s="151"/>
      <c r="E923" s="151"/>
      <c r="F923" s="151"/>
      <c r="G923" s="151"/>
      <c r="H923" s="151"/>
      <c r="I923" s="151"/>
      <c r="J923" s="151"/>
      <c r="K923" s="151"/>
      <c r="L923" s="151"/>
      <c r="M923" s="151"/>
      <c r="N923" s="151"/>
    </row>
    <row r="924" ht="15.75" customHeight="1">
      <c r="A924" s="151"/>
      <c r="B924" s="151"/>
      <c r="C924" s="152"/>
      <c r="D924" s="151"/>
      <c r="E924" s="151"/>
      <c r="F924" s="151"/>
      <c r="G924" s="151"/>
      <c r="H924" s="151"/>
      <c r="I924" s="151"/>
      <c r="J924" s="151"/>
      <c r="K924" s="151"/>
      <c r="L924" s="151"/>
      <c r="M924" s="151"/>
      <c r="N924" s="151"/>
    </row>
    <row r="925" ht="15.75" customHeight="1">
      <c r="A925" s="151"/>
      <c r="B925" s="151"/>
      <c r="C925" s="152"/>
      <c r="D925" s="151"/>
      <c r="E925" s="151"/>
      <c r="F925" s="151"/>
      <c r="G925" s="151"/>
      <c r="H925" s="151"/>
      <c r="I925" s="151"/>
      <c r="J925" s="151"/>
      <c r="K925" s="151"/>
      <c r="L925" s="151"/>
      <c r="M925" s="151"/>
      <c r="N925" s="151"/>
    </row>
    <row r="926" ht="15.75" customHeight="1">
      <c r="A926" s="151"/>
      <c r="B926" s="151"/>
      <c r="C926" s="152"/>
      <c r="D926" s="151"/>
      <c r="E926" s="151"/>
      <c r="F926" s="151"/>
      <c r="G926" s="151"/>
      <c r="H926" s="151"/>
      <c r="I926" s="151"/>
      <c r="J926" s="151"/>
      <c r="K926" s="151"/>
      <c r="L926" s="151"/>
      <c r="M926" s="151"/>
      <c r="N926" s="151"/>
    </row>
    <row r="927" ht="15.75" customHeight="1">
      <c r="A927" s="151"/>
      <c r="B927" s="151"/>
      <c r="C927" s="152"/>
      <c r="D927" s="151"/>
      <c r="E927" s="151"/>
      <c r="F927" s="151"/>
      <c r="G927" s="151"/>
      <c r="H927" s="151"/>
      <c r="I927" s="151"/>
      <c r="J927" s="151"/>
      <c r="K927" s="151"/>
      <c r="L927" s="151"/>
      <c r="M927" s="151"/>
      <c r="N927" s="151"/>
    </row>
    <row r="928" ht="15.75" customHeight="1">
      <c r="A928" s="151"/>
      <c r="B928" s="151"/>
      <c r="C928" s="152"/>
      <c r="D928" s="151"/>
      <c r="E928" s="151"/>
      <c r="F928" s="151"/>
      <c r="G928" s="151"/>
      <c r="H928" s="151"/>
      <c r="I928" s="151"/>
      <c r="J928" s="151"/>
      <c r="K928" s="151"/>
      <c r="L928" s="151"/>
      <c r="M928" s="151"/>
      <c r="N928" s="151"/>
    </row>
    <row r="929" ht="15.75" customHeight="1">
      <c r="A929" s="151"/>
      <c r="B929" s="151"/>
      <c r="C929" s="152"/>
      <c r="D929" s="151"/>
      <c r="E929" s="151"/>
      <c r="F929" s="151"/>
      <c r="G929" s="151"/>
      <c r="H929" s="151"/>
      <c r="I929" s="151"/>
      <c r="J929" s="151"/>
      <c r="K929" s="151"/>
      <c r="L929" s="151"/>
      <c r="M929" s="151"/>
      <c r="N929" s="151"/>
    </row>
    <row r="930" ht="15.75" customHeight="1">
      <c r="A930" s="151"/>
      <c r="B930" s="151"/>
      <c r="C930" s="152"/>
      <c r="D930" s="151"/>
      <c r="E930" s="151"/>
      <c r="F930" s="151"/>
      <c r="G930" s="151"/>
      <c r="H930" s="151"/>
      <c r="I930" s="151"/>
      <c r="J930" s="151"/>
      <c r="K930" s="151"/>
      <c r="L930" s="151"/>
      <c r="M930" s="151"/>
      <c r="N930" s="151"/>
    </row>
    <row r="931" ht="15.75" customHeight="1">
      <c r="A931" s="151"/>
      <c r="B931" s="151"/>
      <c r="C931" s="152"/>
      <c r="D931" s="151"/>
      <c r="E931" s="151"/>
      <c r="F931" s="151"/>
      <c r="G931" s="151"/>
      <c r="H931" s="151"/>
      <c r="I931" s="151"/>
      <c r="J931" s="151"/>
      <c r="K931" s="151"/>
      <c r="L931" s="151"/>
      <c r="M931" s="151"/>
      <c r="N931" s="151"/>
    </row>
    <row r="932" ht="15.75" customHeight="1">
      <c r="A932" s="151"/>
      <c r="B932" s="151"/>
      <c r="C932" s="152"/>
      <c r="D932" s="151"/>
      <c r="E932" s="151"/>
      <c r="F932" s="151"/>
      <c r="G932" s="151"/>
      <c r="H932" s="151"/>
      <c r="I932" s="151"/>
      <c r="J932" s="151"/>
      <c r="K932" s="151"/>
      <c r="L932" s="151"/>
      <c r="M932" s="151"/>
      <c r="N932" s="151"/>
    </row>
    <row r="933" ht="15.75" customHeight="1">
      <c r="A933" s="151"/>
      <c r="B933" s="151"/>
      <c r="C933" s="152"/>
      <c r="D933" s="151"/>
      <c r="E933" s="151"/>
      <c r="F933" s="151"/>
      <c r="G933" s="151"/>
      <c r="H933" s="151"/>
      <c r="I933" s="151"/>
      <c r="J933" s="151"/>
      <c r="K933" s="151"/>
      <c r="L933" s="151"/>
      <c r="M933" s="151"/>
      <c r="N933" s="151"/>
    </row>
    <row r="934" ht="15.75" customHeight="1">
      <c r="A934" s="151"/>
      <c r="B934" s="151"/>
      <c r="C934" s="152"/>
      <c r="D934" s="151"/>
      <c r="E934" s="151"/>
      <c r="F934" s="151"/>
      <c r="G934" s="151"/>
      <c r="H934" s="151"/>
      <c r="I934" s="151"/>
      <c r="J934" s="151"/>
      <c r="K934" s="151"/>
      <c r="L934" s="151"/>
      <c r="M934" s="151"/>
      <c r="N934" s="151"/>
    </row>
    <row r="935" ht="15.75" customHeight="1">
      <c r="A935" s="151"/>
      <c r="B935" s="151"/>
      <c r="C935" s="152"/>
      <c r="D935" s="151"/>
      <c r="E935" s="151"/>
      <c r="F935" s="151"/>
      <c r="G935" s="151"/>
      <c r="H935" s="151"/>
      <c r="I935" s="151"/>
      <c r="J935" s="151"/>
      <c r="K935" s="151"/>
      <c r="L935" s="151"/>
      <c r="M935" s="151"/>
      <c r="N935" s="151"/>
    </row>
    <row r="936" ht="15.75" customHeight="1">
      <c r="A936" s="151"/>
      <c r="B936" s="151"/>
      <c r="C936" s="152"/>
      <c r="D936" s="151"/>
      <c r="E936" s="151"/>
      <c r="F936" s="151"/>
      <c r="G936" s="151"/>
      <c r="H936" s="151"/>
      <c r="I936" s="151"/>
      <c r="J936" s="151"/>
      <c r="K936" s="151"/>
      <c r="L936" s="151"/>
      <c r="M936" s="151"/>
      <c r="N936" s="151"/>
    </row>
    <row r="937" ht="15.75" customHeight="1">
      <c r="A937" s="151"/>
      <c r="B937" s="151"/>
      <c r="C937" s="152"/>
      <c r="D937" s="151"/>
      <c r="E937" s="151"/>
      <c r="F937" s="151"/>
      <c r="G937" s="151"/>
      <c r="H937" s="151"/>
      <c r="I937" s="151"/>
      <c r="J937" s="151"/>
      <c r="K937" s="151"/>
      <c r="L937" s="151"/>
      <c r="M937" s="151"/>
      <c r="N937" s="151"/>
    </row>
    <row r="938" ht="15.75" customHeight="1">
      <c r="A938" s="151"/>
      <c r="B938" s="151"/>
      <c r="C938" s="152"/>
      <c r="D938" s="151"/>
      <c r="E938" s="151"/>
      <c r="F938" s="151"/>
      <c r="G938" s="151"/>
      <c r="H938" s="151"/>
      <c r="I938" s="151"/>
      <c r="J938" s="151"/>
      <c r="K938" s="151"/>
      <c r="L938" s="151"/>
      <c r="M938" s="151"/>
      <c r="N938" s="151"/>
    </row>
    <row r="939" ht="15.75" customHeight="1">
      <c r="A939" s="151"/>
      <c r="B939" s="151"/>
      <c r="C939" s="152"/>
      <c r="D939" s="151"/>
      <c r="E939" s="151"/>
      <c r="F939" s="151"/>
      <c r="G939" s="151"/>
      <c r="H939" s="151"/>
      <c r="I939" s="151"/>
      <c r="J939" s="151"/>
      <c r="K939" s="151"/>
      <c r="L939" s="151"/>
      <c r="M939" s="151"/>
      <c r="N939" s="151"/>
    </row>
    <row r="940" ht="15.75" customHeight="1">
      <c r="A940" s="151"/>
      <c r="B940" s="151"/>
      <c r="C940" s="152"/>
      <c r="D940" s="151"/>
      <c r="E940" s="151"/>
      <c r="F940" s="151"/>
      <c r="G940" s="151"/>
      <c r="H940" s="151"/>
      <c r="I940" s="151"/>
      <c r="J940" s="151"/>
      <c r="K940" s="151"/>
      <c r="L940" s="151"/>
      <c r="M940" s="151"/>
      <c r="N940" s="151"/>
    </row>
    <row r="941" ht="15.75" customHeight="1">
      <c r="A941" s="151"/>
      <c r="B941" s="151"/>
      <c r="C941" s="152"/>
      <c r="D941" s="151"/>
      <c r="E941" s="151"/>
      <c r="F941" s="151"/>
      <c r="G941" s="151"/>
      <c r="H941" s="151"/>
      <c r="I941" s="151"/>
      <c r="J941" s="151"/>
      <c r="K941" s="151"/>
      <c r="L941" s="151"/>
      <c r="M941" s="151"/>
      <c r="N941" s="151"/>
    </row>
    <row r="942" ht="15.75" customHeight="1">
      <c r="A942" s="151"/>
      <c r="B942" s="151"/>
      <c r="C942" s="152"/>
      <c r="D942" s="151"/>
      <c r="E942" s="151"/>
      <c r="F942" s="151"/>
      <c r="G942" s="151"/>
      <c r="H942" s="151"/>
      <c r="I942" s="151"/>
      <c r="J942" s="151"/>
      <c r="K942" s="151"/>
      <c r="L942" s="151"/>
      <c r="M942" s="151"/>
      <c r="N942" s="151"/>
    </row>
    <row r="943" ht="15.75" customHeight="1">
      <c r="A943" s="151"/>
      <c r="B943" s="151"/>
      <c r="C943" s="152"/>
      <c r="D943" s="151"/>
      <c r="E943" s="151"/>
      <c r="F943" s="151"/>
      <c r="G943" s="151"/>
      <c r="H943" s="151"/>
      <c r="I943" s="151"/>
      <c r="J943" s="151"/>
      <c r="K943" s="151"/>
      <c r="L943" s="151"/>
      <c r="M943" s="151"/>
      <c r="N943" s="151"/>
    </row>
    <row r="944" ht="15.75" customHeight="1">
      <c r="A944" s="151"/>
      <c r="B944" s="151"/>
      <c r="C944" s="152"/>
      <c r="D944" s="151"/>
      <c r="E944" s="151"/>
      <c r="F944" s="151"/>
      <c r="G944" s="151"/>
      <c r="H944" s="151"/>
      <c r="I944" s="151"/>
      <c r="J944" s="151"/>
      <c r="K944" s="151"/>
      <c r="L944" s="151"/>
      <c r="M944" s="151"/>
      <c r="N944" s="151"/>
    </row>
    <row r="945" ht="15.75" customHeight="1">
      <c r="A945" s="151"/>
      <c r="B945" s="151"/>
      <c r="C945" s="152"/>
      <c r="D945" s="151"/>
      <c r="E945" s="151"/>
      <c r="F945" s="151"/>
      <c r="G945" s="151"/>
      <c r="H945" s="151"/>
      <c r="I945" s="151"/>
      <c r="J945" s="151"/>
      <c r="K945" s="151"/>
      <c r="L945" s="151"/>
      <c r="M945" s="151"/>
      <c r="N945" s="151"/>
    </row>
    <row r="946" ht="15.75" customHeight="1">
      <c r="A946" s="151"/>
      <c r="B946" s="151"/>
      <c r="C946" s="152"/>
      <c r="D946" s="151"/>
      <c r="E946" s="151"/>
      <c r="F946" s="151"/>
      <c r="G946" s="151"/>
      <c r="H946" s="151"/>
      <c r="I946" s="151"/>
      <c r="J946" s="151"/>
      <c r="K946" s="151"/>
      <c r="L946" s="151"/>
      <c r="M946" s="151"/>
      <c r="N946" s="151"/>
    </row>
    <row r="947" ht="15.75" customHeight="1">
      <c r="A947" s="151"/>
      <c r="B947" s="151"/>
      <c r="C947" s="152"/>
      <c r="D947" s="151"/>
      <c r="E947" s="151"/>
      <c r="F947" s="151"/>
      <c r="G947" s="151"/>
      <c r="H947" s="151"/>
      <c r="I947" s="151"/>
      <c r="J947" s="151"/>
      <c r="K947" s="151"/>
      <c r="L947" s="151"/>
      <c r="M947" s="151"/>
      <c r="N947" s="151"/>
    </row>
    <row r="948" ht="15.75" customHeight="1">
      <c r="A948" s="151"/>
      <c r="B948" s="151"/>
      <c r="C948" s="152"/>
      <c r="D948" s="151"/>
      <c r="E948" s="151"/>
      <c r="F948" s="151"/>
      <c r="G948" s="151"/>
      <c r="H948" s="151"/>
      <c r="I948" s="151"/>
      <c r="J948" s="151"/>
      <c r="K948" s="151"/>
      <c r="L948" s="151"/>
      <c r="M948" s="151"/>
      <c r="N948" s="151"/>
    </row>
    <row r="949" ht="15.75" customHeight="1">
      <c r="A949" s="151"/>
      <c r="B949" s="151"/>
      <c r="C949" s="152"/>
      <c r="D949" s="151"/>
      <c r="E949" s="151"/>
      <c r="F949" s="151"/>
      <c r="G949" s="151"/>
      <c r="H949" s="151"/>
      <c r="I949" s="151"/>
      <c r="J949" s="151"/>
      <c r="K949" s="151"/>
      <c r="L949" s="151"/>
      <c r="M949" s="151"/>
      <c r="N949" s="151"/>
    </row>
    <row r="950" ht="15.75" customHeight="1">
      <c r="A950" s="151"/>
      <c r="B950" s="151"/>
      <c r="C950" s="152"/>
      <c r="D950" s="151"/>
      <c r="E950" s="151"/>
      <c r="F950" s="151"/>
      <c r="G950" s="151"/>
      <c r="H950" s="151"/>
      <c r="I950" s="151"/>
      <c r="J950" s="151"/>
      <c r="K950" s="151"/>
      <c r="L950" s="151"/>
      <c r="M950" s="151"/>
      <c r="N950" s="151"/>
    </row>
    <row r="951" ht="15.75" customHeight="1">
      <c r="A951" s="151"/>
      <c r="B951" s="151"/>
      <c r="C951" s="152"/>
      <c r="D951" s="151"/>
      <c r="E951" s="151"/>
      <c r="F951" s="151"/>
      <c r="G951" s="151"/>
      <c r="H951" s="151"/>
      <c r="I951" s="151"/>
      <c r="J951" s="151"/>
      <c r="K951" s="151"/>
      <c r="L951" s="151"/>
      <c r="M951" s="151"/>
      <c r="N951" s="151"/>
    </row>
    <row r="952" ht="15.75" customHeight="1">
      <c r="A952" s="151"/>
      <c r="B952" s="151"/>
      <c r="C952" s="152"/>
      <c r="D952" s="151"/>
      <c r="E952" s="151"/>
      <c r="F952" s="151"/>
      <c r="G952" s="151"/>
      <c r="H952" s="151"/>
      <c r="I952" s="151"/>
      <c r="J952" s="151"/>
      <c r="K952" s="151"/>
      <c r="L952" s="151"/>
      <c r="M952" s="151"/>
      <c r="N952" s="151"/>
    </row>
    <row r="953" ht="15.75" customHeight="1">
      <c r="A953" s="151"/>
      <c r="B953" s="151"/>
      <c r="C953" s="152"/>
      <c r="D953" s="151"/>
      <c r="E953" s="151"/>
      <c r="F953" s="151"/>
      <c r="G953" s="151"/>
      <c r="H953" s="151"/>
      <c r="I953" s="151"/>
      <c r="J953" s="151"/>
      <c r="K953" s="151"/>
      <c r="L953" s="151"/>
      <c r="M953" s="151"/>
      <c r="N953" s="151"/>
    </row>
    <row r="954" ht="15.75" customHeight="1">
      <c r="A954" s="151"/>
      <c r="B954" s="151"/>
      <c r="C954" s="152"/>
      <c r="D954" s="151"/>
      <c r="E954" s="151"/>
      <c r="F954" s="151"/>
      <c r="G954" s="151"/>
      <c r="H954" s="151"/>
      <c r="I954" s="151"/>
      <c r="J954" s="151"/>
      <c r="K954" s="151"/>
      <c r="L954" s="151"/>
      <c r="M954" s="151"/>
      <c r="N954" s="151"/>
    </row>
    <row r="955" ht="15.75" customHeight="1">
      <c r="A955" s="151"/>
      <c r="B955" s="151"/>
      <c r="C955" s="152"/>
      <c r="D955" s="151"/>
      <c r="E955" s="151"/>
      <c r="F955" s="151"/>
      <c r="G955" s="151"/>
      <c r="H955" s="151"/>
      <c r="I955" s="151"/>
      <c r="J955" s="151"/>
      <c r="K955" s="151"/>
      <c r="L955" s="151"/>
      <c r="M955" s="151"/>
      <c r="N955" s="151"/>
    </row>
    <row r="956" ht="15.75" customHeight="1">
      <c r="A956" s="151"/>
      <c r="B956" s="151"/>
      <c r="C956" s="152"/>
      <c r="D956" s="151"/>
      <c r="E956" s="151"/>
      <c r="F956" s="151"/>
      <c r="G956" s="151"/>
      <c r="H956" s="151"/>
      <c r="I956" s="151"/>
      <c r="J956" s="151"/>
      <c r="K956" s="151"/>
      <c r="L956" s="151"/>
      <c r="M956" s="151"/>
      <c r="N956" s="151"/>
    </row>
    <row r="957" ht="15.75" customHeight="1">
      <c r="A957" s="151"/>
      <c r="B957" s="151"/>
      <c r="C957" s="152"/>
      <c r="D957" s="151"/>
      <c r="E957" s="151"/>
      <c r="F957" s="151"/>
      <c r="G957" s="151"/>
      <c r="H957" s="151"/>
      <c r="I957" s="151"/>
      <c r="J957" s="151"/>
      <c r="K957" s="151"/>
      <c r="L957" s="151"/>
      <c r="M957" s="151"/>
      <c r="N957" s="151"/>
    </row>
    <row r="958" ht="15.75" customHeight="1">
      <c r="A958" s="151"/>
      <c r="B958" s="151"/>
      <c r="C958" s="152"/>
      <c r="D958" s="151"/>
      <c r="E958" s="151"/>
      <c r="F958" s="151"/>
      <c r="G958" s="151"/>
      <c r="H958" s="151"/>
      <c r="I958" s="151"/>
      <c r="J958" s="151"/>
      <c r="K958" s="151"/>
      <c r="L958" s="151"/>
      <c r="M958" s="151"/>
      <c r="N958" s="151"/>
    </row>
    <row r="959" ht="15.75" customHeight="1">
      <c r="A959" s="151"/>
      <c r="B959" s="151"/>
      <c r="C959" s="152"/>
      <c r="D959" s="151"/>
      <c r="E959" s="151"/>
      <c r="F959" s="151"/>
      <c r="G959" s="151"/>
      <c r="H959" s="151"/>
      <c r="I959" s="151"/>
      <c r="J959" s="151"/>
      <c r="K959" s="151"/>
      <c r="L959" s="151"/>
      <c r="M959" s="151"/>
      <c r="N959" s="151"/>
    </row>
    <row r="960" ht="15.75" customHeight="1">
      <c r="A960" s="151"/>
      <c r="B960" s="151"/>
      <c r="C960" s="152"/>
      <c r="D960" s="151"/>
      <c r="E960" s="151"/>
      <c r="F960" s="151"/>
      <c r="G960" s="151"/>
      <c r="H960" s="151"/>
      <c r="I960" s="151"/>
      <c r="J960" s="151"/>
      <c r="K960" s="151"/>
      <c r="L960" s="151"/>
      <c r="M960" s="151"/>
      <c r="N960" s="151"/>
    </row>
    <row r="961" ht="15.75" customHeight="1">
      <c r="A961" s="151"/>
      <c r="B961" s="151"/>
      <c r="C961" s="152"/>
      <c r="D961" s="151"/>
      <c r="E961" s="151"/>
      <c r="F961" s="151"/>
      <c r="G961" s="151"/>
      <c r="H961" s="151"/>
      <c r="I961" s="151"/>
      <c r="J961" s="151"/>
      <c r="K961" s="151"/>
      <c r="L961" s="151"/>
      <c r="M961" s="151"/>
      <c r="N961" s="151"/>
    </row>
    <row r="962" ht="15.75" customHeight="1">
      <c r="A962" s="151"/>
      <c r="B962" s="151"/>
      <c r="C962" s="152"/>
      <c r="D962" s="151"/>
      <c r="E962" s="151"/>
      <c r="F962" s="151"/>
      <c r="G962" s="151"/>
      <c r="H962" s="151"/>
      <c r="I962" s="151"/>
      <c r="J962" s="151"/>
      <c r="K962" s="151"/>
      <c r="L962" s="151"/>
      <c r="M962" s="151"/>
      <c r="N962" s="151"/>
    </row>
    <row r="963" ht="15.75" customHeight="1">
      <c r="A963" s="151"/>
      <c r="B963" s="151"/>
      <c r="C963" s="152"/>
      <c r="D963" s="151"/>
      <c r="E963" s="151"/>
      <c r="F963" s="151"/>
      <c r="G963" s="151"/>
      <c r="H963" s="151"/>
      <c r="I963" s="151"/>
      <c r="J963" s="151"/>
      <c r="K963" s="151"/>
      <c r="L963" s="151"/>
      <c r="M963" s="151"/>
      <c r="N963" s="151"/>
    </row>
    <row r="964" ht="15.75" customHeight="1">
      <c r="A964" s="151"/>
      <c r="B964" s="151"/>
      <c r="C964" s="152"/>
      <c r="D964" s="151"/>
      <c r="E964" s="151"/>
      <c r="F964" s="151"/>
      <c r="G964" s="151"/>
      <c r="H964" s="151"/>
      <c r="I964" s="151"/>
      <c r="J964" s="151"/>
      <c r="K964" s="151"/>
      <c r="L964" s="151"/>
      <c r="M964" s="151"/>
      <c r="N964" s="151"/>
    </row>
    <row r="965" ht="15.75" customHeight="1">
      <c r="A965" s="151"/>
      <c r="B965" s="151"/>
      <c r="C965" s="152"/>
      <c r="D965" s="151"/>
      <c r="E965" s="151"/>
      <c r="F965" s="151"/>
      <c r="G965" s="151"/>
      <c r="H965" s="151"/>
      <c r="I965" s="151"/>
      <c r="J965" s="151"/>
      <c r="K965" s="151"/>
      <c r="L965" s="151"/>
      <c r="M965" s="151"/>
      <c r="N965" s="151"/>
    </row>
    <row r="966" ht="15.75" customHeight="1">
      <c r="A966" s="151"/>
      <c r="B966" s="151"/>
      <c r="C966" s="152"/>
      <c r="D966" s="151"/>
      <c r="E966" s="151"/>
      <c r="F966" s="151"/>
      <c r="G966" s="151"/>
      <c r="H966" s="151"/>
      <c r="I966" s="151"/>
      <c r="J966" s="151"/>
      <c r="K966" s="151"/>
      <c r="L966" s="151"/>
      <c r="M966" s="151"/>
      <c r="N966" s="151"/>
    </row>
    <row r="967" ht="15.75" customHeight="1">
      <c r="A967" s="151"/>
      <c r="B967" s="151"/>
      <c r="C967" s="152"/>
      <c r="D967" s="151"/>
      <c r="E967" s="151"/>
      <c r="F967" s="151"/>
      <c r="G967" s="151"/>
      <c r="H967" s="151"/>
      <c r="I967" s="151"/>
      <c r="J967" s="151"/>
      <c r="K967" s="151"/>
      <c r="L967" s="151"/>
      <c r="M967" s="151"/>
      <c r="N967" s="151"/>
    </row>
    <row r="968" ht="15.75" customHeight="1">
      <c r="A968" s="151"/>
      <c r="B968" s="151"/>
      <c r="C968" s="152"/>
      <c r="D968" s="151"/>
      <c r="E968" s="151"/>
      <c r="F968" s="151"/>
      <c r="G968" s="151"/>
      <c r="H968" s="151"/>
      <c r="I968" s="151"/>
      <c r="J968" s="151"/>
      <c r="K968" s="151"/>
      <c r="L968" s="151"/>
      <c r="M968" s="151"/>
      <c r="N968" s="151"/>
    </row>
    <row r="969" ht="15.75" customHeight="1">
      <c r="A969" s="151"/>
      <c r="B969" s="151"/>
      <c r="C969" s="152"/>
      <c r="D969" s="151"/>
      <c r="E969" s="151"/>
      <c r="F969" s="151"/>
      <c r="G969" s="151"/>
      <c r="H969" s="151"/>
      <c r="I969" s="151"/>
      <c r="J969" s="151"/>
      <c r="K969" s="151"/>
      <c r="L969" s="151"/>
      <c r="M969" s="151"/>
      <c r="N969" s="151"/>
    </row>
    <row r="970" ht="15.75" customHeight="1">
      <c r="A970" s="151"/>
      <c r="B970" s="151"/>
      <c r="C970" s="152"/>
      <c r="D970" s="151"/>
      <c r="E970" s="151"/>
      <c r="F970" s="151"/>
      <c r="G970" s="151"/>
      <c r="H970" s="151"/>
      <c r="I970" s="151"/>
      <c r="J970" s="151"/>
      <c r="K970" s="151"/>
      <c r="L970" s="151"/>
      <c r="M970" s="151"/>
      <c r="N970" s="151"/>
    </row>
    <row r="971" ht="15.75" customHeight="1">
      <c r="A971" s="151"/>
      <c r="B971" s="151"/>
      <c r="C971" s="152"/>
      <c r="D971" s="151"/>
      <c r="E971" s="151"/>
      <c r="F971" s="151"/>
      <c r="G971" s="151"/>
      <c r="H971" s="151"/>
      <c r="I971" s="151"/>
      <c r="J971" s="151"/>
      <c r="K971" s="151"/>
      <c r="L971" s="151"/>
      <c r="M971" s="151"/>
      <c r="N971" s="151"/>
    </row>
    <row r="972" ht="15.75" customHeight="1">
      <c r="A972" s="151"/>
      <c r="B972" s="151"/>
      <c r="C972" s="152"/>
      <c r="D972" s="151"/>
      <c r="E972" s="151"/>
      <c r="F972" s="151"/>
      <c r="G972" s="151"/>
      <c r="H972" s="151"/>
      <c r="I972" s="151"/>
      <c r="J972" s="151"/>
      <c r="K972" s="151"/>
      <c r="L972" s="151"/>
      <c r="M972" s="151"/>
      <c r="N972" s="151"/>
    </row>
    <row r="973" ht="15.75" customHeight="1">
      <c r="A973" s="151"/>
      <c r="B973" s="151"/>
      <c r="C973" s="152"/>
      <c r="D973" s="151"/>
      <c r="E973" s="151"/>
      <c r="F973" s="151"/>
      <c r="G973" s="151"/>
      <c r="H973" s="151"/>
      <c r="I973" s="151"/>
      <c r="J973" s="151"/>
      <c r="K973" s="151"/>
      <c r="L973" s="151"/>
      <c r="M973" s="151"/>
      <c r="N973" s="151"/>
    </row>
    <row r="974" ht="15.75" customHeight="1">
      <c r="A974" s="151"/>
      <c r="B974" s="151"/>
      <c r="C974" s="152"/>
      <c r="D974" s="151"/>
      <c r="E974" s="151"/>
      <c r="F974" s="151"/>
      <c r="G974" s="151"/>
      <c r="H974" s="151"/>
      <c r="I974" s="151"/>
      <c r="J974" s="151"/>
      <c r="K974" s="151"/>
      <c r="L974" s="151"/>
      <c r="M974" s="151"/>
      <c r="N974" s="151"/>
    </row>
    <row r="975" ht="15.75" customHeight="1">
      <c r="A975" s="151"/>
      <c r="B975" s="151"/>
      <c r="C975" s="152"/>
      <c r="D975" s="151"/>
      <c r="E975" s="151"/>
      <c r="F975" s="151"/>
      <c r="G975" s="151"/>
      <c r="H975" s="151"/>
      <c r="I975" s="151"/>
      <c r="J975" s="151"/>
      <c r="K975" s="151"/>
      <c r="L975" s="151"/>
      <c r="M975" s="151"/>
      <c r="N975" s="151"/>
    </row>
    <row r="976" ht="15.75" customHeight="1">
      <c r="A976" s="151"/>
      <c r="B976" s="151"/>
      <c r="C976" s="152"/>
      <c r="D976" s="151"/>
      <c r="E976" s="151"/>
      <c r="F976" s="151"/>
      <c r="G976" s="151"/>
      <c r="H976" s="151"/>
      <c r="I976" s="151"/>
      <c r="J976" s="151"/>
      <c r="K976" s="151"/>
      <c r="L976" s="151"/>
      <c r="M976" s="151"/>
      <c r="N976" s="151"/>
    </row>
    <row r="977" ht="15.75" customHeight="1">
      <c r="A977" s="151"/>
      <c r="B977" s="151"/>
      <c r="C977" s="152"/>
      <c r="D977" s="151"/>
      <c r="E977" s="151"/>
      <c r="F977" s="151"/>
      <c r="G977" s="151"/>
      <c r="H977" s="151"/>
      <c r="I977" s="151"/>
      <c r="J977" s="151"/>
      <c r="K977" s="151"/>
      <c r="L977" s="151"/>
      <c r="M977" s="151"/>
      <c r="N977" s="151"/>
    </row>
    <row r="978" ht="15.75" customHeight="1">
      <c r="A978" s="151"/>
      <c r="B978" s="151"/>
      <c r="C978" s="152"/>
      <c r="D978" s="151"/>
      <c r="E978" s="151"/>
      <c r="F978" s="151"/>
      <c r="G978" s="151"/>
      <c r="H978" s="151"/>
      <c r="I978" s="151"/>
      <c r="J978" s="151"/>
      <c r="K978" s="151"/>
      <c r="L978" s="151"/>
      <c r="M978" s="151"/>
      <c r="N978" s="151"/>
    </row>
    <row r="979" ht="15.75" customHeight="1">
      <c r="A979" s="151"/>
      <c r="B979" s="151"/>
      <c r="C979" s="152"/>
      <c r="D979" s="151"/>
      <c r="E979" s="151"/>
      <c r="F979" s="151"/>
      <c r="G979" s="151"/>
      <c r="H979" s="151"/>
      <c r="I979" s="151"/>
      <c r="J979" s="151"/>
      <c r="K979" s="151"/>
      <c r="L979" s="151"/>
      <c r="M979" s="151"/>
      <c r="N979" s="151"/>
    </row>
    <row r="980" ht="15.75" customHeight="1">
      <c r="A980" s="151"/>
      <c r="B980" s="151"/>
      <c r="C980" s="152"/>
      <c r="D980" s="151"/>
      <c r="E980" s="151"/>
      <c r="F980" s="151"/>
      <c r="G980" s="151"/>
      <c r="H980" s="151"/>
      <c r="I980" s="151"/>
      <c r="J980" s="151"/>
      <c r="K980" s="151"/>
      <c r="L980" s="151"/>
      <c r="M980" s="151"/>
      <c r="N980" s="151"/>
    </row>
    <row r="981" ht="15.75" customHeight="1">
      <c r="A981" s="151"/>
      <c r="B981" s="151"/>
      <c r="C981" s="152"/>
      <c r="D981" s="151"/>
      <c r="E981" s="151"/>
      <c r="F981" s="151"/>
      <c r="G981" s="151"/>
      <c r="H981" s="151"/>
      <c r="I981" s="151"/>
      <c r="J981" s="151"/>
      <c r="K981" s="151"/>
      <c r="L981" s="151"/>
      <c r="M981" s="151"/>
      <c r="N981" s="151"/>
    </row>
    <row r="982" ht="15.75" customHeight="1">
      <c r="A982" s="151"/>
      <c r="B982" s="151"/>
      <c r="C982" s="152"/>
      <c r="D982" s="151"/>
      <c r="E982" s="151"/>
      <c r="F982" s="151"/>
      <c r="G982" s="151"/>
      <c r="H982" s="151"/>
      <c r="I982" s="151"/>
      <c r="J982" s="151"/>
      <c r="K982" s="151"/>
      <c r="L982" s="151"/>
      <c r="M982" s="151"/>
      <c r="N982" s="151"/>
    </row>
    <row r="983" ht="15.75" customHeight="1">
      <c r="A983" s="151"/>
      <c r="B983" s="151"/>
      <c r="C983" s="152"/>
      <c r="D983" s="151"/>
      <c r="E983" s="151"/>
      <c r="F983" s="151"/>
      <c r="G983" s="151"/>
      <c r="H983" s="151"/>
      <c r="I983" s="151"/>
      <c r="J983" s="151"/>
      <c r="K983" s="151"/>
      <c r="L983" s="151"/>
      <c r="M983" s="151"/>
      <c r="N983" s="151"/>
    </row>
    <row r="984" ht="15.75" customHeight="1">
      <c r="A984" s="151"/>
      <c r="B984" s="151"/>
      <c r="C984" s="152"/>
      <c r="D984" s="151"/>
      <c r="E984" s="151"/>
      <c r="F984" s="151"/>
      <c r="G984" s="151"/>
      <c r="H984" s="151"/>
      <c r="I984" s="151"/>
      <c r="J984" s="151"/>
      <c r="K984" s="151"/>
      <c r="L984" s="151"/>
      <c r="M984" s="151"/>
      <c r="N984" s="151"/>
    </row>
    <row r="985" ht="15.75" customHeight="1">
      <c r="A985" s="151"/>
      <c r="B985" s="151"/>
      <c r="C985" s="152"/>
      <c r="D985" s="151"/>
      <c r="E985" s="151"/>
      <c r="F985" s="151"/>
      <c r="G985" s="151"/>
      <c r="H985" s="151"/>
      <c r="I985" s="151"/>
      <c r="J985" s="151"/>
      <c r="K985" s="151"/>
      <c r="L985" s="151"/>
      <c r="M985" s="151"/>
      <c r="N985" s="151"/>
    </row>
    <row r="986" ht="15.75" customHeight="1">
      <c r="A986" s="151"/>
      <c r="B986" s="151"/>
      <c r="C986" s="152"/>
      <c r="D986" s="151"/>
      <c r="E986" s="151"/>
      <c r="F986" s="151"/>
      <c r="G986" s="151"/>
      <c r="H986" s="151"/>
      <c r="I986" s="151"/>
      <c r="J986" s="151"/>
      <c r="K986" s="151"/>
      <c r="L986" s="151"/>
      <c r="M986" s="151"/>
      <c r="N986" s="151"/>
    </row>
    <row r="987" ht="15.75" customHeight="1">
      <c r="A987" s="151"/>
      <c r="B987" s="151"/>
      <c r="C987" s="152"/>
      <c r="D987" s="151"/>
      <c r="E987" s="151"/>
      <c r="F987" s="151"/>
      <c r="G987" s="151"/>
      <c r="H987" s="151"/>
      <c r="I987" s="151"/>
      <c r="J987" s="151"/>
      <c r="K987" s="151"/>
      <c r="L987" s="151"/>
      <c r="M987" s="151"/>
      <c r="N987" s="151"/>
    </row>
    <row r="988" ht="15.75" customHeight="1">
      <c r="A988" s="151"/>
      <c r="B988" s="151"/>
      <c r="C988" s="152"/>
      <c r="D988" s="151"/>
      <c r="E988" s="151"/>
      <c r="F988" s="151"/>
      <c r="G988" s="151"/>
      <c r="H988" s="151"/>
      <c r="I988" s="151"/>
      <c r="J988" s="151"/>
      <c r="K988" s="151"/>
      <c r="L988" s="151"/>
      <c r="M988" s="151"/>
      <c r="N988" s="151"/>
    </row>
    <row r="989" ht="15.75" customHeight="1">
      <c r="A989" s="151"/>
      <c r="B989" s="151"/>
      <c r="C989" s="152"/>
      <c r="D989" s="151"/>
      <c r="E989" s="151"/>
      <c r="F989" s="151"/>
      <c r="G989" s="151"/>
      <c r="H989" s="151"/>
      <c r="I989" s="151"/>
      <c r="J989" s="151"/>
      <c r="K989" s="151"/>
      <c r="L989" s="151"/>
      <c r="M989" s="151"/>
      <c r="N989" s="151"/>
    </row>
    <row r="990" ht="15.75" customHeight="1">
      <c r="A990" s="151"/>
      <c r="B990" s="151"/>
      <c r="C990" s="152"/>
      <c r="D990" s="151"/>
      <c r="E990" s="151"/>
      <c r="F990" s="151"/>
      <c r="G990" s="151"/>
      <c r="H990" s="151"/>
      <c r="I990" s="151"/>
      <c r="J990" s="151"/>
      <c r="K990" s="151"/>
      <c r="L990" s="151"/>
      <c r="M990" s="151"/>
      <c r="N990" s="151"/>
    </row>
    <row r="991" ht="15.75" customHeight="1">
      <c r="A991" s="151"/>
      <c r="B991" s="151"/>
      <c r="C991" s="152"/>
      <c r="D991" s="151"/>
      <c r="E991" s="151"/>
      <c r="F991" s="151"/>
      <c r="G991" s="151"/>
      <c r="H991" s="151"/>
      <c r="I991" s="151"/>
      <c r="J991" s="151"/>
      <c r="K991" s="151"/>
      <c r="L991" s="151"/>
      <c r="M991" s="151"/>
      <c r="N991" s="151"/>
    </row>
    <row r="992" ht="15.75" customHeight="1">
      <c r="A992" s="151"/>
      <c r="B992" s="151"/>
      <c r="C992" s="152"/>
      <c r="D992" s="151"/>
      <c r="E992" s="151"/>
      <c r="F992" s="151"/>
      <c r="G992" s="151"/>
      <c r="H992" s="151"/>
      <c r="I992" s="151"/>
      <c r="J992" s="151"/>
      <c r="K992" s="151"/>
      <c r="L992" s="151"/>
      <c r="M992" s="151"/>
      <c r="N992" s="151"/>
    </row>
    <row r="993" ht="15.75" customHeight="1">
      <c r="A993" s="151"/>
      <c r="B993" s="151"/>
      <c r="C993" s="152"/>
      <c r="D993" s="151"/>
      <c r="E993" s="151"/>
      <c r="F993" s="151"/>
      <c r="G993" s="151"/>
      <c r="H993" s="151"/>
      <c r="I993" s="151"/>
      <c r="J993" s="151"/>
      <c r="K993" s="151"/>
      <c r="L993" s="151"/>
      <c r="M993" s="151"/>
      <c r="N993" s="151"/>
    </row>
    <row r="994" ht="15.75" customHeight="1">
      <c r="A994" s="151"/>
      <c r="B994" s="151"/>
      <c r="C994" s="152"/>
      <c r="D994" s="151"/>
      <c r="E994" s="151"/>
      <c r="F994" s="151"/>
      <c r="G994" s="151"/>
      <c r="H994" s="151"/>
      <c r="I994" s="151"/>
      <c r="J994" s="151"/>
      <c r="K994" s="151"/>
      <c r="L994" s="151"/>
      <c r="M994" s="151"/>
      <c r="N994" s="151"/>
    </row>
    <row r="995" ht="15.75" customHeight="1">
      <c r="A995" s="151"/>
      <c r="B995" s="151"/>
      <c r="C995" s="152"/>
      <c r="D995" s="151"/>
      <c r="E995" s="151"/>
      <c r="F995" s="151"/>
      <c r="G995" s="151"/>
      <c r="H995" s="151"/>
      <c r="I995" s="151"/>
      <c r="J995" s="151"/>
      <c r="K995" s="151"/>
      <c r="L995" s="151"/>
      <c r="M995" s="151"/>
      <c r="N995" s="151"/>
    </row>
    <row r="996" ht="15.75" customHeight="1">
      <c r="A996" s="151"/>
      <c r="B996" s="151"/>
      <c r="C996" s="152"/>
      <c r="D996" s="151"/>
      <c r="E996" s="151"/>
      <c r="F996" s="151"/>
      <c r="G996" s="151"/>
      <c r="H996" s="151"/>
      <c r="I996" s="151"/>
      <c r="J996" s="151"/>
      <c r="K996" s="151"/>
      <c r="L996" s="151"/>
      <c r="M996" s="151"/>
      <c r="N996" s="151"/>
    </row>
    <row r="997" ht="15.75" customHeight="1">
      <c r="A997" s="151"/>
      <c r="B997" s="151"/>
      <c r="C997" s="152"/>
      <c r="D997" s="151"/>
      <c r="E997" s="151"/>
      <c r="F997" s="151"/>
      <c r="G997" s="151"/>
      <c r="H997" s="151"/>
      <c r="I997" s="151"/>
      <c r="J997" s="151"/>
      <c r="K997" s="151"/>
      <c r="L997" s="151"/>
      <c r="M997" s="151"/>
      <c r="N997" s="151"/>
    </row>
    <row r="998" ht="15.75" customHeight="1">
      <c r="A998" s="151"/>
      <c r="B998" s="151"/>
      <c r="C998" s="152"/>
      <c r="D998" s="151"/>
      <c r="E998" s="151"/>
      <c r="F998" s="151"/>
      <c r="G998" s="151"/>
      <c r="H998" s="151"/>
      <c r="I998" s="151"/>
      <c r="J998" s="151"/>
      <c r="K998" s="151"/>
      <c r="L998" s="151"/>
      <c r="M998" s="151"/>
      <c r="N998" s="151"/>
    </row>
    <row r="999" ht="15.75" customHeight="1">
      <c r="A999" s="151"/>
      <c r="B999" s="151"/>
      <c r="C999" s="152"/>
      <c r="D999" s="151"/>
      <c r="E999" s="151"/>
      <c r="F999" s="151"/>
      <c r="G999" s="151"/>
      <c r="H999" s="151"/>
      <c r="I999" s="151"/>
      <c r="J999" s="151"/>
      <c r="K999" s="151"/>
      <c r="L999" s="151"/>
      <c r="M999" s="151"/>
      <c r="N999" s="151"/>
    </row>
    <row r="1000" ht="15.75" customHeight="1">
      <c r="A1000" s="151"/>
      <c r="B1000" s="151"/>
      <c r="C1000" s="152"/>
      <c r="D1000" s="151"/>
      <c r="E1000" s="151"/>
      <c r="F1000" s="151"/>
      <c r="G1000" s="151"/>
      <c r="H1000" s="151"/>
      <c r="I1000" s="151"/>
      <c r="J1000" s="151"/>
      <c r="K1000" s="151"/>
      <c r="L1000" s="151"/>
      <c r="M1000" s="151"/>
      <c r="N1000" s="151"/>
    </row>
    <row r="1001" ht="15.75" customHeight="1">
      <c r="A1001" s="151"/>
      <c r="B1001" s="151"/>
      <c r="C1001" s="152"/>
      <c r="D1001" s="151"/>
      <c r="E1001" s="151"/>
      <c r="F1001" s="151"/>
      <c r="G1001" s="151"/>
      <c r="H1001" s="151"/>
      <c r="I1001" s="151"/>
      <c r="J1001" s="151"/>
      <c r="K1001" s="151"/>
      <c r="L1001" s="151"/>
      <c r="M1001" s="151"/>
      <c r="N1001" s="151"/>
    </row>
    <row r="1002" ht="15.75" customHeight="1">
      <c r="A1002" s="151"/>
      <c r="B1002" s="151"/>
      <c r="C1002" s="152"/>
      <c r="D1002" s="151"/>
      <c r="E1002" s="151"/>
      <c r="F1002" s="151"/>
      <c r="G1002" s="151"/>
      <c r="H1002" s="151"/>
      <c r="I1002" s="151"/>
      <c r="J1002" s="151"/>
      <c r="K1002" s="151"/>
      <c r="L1002" s="151"/>
      <c r="M1002" s="151"/>
      <c r="N1002" s="151"/>
    </row>
    <row r="1003" ht="15.75" customHeight="1">
      <c r="A1003" s="151"/>
      <c r="B1003" s="151"/>
      <c r="C1003" s="152"/>
      <c r="D1003" s="151"/>
      <c r="E1003" s="151"/>
      <c r="F1003" s="151"/>
      <c r="G1003" s="151"/>
      <c r="H1003" s="151"/>
      <c r="I1003" s="151"/>
      <c r="J1003" s="151"/>
      <c r="K1003" s="151"/>
      <c r="L1003" s="151"/>
      <c r="M1003" s="151"/>
      <c r="N1003" s="151"/>
    </row>
    <row r="1004" ht="15.75" customHeight="1">
      <c r="A1004" s="151"/>
      <c r="B1004" s="151"/>
      <c r="C1004" s="152"/>
      <c r="D1004" s="151"/>
      <c r="E1004" s="151"/>
      <c r="F1004" s="151"/>
      <c r="G1004" s="151"/>
      <c r="H1004" s="151"/>
      <c r="I1004" s="151"/>
      <c r="J1004" s="151"/>
      <c r="K1004" s="151"/>
      <c r="L1004" s="151"/>
      <c r="M1004" s="151"/>
      <c r="N1004" s="151"/>
    </row>
    <row r="1005" ht="15.75" customHeight="1">
      <c r="A1005" s="151"/>
      <c r="B1005" s="151"/>
      <c r="C1005" s="152"/>
      <c r="D1005" s="151"/>
      <c r="E1005" s="151"/>
      <c r="F1005" s="151"/>
      <c r="G1005" s="151"/>
      <c r="H1005" s="151"/>
      <c r="I1005" s="151"/>
      <c r="J1005" s="151"/>
      <c r="K1005" s="151"/>
      <c r="L1005" s="151"/>
      <c r="M1005" s="151"/>
      <c r="N1005" s="151"/>
    </row>
    <row r="1006" ht="15.75" customHeight="1">
      <c r="A1006" s="151"/>
      <c r="B1006" s="151"/>
      <c r="C1006" s="152"/>
      <c r="D1006" s="151"/>
      <c r="E1006" s="151"/>
      <c r="F1006" s="151"/>
      <c r="G1006" s="151"/>
      <c r="H1006" s="151"/>
      <c r="I1006" s="151"/>
      <c r="J1006" s="151"/>
      <c r="K1006" s="151"/>
      <c r="L1006" s="151"/>
      <c r="M1006" s="151"/>
      <c r="N1006" s="151"/>
    </row>
    <row r="1007" ht="15.75" customHeight="1">
      <c r="A1007" s="151"/>
      <c r="B1007" s="151"/>
      <c r="C1007" s="152"/>
      <c r="D1007" s="151"/>
      <c r="E1007" s="151"/>
      <c r="F1007" s="151"/>
      <c r="G1007" s="151"/>
      <c r="H1007" s="151"/>
      <c r="I1007" s="151"/>
      <c r="J1007" s="151"/>
      <c r="K1007" s="151"/>
      <c r="L1007" s="151"/>
      <c r="M1007" s="151"/>
      <c r="N1007" s="151"/>
    </row>
    <row r="1008" ht="15.75" customHeight="1">
      <c r="A1008" s="151"/>
      <c r="B1008" s="151"/>
      <c r="C1008" s="152"/>
      <c r="D1008" s="151"/>
      <c r="E1008" s="151"/>
      <c r="F1008" s="151"/>
      <c r="G1008" s="151"/>
      <c r="H1008" s="151"/>
      <c r="I1008" s="151"/>
      <c r="J1008" s="151"/>
      <c r="K1008" s="151"/>
      <c r="L1008" s="151"/>
      <c r="M1008" s="151"/>
      <c r="N1008" s="151"/>
    </row>
    <row r="1009" ht="15.75" customHeight="1">
      <c r="A1009" s="151"/>
      <c r="B1009" s="151"/>
      <c r="C1009" s="152"/>
      <c r="D1009" s="151"/>
      <c r="E1009" s="151"/>
      <c r="F1009" s="151"/>
      <c r="G1009" s="151"/>
      <c r="H1009" s="151"/>
      <c r="I1009" s="151"/>
      <c r="J1009" s="151"/>
      <c r="K1009" s="151"/>
      <c r="L1009" s="151"/>
      <c r="M1009" s="151"/>
      <c r="N1009" s="151"/>
    </row>
    <row r="1010" ht="15.75" customHeight="1">
      <c r="A1010" s="151"/>
      <c r="B1010" s="151"/>
      <c r="C1010" s="152"/>
      <c r="D1010" s="151"/>
      <c r="E1010" s="151"/>
      <c r="F1010" s="151"/>
      <c r="G1010" s="151"/>
      <c r="H1010" s="151"/>
      <c r="I1010" s="151"/>
      <c r="J1010" s="151"/>
      <c r="K1010" s="151"/>
      <c r="L1010" s="151"/>
      <c r="M1010" s="151"/>
      <c r="N1010" s="151"/>
    </row>
    <row r="1011" ht="15.75" customHeight="1">
      <c r="A1011" s="151"/>
      <c r="B1011" s="151"/>
      <c r="C1011" s="152"/>
      <c r="D1011" s="151"/>
      <c r="E1011" s="151"/>
      <c r="F1011" s="151"/>
      <c r="G1011" s="151"/>
      <c r="H1011" s="151"/>
      <c r="I1011" s="151"/>
      <c r="J1011" s="151"/>
      <c r="K1011" s="151"/>
      <c r="L1011" s="151"/>
      <c r="M1011" s="151"/>
      <c r="N1011" s="151"/>
    </row>
    <row r="1012" ht="15.75" customHeight="1">
      <c r="A1012" s="151"/>
      <c r="B1012" s="151"/>
      <c r="C1012" s="152"/>
      <c r="D1012" s="151"/>
      <c r="E1012" s="151"/>
      <c r="F1012" s="151"/>
      <c r="G1012" s="151"/>
      <c r="H1012" s="151"/>
      <c r="I1012" s="151"/>
      <c r="J1012" s="151"/>
      <c r="K1012" s="151"/>
      <c r="L1012" s="151"/>
      <c r="M1012" s="151"/>
      <c r="N1012" s="151"/>
    </row>
    <row r="1013" ht="15.75" customHeight="1">
      <c r="A1013" s="151"/>
      <c r="B1013" s="151"/>
      <c r="C1013" s="152"/>
      <c r="D1013" s="151"/>
      <c r="E1013" s="151"/>
      <c r="F1013" s="151"/>
      <c r="G1013" s="151"/>
      <c r="H1013" s="151"/>
      <c r="I1013" s="151"/>
      <c r="J1013" s="151"/>
      <c r="K1013" s="151"/>
      <c r="L1013" s="151"/>
      <c r="M1013" s="151"/>
      <c r="N1013" s="151"/>
    </row>
    <row r="1014" ht="15.75" customHeight="1">
      <c r="A1014" s="151"/>
      <c r="B1014" s="151"/>
      <c r="C1014" s="152"/>
      <c r="D1014" s="151"/>
      <c r="E1014" s="151"/>
      <c r="F1014" s="151"/>
      <c r="G1014" s="151"/>
      <c r="H1014" s="151"/>
      <c r="I1014" s="151"/>
      <c r="J1014" s="151"/>
      <c r="K1014" s="151"/>
      <c r="L1014" s="151"/>
      <c r="M1014" s="151"/>
      <c r="N1014" s="151"/>
    </row>
    <row r="1015" ht="15.75" customHeight="1">
      <c r="A1015" s="151"/>
      <c r="B1015" s="151"/>
      <c r="C1015" s="152"/>
      <c r="D1015" s="151"/>
      <c r="E1015" s="151"/>
      <c r="F1015" s="151"/>
      <c r="G1015" s="151"/>
      <c r="H1015" s="151"/>
      <c r="I1015" s="151"/>
      <c r="J1015" s="151"/>
      <c r="K1015" s="151"/>
      <c r="L1015" s="151"/>
      <c r="M1015" s="151"/>
      <c r="N1015" s="151"/>
    </row>
    <row r="1016" ht="15.75" customHeight="1">
      <c r="A1016" s="151"/>
      <c r="B1016" s="151"/>
      <c r="C1016" s="152"/>
      <c r="D1016" s="151"/>
      <c r="E1016" s="151"/>
      <c r="F1016" s="151"/>
      <c r="G1016" s="151"/>
      <c r="H1016" s="151"/>
      <c r="I1016" s="151"/>
      <c r="J1016" s="151"/>
      <c r="K1016" s="151"/>
      <c r="L1016" s="151"/>
      <c r="M1016" s="151"/>
      <c r="N1016" s="151"/>
    </row>
    <row r="1017" ht="15.75" customHeight="1">
      <c r="A1017" s="151"/>
      <c r="B1017" s="151"/>
      <c r="C1017" s="152"/>
      <c r="D1017" s="151"/>
      <c r="E1017" s="151"/>
      <c r="F1017" s="151"/>
      <c r="G1017" s="151"/>
      <c r="H1017" s="151"/>
      <c r="I1017" s="151"/>
      <c r="J1017" s="151"/>
      <c r="K1017" s="151"/>
      <c r="L1017" s="151"/>
      <c r="M1017" s="151"/>
      <c r="N1017" s="151"/>
    </row>
    <row r="1018" ht="15.75" customHeight="1">
      <c r="A1018" s="151"/>
      <c r="B1018" s="151"/>
      <c r="C1018" s="152"/>
      <c r="D1018" s="151"/>
      <c r="E1018" s="151"/>
      <c r="F1018" s="151"/>
      <c r="G1018" s="151"/>
      <c r="H1018" s="151"/>
      <c r="I1018" s="151"/>
      <c r="J1018" s="151"/>
      <c r="K1018" s="151"/>
      <c r="L1018" s="151"/>
      <c r="M1018" s="151"/>
      <c r="N1018" s="151"/>
    </row>
    <row r="1019" ht="15.75" customHeight="1">
      <c r="A1019" s="151"/>
      <c r="B1019" s="151"/>
      <c r="C1019" s="152"/>
      <c r="D1019" s="151"/>
      <c r="E1019" s="151"/>
      <c r="F1019" s="151"/>
      <c r="G1019" s="151"/>
      <c r="H1019" s="151"/>
      <c r="I1019" s="151"/>
      <c r="J1019" s="151"/>
      <c r="K1019" s="151"/>
      <c r="L1019" s="151"/>
      <c r="M1019" s="151"/>
      <c r="N1019" s="151"/>
    </row>
    <row r="1020" ht="15.75" customHeight="1">
      <c r="A1020" s="151"/>
      <c r="B1020" s="151"/>
      <c r="C1020" s="152"/>
      <c r="D1020" s="151"/>
      <c r="E1020" s="151"/>
      <c r="F1020" s="151"/>
      <c r="G1020" s="151"/>
      <c r="H1020" s="151"/>
      <c r="I1020" s="151"/>
      <c r="J1020" s="151"/>
      <c r="K1020" s="151"/>
      <c r="L1020" s="151"/>
      <c r="M1020" s="151"/>
      <c r="N1020" s="151"/>
    </row>
    <row r="1021" ht="15.75" customHeight="1">
      <c r="A1021" s="151"/>
      <c r="B1021" s="151"/>
      <c r="C1021" s="152"/>
      <c r="D1021" s="151"/>
      <c r="E1021" s="151"/>
      <c r="F1021" s="151"/>
      <c r="G1021" s="151"/>
      <c r="H1021" s="151"/>
      <c r="I1021" s="151"/>
      <c r="J1021" s="151"/>
      <c r="K1021" s="151"/>
      <c r="L1021" s="151"/>
      <c r="M1021" s="151"/>
      <c r="N1021" s="151"/>
    </row>
    <row r="1022" ht="15.75" customHeight="1">
      <c r="A1022" s="151"/>
      <c r="B1022" s="151"/>
      <c r="C1022" s="152"/>
      <c r="D1022" s="151"/>
      <c r="E1022" s="151"/>
      <c r="F1022" s="151"/>
      <c r="G1022" s="151"/>
      <c r="H1022" s="151"/>
      <c r="I1022" s="151"/>
      <c r="J1022" s="151"/>
      <c r="K1022" s="151"/>
      <c r="L1022" s="151"/>
      <c r="M1022" s="151"/>
      <c r="N1022" s="151"/>
    </row>
    <row r="1023" ht="15.75" customHeight="1">
      <c r="A1023" s="151"/>
      <c r="B1023" s="151"/>
      <c r="C1023" s="152"/>
      <c r="D1023" s="151"/>
      <c r="E1023" s="151"/>
      <c r="F1023" s="151"/>
      <c r="G1023" s="151"/>
      <c r="H1023" s="151"/>
      <c r="I1023" s="151"/>
      <c r="J1023" s="151"/>
      <c r="K1023" s="151"/>
      <c r="L1023" s="151"/>
      <c r="M1023" s="151"/>
      <c r="N1023" s="151"/>
    </row>
    <row r="1024" ht="15.75" customHeight="1">
      <c r="A1024" s="151"/>
      <c r="B1024" s="151"/>
      <c r="C1024" s="152"/>
      <c r="D1024" s="151"/>
      <c r="E1024" s="151"/>
      <c r="F1024" s="151"/>
      <c r="G1024" s="151"/>
      <c r="H1024" s="151"/>
      <c r="I1024" s="151"/>
      <c r="J1024" s="151"/>
      <c r="K1024" s="151"/>
      <c r="L1024" s="151"/>
      <c r="M1024" s="151"/>
      <c r="N1024" s="151"/>
    </row>
    <row r="1025" ht="15.75" customHeight="1">
      <c r="A1025" s="151"/>
      <c r="B1025" s="151"/>
      <c r="C1025" s="152"/>
      <c r="D1025" s="151"/>
      <c r="E1025" s="151"/>
      <c r="F1025" s="151"/>
      <c r="G1025" s="151"/>
      <c r="H1025" s="151"/>
      <c r="I1025" s="151"/>
      <c r="J1025" s="151"/>
      <c r="K1025" s="151"/>
      <c r="L1025" s="151"/>
      <c r="M1025" s="151"/>
      <c r="N1025" s="151"/>
    </row>
    <row r="1026" ht="15.75" customHeight="1">
      <c r="A1026" s="151"/>
      <c r="B1026" s="151"/>
      <c r="C1026" s="152"/>
      <c r="D1026" s="151"/>
      <c r="E1026" s="151"/>
      <c r="F1026" s="151"/>
      <c r="G1026" s="151"/>
      <c r="H1026" s="151"/>
      <c r="I1026" s="151"/>
      <c r="J1026" s="151"/>
      <c r="K1026" s="151"/>
      <c r="L1026" s="151"/>
      <c r="M1026" s="151"/>
      <c r="N1026" s="151"/>
    </row>
    <row r="1027" ht="15.75" customHeight="1">
      <c r="A1027" s="151"/>
      <c r="B1027" s="151"/>
      <c r="C1027" s="152"/>
      <c r="D1027" s="151"/>
      <c r="E1027" s="151"/>
      <c r="F1027" s="151"/>
      <c r="G1027" s="151"/>
      <c r="H1027" s="151"/>
      <c r="I1027" s="151"/>
      <c r="J1027" s="151"/>
      <c r="K1027" s="151"/>
      <c r="L1027" s="151"/>
      <c r="M1027" s="151"/>
      <c r="N1027" s="151"/>
    </row>
    <row r="1028" ht="15.75" customHeight="1">
      <c r="A1028" s="151"/>
      <c r="B1028" s="151"/>
      <c r="C1028" s="152"/>
      <c r="D1028" s="151"/>
      <c r="E1028" s="151"/>
      <c r="F1028" s="151"/>
      <c r="G1028" s="151"/>
      <c r="H1028" s="151"/>
      <c r="I1028" s="151"/>
      <c r="J1028" s="151"/>
      <c r="K1028" s="151"/>
      <c r="L1028" s="151"/>
      <c r="M1028" s="151"/>
      <c r="N1028" s="151"/>
    </row>
    <row r="1029" ht="15.75" customHeight="1">
      <c r="A1029" s="151"/>
      <c r="B1029" s="151"/>
      <c r="C1029" s="152"/>
      <c r="D1029" s="151"/>
      <c r="E1029" s="151"/>
      <c r="F1029" s="151"/>
      <c r="G1029" s="151"/>
      <c r="H1029" s="151"/>
      <c r="I1029" s="151"/>
      <c r="J1029" s="151"/>
      <c r="K1029" s="151"/>
      <c r="L1029" s="151"/>
      <c r="M1029" s="151"/>
      <c r="N1029" s="151"/>
    </row>
    <row r="1030" ht="15.75" customHeight="1">
      <c r="A1030" s="151"/>
      <c r="B1030" s="151"/>
      <c r="C1030" s="152"/>
      <c r="D1030" s="151"/>
      <c r="E1030" s="151"/>
      <c r="F1030" s="151"/>
      <c r="G1030" s="151"/>
      <c r="H1030" s="151"/>
      <c r="I1030" s="151"/>
      <c r="J1030" s="151"/>
      <c r="K1030" s="151"/>
      <c r="L1030" s="151"/>
      <c r="M1030" s="151"/>
      <c r="N1030" s="151"/>
    </row>
    <row r="1031" ht="15.75" customHeight="1">
      <c r="A1031" s="151"/>
      <c r="B1031" s="151"/>
      <c r="C1031" s="152"/>
      <c r="D1031" s="151"/>
      <c r="E1031" s="151"/>
      <c r="F1031" s="151"/>
      <c r="G1031" s="151"/>
      <c r="H1031" s="151"/>
      <c r="I1031" s="151"/>
      <c r="J1031" s="151"/>
      <c r="K1031" s="151"/>
      <c r="L1031" s="151"/>
      <c r="M1031" s="151"/>
      <c r="N1031" s="151"/>
    </row>
    <row r="1032" ht="15.75" customHeight="1">
      <c r="A1032" s="151"/>
      <c r="B1032" s="151"/>
      <c r="C1032" s="152"/>
      <c r="D1032" s="151"/>
      <c r="E1032" s="151"/>
      <c r="F1032" s="151"/>
      <c r="G1032" s="151"/>
      <c r="H1032" s="151"/>
      <c r="I1032" s="151"/>
      <c r="J1032" s="151"/>
      <c r="K1032" s="151"/>
      <c r="L1032" s="151"/>
      <c r="M1032" s="151"/>
      <c r="N1032" s="151"/>
    </row>
    <row r="1033" ht="15.75" customHeight="1">
      <c r="A1033" s="151"/>
      <c r="B1033" s="151"/>
      <c r="C1033" s="152"/>
      <c r="D1033" s="151"/>
      <c r="E1033" s="151"/>
      <c r="F1033" s="151"/>
      <c r="G1033" s="151"/>
      <c r="H1033" s="151"/>
      <c r="I1033" s="151"/>
      <c r="J1033" s="151"/>
      <c r="K1033" s="151"/>
      <c r="L1033" s="151"/>
      <c r="M1033" s="151"/>
      <c r="N1033" s="151"/>
    </row>
    <row r="1034" ht="15.75" customHeight="1">
      <c r="A1034" s="151"/>
      <c r="B1034" s="151"/>
      <c r="C1034" s="152"/>
      <c r="D1034" s="151"/>
      <c r="E1034" s="151"/>
      <c r="F1034" s="151"/>
      <c r="G1034" s="151"/>
      <c r="H1034" s="151"/>
      <c r="I1034" s="151"/>
      <c r="J1034" s="151"/>
      <c r="K1034" s="151"/>
      <c r="L1034" s="151"/>
      <c r="M1034" s="151"/>
      <c r="N1034" s="151"/>
    </row>
    <row r="1035" ht="15.75" customHeight="1">
      <c r="A1035" s="151"/>
      <c r="B1035" s="151"/>
      <c r="C1035" s="152"/>
      <c r="D1035" s="151"/>
      <c r="E1035" s="151"/>
      <c r="F1035" s="151"/>
      <c r="G1035" s="151"/>
      <c r="H1035" s="151"/>
      <c r="I1035" s="151"/>
      <c r="J1035" s="151"/>
      <c r="K1035" s="151"/>
      <c r="L1035" s="151"/>
      <c r="M1035" s="151"/>
      <c r="N1035" s="151"/>
    </row>
    <row r="1036" ht="15.75" customHeight="1">
      <c r="A1036" s="151"/>
      <c r="B1036" s="151"/>
      <c r="C1036" s="152"/>
      <c r="D1036" s="151"/>
      <c r="E1036" s="151"/>
      <c r="F1036" s="151"/>
      <c r="G1036" s="151"/>
      <c r="H1036" s="151"/>
      <c r="I1036" s="151"/>
      <c r="J1036" s="151"/>
      <c r="K1036" s="151"/>
      <c r="L1036" s="151"/>
      <c r="M1036" s="151"/>
      <c r="N1036" s="151"/>
    </row>
    <row r="1037" ht="15.75" customHeight="1">
      <c r="A1037" s="151"/>
      <c r="B1037" s="151"/>
      <c r="C1037" s="152"/>
      <c r="D1037" s="151"/>
      <c r="E1037" s="151"/>
      <c r="F1037" s="151"/>
      <c r="G1037" s="151"/>
      <c r="H1037" s="151"/>
      <c r="I1037" s="151"/>
      <c r="J1037" s="151"/>
      <c r="K1037" s="151"/>
      <c r="L1037" s="151"/>
      <c r="M1037" s="151"/>
      <c r="N1037" s="151"/>
    </row>
    <row r="1038" ht="15.75" customHeight="1">
      <c r="A1038" s="151"/>
      <c r="B1038" s="151"/>
      <c r="C1038" s="152"/>
      <c r="D1038" s="151"/>
      <c r="E1038" s="151"/>
      <c r="F1038" s="151"/>
      <c r="G1038" s="151"/>
      <c r="H1038" s="151"/>
      <c r="I1038" s="151"/>
      <c r="J1038" s="151"/>
      <c r="K1038" s="151"/>
      <c r="L1038" s="151"/>
      <c r="M1038" s="151"/>
      <c r="N1038" s="151"/>
    </row>
    <row r="1039" ht="15.75" customHeight="1">
      <c r="A1039" s="151"/>
      <c r="B1039" s="151"/>
      <c r="C1039" s="152"/>
      <c r="D1039" s="151"/>
      <c r="E1039" s="151"/>
      <c r="F1039" s="151"/>
      <c r="G1039" s="151"/>
      <c r="H1039" s="151"/>
      <c r="I1039" s="151"/>
      <c r="J1039" s="151"/>
      <c r="K1039" s="151"/>
      <c r="L1039" s="151"/>
      <c r="M1039" s="151"/>
      <c r="N1039" s="151"/>
    </row>
    <row r="1040" ht="15.75" customHeight="1">
      <c r="A1040" s="151"/>
      <c r="B1040" s="151"/>
      <c r="C1040" s="152"/>
      <c r="D1040" s="151"/>
      <c r="E1040" s="151"/>
      <c r="F1040" s="151"/>
      <c r="G1040" s="151"/>
      <c r="H1040" s="151"/>
      <c r="I1040" s="151"/>
      <c r="J1040" s="151"/>
      <c r="K1040" s="151"/>
      <c r="L1040" s="151"/>
      <c r="M1040" s="151"/>
      <c r="N1040" s="151"/>
    </row>
    <row r="1041" ht="15.75" customHeight="1">
      <c r="A1041" s="151"/>
      <c r="B1041" s="151"/>
      <c r="C1041" s="152"/>
      <c r="D1041" s="151"/>
      <c r="E1041" s="151"/>
      <c r="F1041" s="151"/>
      <c r="G1041" s="151"/>
      <c r="H1041" s="151"/>
      <c r="I1041" s="151"/>
      <c r="J1041" s="151"/>
      <c r="K1041" s="151"/>
      <c r="L1041" s="151"/>
      <c r="M1041" s="151"/>
      <c r="N1041" s="151"/>
    </row>
    <row r="1042" ht="15.75" customHeight="1">
      <c r="A1042" s="151"/>
      <c r="B1042" s="151"/>
      <c r="C1042" s="152"/>
      <c r="D1042" s="151"/>
      <c r="E1042" s="151"/>
      <c r="F1042" s="151"/>
      <c r="G1042" s="151"/>
      <c r="H1042" s="151"/>
      <c r="I1042" s="151"/>
      <c r="J1042" s="151"/>
      <c r="K1042" s="151"/>
      <c r="L1042" s="151"/>
      <c r="M1042" s="151"/>
      <c r="N1042" s="151"/>
    </row>
    <row r="1043" ht="15.75" customHeight="1">
      <c r="A1043" s="151"/>
      <c r="B1043" s="151"/>
      <c r="C1043" s="152"/>
      <c r="D1043" s="151"/>
      <c r="E1043" s="151"/>
      <c r="F1043" s="151"/>
      <c r="G1043" s="151"/>
      <c r="H1043" s="151"/>
      <c r="I1043" s="151"/>
      <c r="J1043" s="151"/>
      <c r="K1043" s="151"/>
      <c r="L1043" s="151"/>
      <c r="M1043" s="151"/>
      <c r="N1043" s="151"/>
    </row>
    <row r="1044" ht="15.75" customHeight="1">
      <c r="A1044" s="151"/>
      <c r="B1044" s="151"/>
      <c r="C1044" s="152"/>
      <c r="D1044" s="151"/>
      <c r="E1044" s="151"/>
      <c r="F1044" s="151"/>
      <c r="G1044" s="151"/>
      <c r="H1044" s="151"/>
      <c r="I1044" s="151"/>
      <c r="J1044" s="151"/>
      <c r="K1044" s="151"/>
      <c r="L1044" s="151"/>
      <c r="M1044" s="151"/>
      <c r="N1044" s="151"/>
    </row>
    <row r="1045" ht="15.75" customHeight="1">
      <c r="A1045" s="151"/>
      <c r="B1045" s="151"/>
      <c r="C1045" s="152"/>
      <c r="D1045" s="151"/>
      <c r="E1045" s="151"/>
      <c r="F1045" s="151"/>
      <c r="G1045" s="151"/>
      <c r="H1045" s="151"/>
      <c r="I1045" s="151"/>
      <c r="J1045" s="151"/>
      <c r="K1045" s="151"/>
      <c r="L1045" s="151"/>
      <c r="M1045" s="151"/>
      <c r="N1045" s="151"/>
    </row>
    <row r="1046" ht="15.75" customHeight="1">
      <c r="A1046" s="151"/>
      <c r="B1046" s="151"/>
      <c r="C1046" s="152"/>
      <c r="D1046" s="151"/>
      <c r="E1046" s="151"/>
      <c r="F1046" s="151"/>
      <c r="G1046" s="151"/>
      <c r="H1046" s="151"/>
      <c r="I1046" s="151"/>
      <c r="J1046" s="151"/>
      <c r="K1046" s="151"/>
      <c r="L1046" s="151"/>
      <c r="M1046" s="151"/>
      <c r="N1046" s="151"/>
    </row>
    <row r="1047" ht="15.75" customHeight="1">
      <c r="A1047" s="151"/>
      <c r="B1047" s="151"/>
      <c r="C1047" s="152"/>
      <c r="D1047" s="151"/>
      <c r="E1047" s="151"/>
      <c r="F1047" s="151"/>
      <c r="G1047" s="151"/>
      <c r="H1047" s="151"/>
      <c r="I1047" s="151"/>
      <c r="J1047" s="151"/>
      <c r="K1047" s="151"/>
      <c r="L1047" s="151"/>
      <c r="M1047" s="151"/>
      <c r="N1047" s="151"/>
    </row>
    <row r="1048" ht="15.75" customHeight="1">
      <c r="A1048" s="151"/>
      <c r="B1048" s="151"/>
      <c r="C1048" s="152"/>
      <c r="D1048" s="151"/>
      <c r="E1048" s="151"/>
      <c r="F1048" s="151"/>
      <c r="G1048" s="151"/>
      <c r="H1048" s="151"/>
      <c r="I1048" s="151"/>
      <c r="J1048" s="151"/>
      <c r="K1048" s="151"/>
      <c r="L1048" s="151"/>
      <c r="M1048" s="151"/>
      <c r="N1048" s="151"/>
    </row>
    <row r="1049" ht="15.75" customHeight="1">
      <c r="A1049" s="151"/>
      <c r="B1049" s="151"/>
      <c r="C1049" s="152"/>
      <c r="D1049" s="151"/>
      <c r="E1049" s="151"/>
      <c r="F1049" s="151"/>
      <c r="G1049" s="151"/>
      <c r="H1049" s="151"/>
      <c r="I1049" s="151"/>
      <c r="J1049" s="151"/>
      <c r="K1049" s="151"/>
      <c r="L1049" s="151"/>
      <c r="M1049" s="151"/>
      <c r="N1049" s="151"/>
    </row>
    <row r="1050" ht="15.75" customHeight="1">
      <c r="A1050" s="151"/>
      <c r="B1050" s="151"/>
      <c r="C1050" s="152"/>
      <c r="D1050" s="151"/>
      <c r="E1050" s="151"/>
      <c r="F1050" s="151"/>
      <c r="G1050" s="151"/>
      <c r="H1050" s="151"/>
      <c r="I1050" s="151"/>
      <c r="J1050" s="151"/>
      <c r="K1050" s="151"/>
      <c r="L1050" s="151"/>
      <c r="M1050" s="151"/>
      <c r="N1050" s="151"/>
    </row>
    <row r="1051" ht="15.75" customHeight="1">
      <c r="A1051" s="151"/>
      <c r="B1051" s="151"/>
      <c r="C1051" s="152"/>
      <c r="D1051" s="151"/>
      <c r="E1051" s="151"/>
      <c r="F1051" s="151"/>
      <c r="G1051" s="151"/>
      <c r="H1051" s="151"/>
      <c r="I1051" s="151"/>
      <c r="J1051" s="151"/>
      <c r="K1051" s="151"/>
      <c r="L1051" s="151"/>
      <c r="M1051" s="151"/>
      <c r="N1051" s="151"/>
    </row>
    <row r="1052" ht="15.75" customHeight="1">
      <c r="A1052" s="151"/>
      <c r="B1052" s="151"/>
      <c r="C1052" s="152"/>
      <c r="D1052" s="151"/>
      <c r="E1052" s="151"/>
      <c r="F1052" s="151"/>
      <c r="G1052" s="151"/>
      <c r="H1052" s="151"/>
      <c r="I1052" s="151"/>
      <c r="J1052" s="151"/>
      <c r="K1052" s="151"/>
      <c r="L1052" s="151"/>
      <c r="M1052" s="151"/>
      <c r="N1052" s="151"/>
    </row>
    <row r="1053" ht="15.75" customHeight="1">
      <c r="A1053" s="151"/>
      <c r="B1053" s="151"/>
      <c r="C1053" s="152"/>
      <c r="D1053" s="151"/>
      <c r="E1053" s="151"/>
      <c r="F1053" s="151"/>
      <c r="G1053" s="151"/>
      <c r="H1053" s="151"/>
      <c r="I1053" s="151"/>
      <c r="J1053" s="151"/>
      <c r="K1053" s="151"/>
      <c r="L1053" s="151"/>
      <c r="M1053" s="151"/>
      <c r="N1053" s="151"/>
    </row>
    <row r="1054" ht="15.75" customHeight="1">
      <c r="A1054" s="151"/>
      <c r="B1054" s="151"/>
      <c r="C1054" s="152"/>
      <c r="D1054" s="151"/>
      <c r="E1054" s="151"/>
      <c r="F1054" s="151"/>
      <c r="G1054" s="151"/>
      <c r="H1054" s="151"/>
      <c r="I1054" s="151"/>
      <c r="J1054" s="151"/>
      <c r="K1054" s="151"/>
      <c r="L1054" s="151"/>
      <c r="M1054" s="151"/>
      <c r="N1054" s="151"/>
    </row>
    <row r="1055" ht="15.75" customHeight="1">
      <c r="A1055" s="151"/>
      <c r="B1055" s="151"/>
      <c r="C1055" s="152"/>
      <c r="D1055" s="151"/>
      <c r="E1055" s="151"/>
      <c r="F1055" s="151"/>
      <c r="G1055" s="151"/>
      <c r="H1055" s="151"/>
      <c r="I1055" s="151"/>
      <c r="J1055" s="151"/>
      <c r="K1055" s="151"/>
      <c r="L1055" s="151"/>
      <c r="M1055" s="151"/>
      <c r="N1055" s="151"/>
    </row>
    <row r="1056" ht="15.75" customHeight="1">
      <c r="A1056" s="151"/>
      <c r="B1056" s="151"/>
      <c r="C1056" s="152"/>
      <c r="D1056" s="151"/>
      <c r="E1056" s="151"/>
      <c r="F1056" s="151"/>
      <c r="G1056" s="151"/>
      <c r="H1056" s="151"/>
      <c r="I1056" s="151"/>
      <c r="J1056" s="151"/>
      <c r="K1056" s="151"/>
      <c r="L1056" s="151"/>
      <c r="M1056" s="151"/>
      <c r="N1056" s="151"/>
    </row>
    <row r="1057" ht="15.75" customHeight="1">
      <c r="A1057" s="151"/>
      <c r="B1057" s="151"/>
      <c r="C1057" s="152"/>
      <c r="D1057" s="151"/>
      <c r="E1057" s="151"/>
      <c r="F1057" s="151"/>
      <c r="G1057" s="151"/>
      <c r="H1057" s="151"/>
      <c r="I1057" s="151"/>
      <c r="J1057" s="151"/>
      <c r="K1057" s="151"/>
      <c r="L1057" s="151"/>
      <c r="M1057" s="151"/>
      <c r="N1057" s="151"/>
    </row>
    <row r="1058" ht="15.75" customHeight="1">
      <c r="A1058" s="151"/>
      <c r="B1058" s="151"/>
      <c r="C1058" s="152"/>
      <c r="D1058" s="151"/>
      <c r="E1058" s="151"/>
      <c r="F1058" s="151"/>
      <c r="G1058" s="151"/>
      <c r="H1058" s="151"/>
      <c r="I1058" s="151"/>
      <c r="J1058" s="151"/>
      <c r="K1058" s="151"/>
      <c r="L1058" s="151"/>
      <c r="M1058" s="151"/>
      <c r="N1058" s="151"/>
    </row>
    <row r="1059" ht="15.75" customHeight="1">
      <c r="A1059" s="151"/>
      <c r="B1059" s="151"/>
      <c r="C1059" s="152"/>
      <c r="D1059" s="151"/>
      <c r="E1059" s="151"/>
      <c r="F1059" s="151"/>
      <c r="G1059" s="151"/>
      <c r="H1059" s="151"/>
      <c r="I1059" s="151"/>
      <c r="J1059" s="151"/>
      <c r="K1059" s="151"/>
      <c r="L1059" s="151"/>
      <c r="M1059" s="151"/>
      <c r="N1059" s="151"/>
    </row>
  </sheetData>
  <conditionalFormatting sqref="I2:I91 I93:I181 I183:I271">
    <cfRule type="containsText" dxfId="0" priority="1" operator="containsText" text="Passed">
      <formula>NOT(ISERROR(SEARCH(("Passed"),(I2))))</formula>
    </cfRule>
  </conditionalFormatting>
  <conditionalFormatting sqref="I2:I91 I93:I181 I183:I271">
    <cfRule type="containsText" dxfId="1" priority="2" operator="containsText" text="Failed">
      <formula>NOT(ISERROR(SEARCH(("Failed"),(I2))))</formula>
    </cfRule>
  </conditionalFormatting>
  <conditionalFormatting sqref="I2:I91 I93:I181 I183:I271">
    <cfRule type="containsText" dxfId="2" priority="3" operator="containsText" text="Blocked">
      <formula>NOT(ISERROR(SEARCH(("Blocked"),(I2))))</formula>
    </cfRule>
  </conditionalFormatting>
  <conditionalFormatting sqref="I2:I91 I93:I181 I183:I271">
    <cfRule type="containsText" dxfId="3" priority="4" operator="containsText" text="Not Started">
      <formula>NOT(ISERROR(SEARCH(("Not Started"),(I2))))</formula>
    </cfRule>
  </conditionalFormatting>
  <conditionalFormatting sqref="I2:I91 I93:I181 I183:I271">
    <cfRule type="containsText" dxfId="4" priority="5" operator="containsText" text="Out of Scope">
      <formula>NOT(ISERROR(SEARCH(("Out of Scope"),(I2))))</formula>
    </cfRule>
  </conditionalFormatting>
  <conditionalFormatting sqref="I2:I91 I93:I181 I183:I271">
    <cfRule type="containsBlanks" dxfId="5" priority="6">
      <formula>LEN(TRIM(I2))=0</formula>
    </cfRule>
  </conditionalFormatting>
  <dataValidations>
    <dataValidation type="list" allowBlank="1" sqref="I2:I391 I393:I521">
      <formula1>"Passed,Failed,Not Started,Blocked,Out of Scope"</formula1>
    </dataValidation>
    <dataValidation type="list" allowBlank="1" sqref="H2:H521">
      <formula1>"Chrome,Opera,Firefox,Edge,N/A"</formula1>
    </dataValidation>
  </dataValidations>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11.25"/>
    <col customWidth="1" min="3" max="3" width="32.75"/>
    <col customWidth="1" min="4" max="4" width="65.13"/>
    <col customWidth="1" min="5" max="5" width="26.63"/>
    <col customWidth="1" min="6" max="6" width="67.25"/>
    <col customWidth="1" min="7" max="7" width="46.75"/>
    <col customWidth="1" min="8" max="8" width="10.63"/>
    <col customWidth="1" min="9" max="9" width="9.63"/>
    <col customWidth="1" min="10" max="10" width="15.5"/>
    <col customWidth="1" min="11" max="11" width="9.88"/>
  </cols>
  <sheetData>
    <row r="1">
      <c r="A1" s="153"/>
      <c r="B1" s="31" t="s">
        <v>18</v>
      </c>
      <c r="C1" s="31" t="s">
        <v>19</v>
      </c>
      <c r="D1" s="31" t="s">
        <v>20</v>
      </c>
      <c r="E1" s="31" t="s">
        <v>21</v>
      </c>
      <c r="F1" s="31" t="s">
        <v>22</v>
      </c>
      <c r="G1" s="31" t="s">
        <v>23</v>
      </c>
      <c r="H1" s="31" t="s">
        <v>24</v>
      </c>
      <c r="I1" s="31" t="s">
        <v>25</v>
      </c>
      <c r="J1" s="154" t="s">
        <v>26</v>
      </c>
      <c r="K1" s="31" t="s">
        <v>27</v>
      </c>
      <c r="L1" s="34"/>
      <c r="M1" s="34"/>
      <c r="N1" s="34"/>
      <c r="O1" s="34"/>
      <c r="P1" s="34"/>
      <c r="Q1" s="34"/>
      <c r="R1" s="34"/>
      <c r="S1" s="34"/>
      <c r="T1" s="34"/>
      <c r="U1" s="34"/>
      <c r="V1" s="34"/>
      <c r="W1" s="34"/>
      <c r="X1" s="34"/>
      <c r="Y1" s="34"/>
      <c r="Z1" s="34"/>
      <c r="AA1" s="34"/>
    </row>
    <row r="2" ht="15.75" customHeight="1">
      <c r="A2" s="155"/>
      <c r="B2" s="156"/>
      <c r="C2" s="156"/>
      <c r="D2" s="156"/>
      <c r="E2" s="156"/>
      <c r="F2" s="155" t="s">
        <v>35</v>
      </c>
      <c r="G2" s="156"/>
      <c r="H2" s="157"/>
      <c r="I2" s="157"/>
      <c r="J2" s="157"/>
      <c r="K2" s="156"/>
      <c r="L2" s="158"/>
      <c r="M2" s="158"/>
      <c r="N2" s="158"/>
      <c r="O2" s="158"/>
      <c r="P2" s="158"/>
      <c r="Q2" s="158"/>
      <c r="R2" s="158"/>
      <c r="S2" s="158"/>
      <c r="T2" s="158"/>
      <c r="U2" s="158"/>
      <c r="V2" s="158"/>
      <c r="W2" s="158"/>
      <c r="X2" s="158"/>
      <c r="Y2" s="158"/>
      <c r="Z2" s="158"/>
      <c r="AA2" s="158"/>
    </row>
    <row r="3">
      <c r="A3" s="159" t="s">
        <v>195</v>
      </c>
      <c r="B3" s="159" t="s">
        <v>844</v>
      </c>
      <c r="C3" s="159" t="s">
        <v>845</v>
      </c>
      <c r="D3" s="159" t="s">
        <v>846</v>
      </c>
      <c r="E3" s="159" t="s">
        <v>847</v>
      </c>
      <c r="F3" s="159" t="s">
        <v>848</v>
      </c>
      <c r="G3" s="159" t="s">
        <v>849</v>
      </c>
      <c r="H3" s="160" t="s">
        <v>35</v>
      </c>
      <c r="I3" s="161" t="s">
        <v>36</v>
      </c>
      <c r="J3" s="162" t="s">
        <v>850</v>
      </c>
      <c r="K3" s="163" t="s">
        <v>36</v>
      </c>
      <c r="L3" s="164"/>
      <c r="M3" s="164"/>
      <c r="N3" s="164"/>
      <c r="O3" s="164"/>
      <c r="P3" s="164"/>
      <c r="Q3" s="164"/>
      <c r="R3" s="164"/>
      <c r="S3" s="164"/>
      <c r="T3" s="164"/>
      <c r="U3" s="164"/>
      <c r="V3" s="164"/>
      <c r="W3" s="164"/>
      <c r="X3" s="164"/>
      <c r="Y3" s="164"/>
      <c r="Z3" s="164"/>
      <c r="AA3" s="164"/>
    </row>
    <row r="4">
      <c r="A4" s="159" t="s">
        <v>195</v>
      </c>
      <c r="B4" s="159" t="s">
        <v>851</v>
      </c>
      <c r="C4" s="159" t="s">
        <v>852</v>
      </c>
      <c r="D4" s="159" t="s">
        <v>853</v>
      </c>
      <c r="E4" s="159" t="s">
        <v>854</v>
      </c>
      <c r="F4" s="159" t="s">
        <v>855</v>
      </c>
      <c r="G4" s="159" t="s">
        <v>856</v>
      </c>
      <c r="H4" s="165" t="s">
        <v>35</v>
      </c>
      <c r="I4" s="161" t="s">
        <v>36</v>
      </c>
      <c r="J4" s="166" t="s">
        <v>857</v>
      </c>
      <c r="K4" s="163" t="s">
        <v>36</v>
      </c>
      <c r="L4" s="164"/>
      <c r="M4" s="164"/>
      <c r="N4" s="164"/>
      <c r="O4" s="164"/>
      <c r="P4" s="164"/>
      <c r="Q4" s="164"/>
      <c r="R4" s="164"/>
      <c r="S4" s="164"/>
      <c r="T4" s="164"/>
      <c r="U4" s="164"/>
      <c r="V4" s="164"/>
      <c r="W4" s="164"/>
      <c r="X4" s="164"/>
      <c r="Y4" s="164"/>
      <c r="Z4" s="164"/>
      <c r="AA4" s="164"/>
    </row>
    <row r="5">
      <c r="A5" s="159" t="s">
        <v>195</v>
      </c>
      <c r="B5" s="159" t="s">
        <v>858</v>
      </c>
      <c r="C5" s="159" t="s">
        <v>859</v>
      </c>
      <c r="D5" s="159" t="s">
        <v>860</v>
      </c>
      <c r="E5" s="159" t="s">
        <v>861</v>
      </c>
      <c r="F5" s="159" t="s">
        <v>862</v>
      </c>
      <c r="G5" s="159" t="s">
        <v>863</v>
      </c>
      <c r="H5" s="165" t="s">
        <v>35</v>
      </c>
      <c r="I5" s="161" t="s">
        <v>36</v>
      </c>
      <c r="J5" s="166" t="s">
        <v>864</v>
      </c>
      <c r="K5" s="163" t="s">
        <v>36</v>
      </c>
      <c r="L5" s="164"/>
      <c r="M5" s="164"/>
      <c r="N5" s="164"/>
      <c r="O5" s="164"/>
      <c r="P5" s="164"/>
      <c r="Q5" s="164"/>
      <c r="R5" s="164"/>
      <c r="S5" s="164"/>
      <c r="T5" s="164"/>
      <c r="U5" s="164"/>
      <c r="V5" s="164"/>
      <c r="W5" s="164"/>
      <c r="X5" s="164"/>
      <c r="Y5" s="164"/>
      <c r="Z5" s="164"/>
      <c r="AA5" s="164"/>
    </row>
    <row r="6">
      <c r="A6" s="159" t="s">
        <v>195</v>
      </c>
      <c r="B6" s="159" t="s">
        <v>865</v>
      </c>
      <c r="C6" s="159" t="s">
        <v>866</v>
      </c>
      <c r="D6" s="159" t="s">
        <v>867</v>
      </c>
      <c r="E6" s="159" t="s">
        <v>868</v>
      </c>
      <c r="F6" s="159" t="s">
        <v>869</v>
      </c>
      <c r="G6" s="159" t="s">
        <v>870</v>
      </c>
      <c r="H6" s="165" t="s">
        <v>35</v>
      </c>
      <c r="I6" s="161" t="s">
        <v>36</v>
      </c>
      <c r="J6" s="166" t="s">
        <v>871</v>
      </c>
      <c r="K6" s="163" t="s">
        <v>36</v>
      </c>
      <c r="L6" s="164"/>
      <c r="M6" s="164"/>
      <c r="N6" s="164"/>
      <c r="O6" s="164"/>
      <c r="P6" s="164"/>
      <c r="Q6" s="164"/>
      <c r="R6" s="164"/>
      <c r="S6" s="164"/>
      <c r="T6" s="164"/>
      <c r="U6" s="164"/>
      <c r="V6" s="164"/>
      <c r="W6" s="164"/>
      <c r="X6" s="164"/>
      <c r="Y6" s="164"/>
      <c r="Z6" s="164"/>
      <c r="AA6" s="164"/>
    </row>
    <row r="7">
      <c r="A7" s="159" t="s">
        <v>195</v>
      </c>
      <c r="B7" s="159" t="s">
        <v>872</v>
      </c>
      <c r="C7" s="159" t="s">
        <v>873</v>
      </c>
      <c r="D7" s="159" t="s">
        <v>874</v>
      </c>
      <c r="E7" s="159" t="s">
        <v>875</v>
      </c>
      <c r="F7" s="159" t="s">
        <v>876</v>
      </c>
      <c r="G7" s="159" t="s">
        <v>877</v>
      </c>
      <c r="H7" s="165" t="s">
        <v>35</v>
      </c>
      <c r="I7" s="161" t="s">
        <v>36</v>
      </c>
      <c r="J7" s="166" t="s">
        <v>878</v>
      </c>
      <c r="K7" s="163" t="s">
        <v>36</v>
      </c>
      <c r="L7" s="164"/>
      <c r="M7" s="164"/>
      <c r="N7" s="164"/>
      <c r="O7" s="164"/>
      <c r="P7" s="164"/>
      <c r="Q7" s="164"/>
      <c r="R7" s="164"/>
      <c r="S7" s="164"/>
      <c r="T7" s="164"/>
      <c r="U7" s="164"/>
      <c r="V7" s="164"/>
      <c r="W7" s="164"/>
      <c r="X7" s="164"/>
      <c r="Y7" s="164"/>
      <c r="Z7" s="164"/>
      <c r="AA7" s="164"/>
    </row>
    <row r="8">
      <c r="A8" s="159" t="s">
        <v>195</v>
      </c>
      <c r="B8" s="159" t="s">
        <v>879</v>
      </c>
      <c r="C8" s="159" t="s">
        <v>880</v>
      </c>
      <c r="D8" s="159" t="s">
        <v>881</v>
      </c>
      <c r="E8" s="159" t="s">
        <v>882</v>
      </c>
      <c r="F8" s="159" t="s">
        <v>883</v>
      </c>
      <c r="G8" s="159" t="s">
        <v>884</v>
      </c>
      <c r="H8" s="165" t="s">
        <v>35</v>
      </c>
      <c r="I8" s="161" t="s">
        <v>36</v>
      </c>
      <c r="J8" s="166" t="s">
        <v>885</v>
      </c>
      <c r="K8" s="163" t="s">
        <v>886</v>
      </c>
      <c r="L8" s="164"/>
      <c r="M8" s="164"/>
      <c r="N8" s="164"/>
      <c r="O8" s="164"/>
      <c r="P8" s="164"/>
      <c r="Q8" s="164"/>
      <c r="R8" s="164"/>
      <c r="S8" s="164"/>
      <c r="T8" s="164"/>
      <c r="U8" s="164"/>
      <c r="V8" s="164"/>
      <c r="W8" s="164"/>
      <c r="X8" s="164"/>
      <c r="Y8" s="164"/>
      <c r="Z8" s="164"/>
      <c r="AA8" s="164"/>
    </row>
    <row r="9">
      <c r="A9" s="159" t="s">
        <v>195</v>
      </c>
      <c r="B9" s="159" t="s">
        <v>887</v>
      </c>
      <c r="C9" s="159" t="s">
        <v>888</v>
      </c>
      <c r="D9" s="159" t="s">
        <v>889</v>
      </c>
      <c r="E9" s="159" t="s">
        <v>882</v>
      </c>
      <c r="F9" s="159" t="s">
        <v>890</v>
      </c>
      <c r="G9" s="159" t="s">
        <v>891</v>
      </c>
      <c r="H9" s="165" t="s">
        <v>35</v>
      </c>
      <c r="I9" s="161" t="s">
        <v>36</v>
      </c>
      <c r="J9" s="166" t="s">
        <v>892</v>
      </c>
      <c r="K9" s="163" t="s">
        <v>36</v>
      </c>
      <c r="L9" s="164"/>
      <c r="M9" s="164"/>
      <c r="N9" s="164"/>
      <c r="O9" s="164"/>
      <c r="P9" s="164"/>
      <c r="Q9" s="164"/>
      <c r="R9" s="164"/>
      <c r="S9" s="164"/>
      <c r="T9" s="164"/>
      <c r="U9" s="164"/>
      <c r="V9" s="164"/>
      <c r="W9" s="164"/>
      <c r="X9" s="164"/>
      <c r="Y9" s="164"/>
      <c r="Z9" s="164"/>
      <c r="AA9" s="164"/>
    </row>
    <row r="10">
      <c r="A10" s="159" t="s">
        <v>195</v>
      </c>
      <c r="B10" s="159" t="s">
        <v>893</v>
      </c>
      <c r="C10" s="159" t="s">
        <v>894</v>
      </c>
      <c r="D10" s="159" t="s">
        <v>895</v>
      </c>
      <c r="E10" s="159" t="s">
        <v>882</v>
      </c>
      <c r="F10" s="159" t="s">
        <v>896</v>
      </c>
      <c r="G10" s="159" t="s">
        <v>897</v>
      </c>
      <c r="H10" s="165" t="s">
        <v>35</v>
      </c>
      <c r="I10" s="161" t="s">
        <v>36</v>
      </c>
      <c r="J10" s="166" t="s">
        <v>898</v>
      </c>
      <c r="K10" s="163" t="s">
        <v>36</v>
      </c>
      <c r="L10" s="164"/>
      <c r="M10" s="164"/>
      <c r="N10" s="164"/>
      <c r="O10" s="164"/>
      <c r="P10" s="164"/>
      <c r="Q10" s="164"/>
      <c r="R10" s="164"/>
      <c r="S10" s="164"/>
      <c r="T10" s="164"/>
      <c r="U10" s="164"/>
      <c r="V10" s="164"/>
      <c r="W10" s="164"/>
      <c r="X10" s="164"/>
      <c r="Y10" s="164"/>
      <c r="Z10" s="164"/>
      <c r="AA10" s="164"/>
    </row>
    <row r="11">
      <c r="A11" s="159" t="s">
        <v>195</v>
      </c>
      <c r="B11" s="159" t="s">
        <v>899</v>
      </c>
      <c r="C11" s="159" t="s">
        <v>900</v>
      </c>
      <c r="D11" s="159" t="s">
        <v>901</v>
      </c>
      <c r="E11" s="159" t="s">
        <v>882</v>
      </c>
      <c r="F11" s="159" t="s">
        <v>902</v>
      </c>
      <c r="G11" s="159" t="s">
        <v>903</v>
      </c>
      <c r="H11" s="165" t="s">
        <v>35</v>
      </c>
      <c r="I11" s="161" t="s">
        <v>36</v>
      </c>
      <c r="J11" s="166" t="s">
        <v>904</v>
      </c>
      <c r="K11" s="163" t="s">
        <v>36</v>
      </c>
      <c r="L11" s="164"/>
      <c r="M11" s="164"/>
      <c r="N11" s="164"/>
      <c r="O11" s="164"/>
      <c r="P11" s="164"/>
      <c r="Q11" s="164"/>
      <c r="R11" s="164"/>
      <c r="S11" s="164"/>
      <c r="T11" s="164"/>
      <c r="U11" s="164"/>
      <c r="V11" s="164"/>
      <c r="W11" s="164"/>
      <c r="X11" s="164"/>
      <c r="Y11" s="164"/>
      <c r="Z11" s="164"/>
      <c r="AA11" s="164"/>
    </row>
    <row r="12">
      <c r="A12" s="159" t="s">
        <v>195</v>
      </c>
      <c r="B12" s="159" t="s">
        <v>905</v>
      </c>
      <c r="C12" s="159" t="s">
        <v>906</v>
      </c>
      <c r="D12" s="159" t="s">
        <v>907</v>
      </c>
      <c r="E12" s="159" t="s">
        <v>882</v>
      </c>
      <c r="F12" s="159" t="s">
        <v>908</v>
      </c>
      <c r="G12" s="159" t="s">
        <v>909</v>
      </c>
      <c r="H12" s="167" t="s">
        <v>35</v>
      </c>
      <c r="I12" s="161" t="s">
        <v>36</v>
      </c>
      <c r="J12" s="166" t="s">
        <v>904</v>
      </c>
      <c r="K12" s="163" t="s">
        <v>36</v>
      </c>
      <c r="L12" s="164"/>
      <c r="M12" s="164"/>
      <c r="N12" s="164"/>
      <c r="O12" s="164"/>
      <c r="P12" s="164"/>
      <c r="Q12" s="164"/>
      <c r="R12" s="164"/>
      <c r="S12" s="164"/>
      <c r="T12" s="164"/>
      <c r="U12" s="164"/>
      <c r="V12" s="164"/>
      <c r="W12" s="164"/>
      <c r="X12" s="164"/>
      <c r="Y12" s="164"/>
      <c r="Z12" s="164"/>
      <c r="AA12" s="164"/>
    </row>
    <row r="13">
      <c r="A13" s="159" t="s">
        <v>195</v>
      </c>
      <c r="B13" s="159" t="s">
        <v>910</v>
      </c>
      <c r="C13" s="159" t="s">
        <v>911</v>
      </c>
      <c r="D13" s="159" t="s">
        <v>912</v>
      </c>
      <c r="E13" s="159" t="s">
        <v>913</v>
      </c>
      <c r="F13" s="159" t="s">
        <v>914</v>
      </c>
      <c r="G13" s="159" t="s">
        <v>915</v>
      </c>
      <c r="H13" s="167" t="s">
        <v>35</v>
      </c>
      <c r="I13" s="161" t="s">
        <v>36</v>
      </c>
      <c r="J13" s="166" t="s">
        <v>916</v>
      </c>
      <c r="K13" s="163" t="s">
        <v>36</v>
      </c>
      <c r="L13" s="164"/>
      <c r="M13" s="164"/>
      <c r="N13" s="164"/>
      <c r="O13" s="164"/>
      <c r="P13" s="164"/>
      <c r="Q13" s="164"/>
      <c r="R13" s="164"/>
      <c r="S13" s="164"/>
      <c r="T13" s="164"/>
      <c r="U13" s="164"/>
      <c r="V13" s="164"/>
      <c r="W13" s="164"/>
      <c r="X13" s="164"/>
      <c r="Y13" s="164"/>
      <c r="Z13" s="164"/>
      <c r="AA13" s="164"/>
    </row>
    <row r="14">
      <c r="A14" s="159" t="s">
        <v>195</v>
      </c>
      <c r="B14" s="159" t="s">
        <v>917</v>
      </c>
      <c r="C14" s="159" t="s">
        <v>918</v>
      </c>
      <c r="D14" s="159" t="s">
        <v>919</v>
      </c>
      <c r="E14" s="159" t="s">
        <v>920</v>
      </c>
      <c r="F14" s="159" t="s">
        <v>921</v>
      </c>
      <c r="G14" s="159" t="s">
        <v>922</v>
      </c>
      <c r="H14" s="167" t="s">
        <v>35</v>
      </c>
      <c r="I14" s="161" t="s">
        <v>36</v>
      </c>
      <c r="J14" s="166" t="s">
        <v>916</v>
      </c>
      <c r="K14" s="163" t="s">
        <v>36</v>
      </c>
      <c r="L14" s="164"/>
      <c r="M14" s="164"/>
      <c r="N14" s="164"/>
      <c r="O14" s="164"/>
      <c r="P14" s="164"/>
      <c r="Q14" s="164"/>
      <c r="R14" s="164"/>
      <c r="S14" s="164"/>
      <c r="T14" s="164"/>
      <c r="U14" s="164"/>
      <c r="V14" s="164"/>
      <c r="W14" s="164"/>
      <c r="X14" s="164"/>
      <c r="Y14" s="164"/>
      <c r="Z14" s="164"/>
      <c r="AA14" s="164"/>
    </row>
    <row r="15">
      <c r="A15" s="159" t="s">
        <v>195</v>
      </c>
      <c r="B15" s="159" t="s">
        <v>923</v>
      </c>
      <c r="C15" s="159" t="s">
        <v>924</v>
      </c>
      <c r="D15" s="159" t="s">
        <v>925</v>
      </c>
      <c r="E15" s="159" t="s">
        <v>926</v>
      </c>
      <c r="F15" s="159" t="s">
        <v>927</v>
      </c>
      <c r="G15" s="159" t="s">
        <v>928</v>
      </c>
      <c r="H15" s="167" t="s">
        <v>35</v>
      </c>
      <c r="I15" s="161" t="s">
        <v>36</v>
      </c>
      <c r="J15" s="166" t="s">
        <v>916</v>
      </c>
      <c r="K15" s="163" t="s">
        <v>36</v>
      </c>
      <c r="L15" s="164"/>
      <c r="M15" s="164"/>
      <c r="N15" s="164"/>
      <c r="O15" s="164"/>
      <c r="P15" s="164"/>
      <c r="Q15" s="164"/>
      <c r="R15" s="164"/>
      <c r="S15" s="164"/>
      <c r="T15" s="164"/>
      <c r="U15" s="164"/>
      <c r="V15" s="164"/>
      <c r="W15" s="164"/>
      <c r="X15" s="164"/>
      <c r="Y15" s="164"/>
      <c r="Z15" s="164"/>
      <c r="AA15" s="164"/>
    </row>
    <row r="16">
      <c r="A16" s="159" t="s">
        <v>195</v>
      </c>
      <c r="B16" s="159" t="s">
        <v>929</v>
      </c>
      <c r="C16" s="159" t="s">
        <v>930</v>
      </c>
      <c r="D16" s="159" t="s">
        <v>931</v>
      </c>
      <c r="E16" s="159" t="s">
        <v>920</v>
      </c>
      <c r="F16" s="159" t="s">
        <v>932</v>
      </c>
      <c r="G16" s="159" t="s">
        <v>933</v>
      </c>
      <c r="H16" s="167" t="s">
        <v>35</v>
      </c>
      <c r="I16" s="161" t="s">
        <v>36</v>
      </c>
      <c r="J16" s="166" t="s">
        <v>934</v>
      </c>
      <c r="K16" s="163" t="s">
        <v>36</v>
      </c>
      <c r="L16" s="164"/>
      <c r="M16" s="164"/>
      <c r="N16" s="164"/>
      <c r="O16" s="164"/>
      <c r="P16" s="164"/>
      <c r="Q16" s="164"/>
      <c r="R16" s="164"/>
      <c r="S16" s="164"/>
      <c r="T16" s="164"/>
      <c r="U16" s="164"/>
      <c r="V16" s="164"/>
      <c r="W16" s="164"/>
      <c r="X16" s="164"/>
      <c r="Y16" s="164"/>
      <c r="Z16" s="164"/>
      <c r="AA16" s="164"/>
    </row>
    <row r="17">
      <c r="A17" s="159" t="s">
        <v>195</v>
      </c>
      <c r="B17" s="159" t="s">
        <v>935</v>
      </c>
      <c r="C17" s="159" t="s">
        <v>936</v>
      </c>
      <c r="D17" s="159" t="s">
        <v>937</v>
      </c>
      <c r="E17" s="159" t="s">
        <v>938</v>
      </c>
      <c r="F17" s="159" t="s">
        <v>939</v>
      </c>
      <c r="G17" s="159" t="s">
        <v>940</v>
      </c>
      <c r="H17" s="167" t="s">
        <v>35</v>
      </c>
      <c r="I17" s="161" t="s">
        <v>36</v>
      </c>
      <c r="J17" s="166" t="s">
        <v>941</v>
      </c>
      <c r="K17" s="163" t="s">
        <v>36</v>
      </c>
      <c r="L17" s="164"/>
      <c r="M17" s="164"/>
      <c r="N17" s="164"/>
      <c r="O17" s="164"/>
      <c r="P17" s="164"/>
      <c r="Q17" s="164"/>
      <c r="R17" s="164"/>
      <c r="S17" s="164"/>
      <c r="T17" s="164"/>
      <c r="U17" s="164"/>
      <c r="V17" s="164"/>
      <c r="W17" s="164"/>
      <c r="X17" s="164"/>
      <c r="Y17" s="164"/>
      <c r="Z17" s="164"/>
      <c r="AA17" s="164"/>
    </row>
    <row r="18">
      <c r="A18" s="159" t="s">
        <v>195</v>
      </c>
      <c r="B18" s="159" t="s">
        <v>942</v>
      </c>
      <c r="C18" s="159" t="s">
        <v>943</v>
      </c>
      <c r="D18" s="159" t="s">
        <v>944</v>
      </c>
      <c r="E18" s="159" t="s">
        <v>945</v>
      </c>
      <c r="F18" s="159" t="s">
        <v>946</v>
      </c>
      <c r="G18" s="159" t="s">
        <v>947</v>
      </c>
      <c r="H18" s="167" t="s">
        <v>35</v>
      </c>
      <c r="I18" s="161" t="s">
        <v>36</v>
      </c>
      <c r="J18" s="166" t="s">
        <v>948</v>
      </c>
      <c r="K18" s="163" t="s">
        <v>36</v>
      </c>
      <c r="L18" s="164"/>
      <c r="M18" s="164"/>
      <c r="N18" s="164"/>
      <c r="O18" s="164"/>
      <c r="P18" s="164"/>
      <c r="Q18" s="164"/>
      <c r="R18" s="164"/>
      <c r="S18" s="164"/>
      <c r="T18" s="164"/>
      <c r="U18" s="164"/>
      <c r="V18" s="164"/>
      <c r="W18" s="164"/>
      <c r="X18" s="164"/>
      <c r="Y18" s="164"/>
      <c r="Z18" s="164"/>
      <c r="AA18" s="164"/>
    </row>
    <row r="19">
      <c r="A19" s="159" t="s">
        <v>195</v>
      </c>
      <c r="B19" s="159" t="s">
        <v>949</v>
      </c>
      <c r="C19" s="159" t="s">
        <v>950</v>
      </c>
      <c r="D19" s="159" t="s">
        <v>951</v>
      </c>
      <c r="E19" s="159" t="s">
        <v>938</v>
      </c>
      <c r="F19" s="159" t="s">
        <v>952</v>
      </c>
      <c r="G19" s="159" t="s">
        <v>953</v>
      </c>
      <c r="H19" s="167" t="s">
        <v>35</v>
      </c>
      <c r="I19" s="161" t="s">
        <v>36</v>
      </c>
      <c r="J19" s="166" t="s">
        <v>954</v>
      </c>
      <c r="K19" s="163" t="s">
        <v>36</v>
      </c>
      <c r="L19" s="164"/>
      <c r="M19" s="164"/>
      <c r="N19" s="164"/>
      <c r="O19" s="164"/>
      <c r="P19" s="164"/>
      <c r="Q19" s="164"/>
      <c r="R19" s="164"/>
      <c r="S19" s="164"/>
      <c r="T19" s="164"/>
      <c r="U19" s="164"/>
      <c r="V19" s="164"/>
      <c r="W19" s="164"/>
      <c r="X19" s="164"/>
      <c r="Y19" s="164"/>
      <c r="Z19" s="164"/>
      <c r="AA19" s="164"/>
    </row>
    <row r="20">
      <c r="A20" s="159" t="s">
        <v>195</v>
      </c>
      <c r="B20" s="159" t="s">
        <v>955</v>
      </c>
      <c r="C20" s="159" t="s">
        <v>956</v>
      </c>
      <c r="D20" s="159" t="s">
        <v>957</v>
      </c>
      <c r="E20" s="159" t="s">
        <v>958</v>
      </c>
      <c r="F20" s="159" t="s">
        <v>959</v>
      </c>
      <c r="G20" s="159" t="s">
        <v>960</v>
      </c>
      <c r="H20" s="167" t="s">
        <v>35</v>
      </c>
      <c r="I20" s="161" t="s">
        <v>36</v>
      </c>
      <c r="J20" s="166" t="s">
        <v>954</v>
      </c>
      <c r="K20" s="163" t="s">
        <v>36</v>
      </c>
      <c r="L20" s="164"/>
      <c r="M20" s="164"/>
      <c r="N20" s="164"/>
      <c r="O20" s="164"/>
      <c r="P20" s="164"/>
      <c r="Q20" s="164"/>
      <c r="R20" s="164"/>
      <c r="S20" s="164"/>
      <c r="T20" s="164"/>
      <c r="U20" s="164"/>
      <c r="V20" s="164"/>
      <c r="W20" s="164"/>
      <c r="X20" s="164"/>
      <c r="Y20" s="164"/>
      <c r="Z20" s="164"/>
      <c r="AA20" s="164"/>
    </row>
    <row r="21">
      <c r="A21" s="159" t="s">
        <v>195</v>
      </c>
      <c r="B21" s="159" t="s">
        <v>961</v>
      </c>
      <c r="C21" s="159" t="s">
        <v>962</v>
      </c>
      <c r="D21" s="159" t="s">
        <v>963</v>
      </c>
      <c r="E21" s="159" t="s">
        <v>938</v>
      </c>
      <c r="F21" s="159" t="s">
        <v>964</v>
      </c>
      <c r="G21" s="159" t="s">
        <v>965</v>
      </c>
      <c r="H21" s="167" t="s">
        <v>35</v>
      </c>
      <c r="I21" s="161" t="s">
        <v>36</v>
      </c>
      <c r="J21" s="166" t="s">
        <v>966</v>
      </c>
      <c r="K21" s="163" t="s">
        <v>36</v>
      </c>
      <c r="L21" s="164"/>
      <c r="M21" s="164"/>
      <c r="N21" s="164"/>
      <c r="O21" s="164"/>
      <c r="P21" s="164"/>
      <c r="Q21" s="164"/>
      <c r="R21" s="164"/>
      <c r="S21" s="164"/>
      <c r="T21" s="164"/>
      <c r="U21" s="164"/>
      <c r="V21" s="164"/>
      <c r="W21" s="164"/>
      <c r="X21" s="164"/>
      <c r="Y21" s="164"/>
      <c r="Z21" s="164"/>
      <c r="AA21" s="164"/>
    </row>
    <row r="22">
      <c r="A22" s="159" t="s">
        <v>195</v>
      </c>
      <c r="B22" s="159" t="s">
        <v>967</v>
      </c>
      <c r="C22" s="159" t="s">
        <v>968</v>
      </c>
      <c r="D22" s="159" t="s">
        <v>969</v>
      </c>
      <c r="E22" s="159" t="s">
        <v>970</v>
      </c>
      <c r="F22" s="159" t="s">
        <v>971</v>
      </c>
      <c r="G22" s="159" t="s">
        <v>972</v>
      </c>
      <c r="H22" s="167" t="s">
        <v>35</v>
      </c>
      <c r="I22" s="161" t="s">
        <v>36</v>
      </c>
      <c r="J22" s="166" t="s">
        <v>973</v>
      </c>
      <c r="K22" s="163" t="s">
        <v>974</v>
      </c>
      <c r="L22" s="164"/>
      <c r="M22" s="164"/>
      <c r="N22" s="164"/>
      <c r="O22" s="164"/>
      <c r="P22" s="164"/>
      <c r="Q22" s="164"/>
      <c r="R22" s="164"/>
      <c r="S22" s="164"/>
      <c r="T22" s="164"/>
      <c r="U22" s="164"/>
      <c r="V22" s="164"/>
      <c r="W22" s="164"/>
      <c r="X22" s="164"/>
      <c r="Y22" s="164"/>
      <c r="Z22" s="164"/>
      <c r="AA22" s="164"/>
    </row>
    <row r="23">
      <c r="A23" s="159" t="s">
        <v>195</v>
      </c>
      <c r="B23" s="159" t="s">
        <v>975</v>
      </c>
      <c r="C23" s="159" t="s">
        <v>976</v>
      </c>
      <c r="D23" s="159" t="s">
        <v>977</v>
      </c>
      <c r="E23" s="159" t="s">
        <v>970</v>
      </c>
      <c r="F23" s="159" t="s">
        <v>978</v>
      </c>
      <c r="G23" s="159" t="s">
        <v>979</v>
      </c>
      <c r="H23" s="167" t="s">
        <v>35</v>
      </c>
      <c r="I23" s="161" t="s">
        <v>36</v>
      </c>
      <c r="J23" s="166" t="s">
        <v>980</v>
      </c>
      <c r="K23" s="163" t="s">
        <v>974</v>
      </c>
      <c r="L23" s="164"/>
      <c r="M23" s="164"/>
      <c r="N23" s="164"/>
      <c r="O23" s="164"/>
      <c r="P23" s="164"/>
      <c r="Q23" s="164"/>
      <c r="R23" s="164"/>
      <c r="S23" s="164"/>
      <c r="T23" s="164"/>
      <c r="U23" s="164"/>
      <c r="V23" s="164"/>
      <c r="W23" s="164"/>
      <c r="X23" s="164"/>
      <c r="Y23" s="164"/>
      <c r="Z23" s="164"/>
      <c r="AA23" s="164"/>
    </row>
    <row r="24">
      <c r="A24" s="159" t="s">
        <v>195</v>
      </c>
      <c r="B24" s="159" t="s">
        <v>981</v>
      </c>
      <c r="C24" s="159" t="s">
        <v>982</v>
      </c>
      <c r="D24" s="159" t="s">
        <v>983</v>
      </c>
      <c r="E24" s="159" t="s">
        <v>970</v>
      </c>
      <c r="F24" s="159" t="s">
        <v>984</v>
      </c>
      <c r="G24" s="159" t="s">
        <v>985</v>
      </c>
      <c r="H24" s="167" t="s">
        <v>35</v>
      </c>
      <c r="I24" s="161" t="s">
        <v>36</v>
      </c>
      <c r="J24" s="166" t="s">
        <v>986</v>
      </c>
      <c r="K24" s="163" t="s">
        <v>974</v>
      </c>
      <c r="L24" s="164"/>
      <c r="M24" s="164"/>
      <c r="N24" s="164"/>
      <c r="O24" s="164"/>
      <c r="P24" s="164"/>
      <c r="Q24" s="164"/>
      <c r="R24" s="164"/>
      <c r="S24" s="164"/>
      <c r="T24" s="164"/>
      <c r="U24" s="164"/>
      <c r="V24" s="164"/>
      <c r="W24" s="164"/>
      <c r="X24" s="164"/>
      <c r="Y24" s="164"/>
      <c r="Z24" s="164"/>
      <c r="AA24" s="164"/>
    </row>
    <row r="25">
      <c r="A25" s="159" t="s">
        <v>195</v>
      </c>
      <c r="B25" s="159" t="s">
        <v>987</v>
      </c>
      <c r="C25" s="159" t="s">
        <v>988</v>
      </c>
      <c r="D25" s="159" t="s">
        <v>989</v>
      </c>
      <c r="E25" s="159" t="s">
        <v>938</v>
      </c>
      <c r="F25" s="159" t="s">
        <v>990</v>
      </c>
      <c r="G25" s="159" t="s">
        <v>991</v>
      </c>
      <c r="H25" s="167" t="s">
        <v>35</v>
      </c>
      <c r="I25" s="161" t="s">
        <v>111</v>
      </c>
      <c r="J25" s="166" t="s">
        <v>992</v>
      </c>
      <c r="K25" s="168" t="s">
        <v>111</v>
      </c>
      <c r="L25" s="164"/>
      <c r="M25" s="164"/>
      <c r="N25" s="164"/>
      <c r="O25" s="164"/>
      <c r="P25" s="164"/>
      <c r="Q25" s="164"/>
      <c r="R25" s="164"/>
      <c r="S25" s="164"/>
      <c r="T25" s="164"/>
      <c r="U25" s="164"/>
      <c r="V25" s="164"/>
      <c r="W25" s="164"/>
      <c r="X25" s="164"/>
      <c r="Y25" s="164"/>
      <c r="Z25" s="164"/>
      <c r="AA25" s="164"/>
    </row>
    <row r="26">
      <c r="A26" s="159" t="s">
        <v>195</v>
      </c>
      <c r="B26" s="159" t="s">
        <v>993</v>
      </c>
      <c r="C26" s="159" t="s">
        <v>994</v>
      </c>
      <c r="D26" s="159" t="s">
        <v>995</v>
      </c>
      <c r="E26" s="159" t="s">
        <v>996</v>
      </c>
      <c r="F26" s="159" t="s">
        <v>997</v>
      </c>
      <c r="G26" s="159" t="s">
        <v>998</v>
      </c>
      <c r="H26" s="167" t="s">
        <v>35</v>
      </c>
      <c r="I26" s="161" t="s">
        <v>111</v>
      </c>
      <c r="J26" s="166" t="s">
        <v>999</v>
      </c>
      <c r="K26" s="168" t="s">
        <v>111</v>
      </c>
      <c r="L26" s="164"/>
      <c r="M26" s="164"/>
      <c r="N26" s="164"/>
      <c r="O26" s="164"/>
      <c r="P26" s="164"/>
      <c r="Q26" s="164"/>
      <c r="R26" s="164"/>
      <c r="S26" s="164"/>
      <c r="T26" s="164"/>
      <c r="U26" s="164"/>
      <c r="V26" s="164"/>
      <c r="W26" s="164"/>
      <c r="X26" s="164"/>
      <c r="Y26" s="164"/>
      <c r="Z26" s="164"/>
      <c r="AA26" s="164"/>
    </row>
    <row r="27">
      <c r="A27" s="159" t="s">
        <v>195</v>
      </c>
      <c r="B27" s="159" t="s">
        <v>1000</v>
      </c>
      <c r="C27" s="159" t="s">
        <v>1001</v>
      </c>
      <c r="D27" s="159" t="s">
        <v>1002</v>
      </c>
      <c r="E27" s="159" t="s">
        <v>938</v>
      </c>
      <c r="F27" s="159" t="s">
        <v>1003</v>
      </c>
      <c r="G27" s="159" t="s">
        <v>1004</v>
      </c>
      <c r="H27" s="167" t="s">
        <v>35</v>
      </c>
      <c r="I27" s="161" t="s">
        <v>36</v>
      </c>
      <c r="J27" s="166" t="s">
        <v>1005</v>
      </c>
      <c r="K27" s="163" t="s">
        <v>36</v>
      </c>
      <c r="L27" s="164"/>
      <c r="M27" s="164"/>
      <c r="N27" s="164"/>
      <c r="O27" s="164"/>
      <c r="P27" s="164"/>
      <c r="Q27" s="164"/>
      <c r="R27" s="164"/>
      <c r="S27" s="164"/>
      <c r="T27" s="164"/>
      <c r="U27" s="164"/>
      <c r="V27" s="164"/>
      <c r="W27" s="164"/>
      <c r="X27" s="164"/>
      <c r="Y27" s="164"/>
      <c r="Z27" s="164"/>
      <c r="AA27" s="164"/>
    </row>
    <row r="28">
      <c r="A28" s="159" t="s">
        <v>195</v>
      </c>
      <c r="B28" s="159" t="s">
        <v>1006</v>
      </c>
      <c r="C28" s="159" t="s">
        <v>1007</v>
      </c>
      <c r="D28" s="159" t="s">
        <v>1008</v>
      </c>
      <c r="E28" s="159" t="s">
        <v>882</v>
      </c>
      <c r="F28" s="159" t="s">
        <v>1009</v>
      </c>
      <c r="G28" s="159" t="s">
        <v>1010</v>
      </c>
      <c r="H28" s="167" t="s">
        <v>35</v>
      </c>
      <c r="I28" s="161" t="s">
        <v>36</v>
      </c>
      <c r="J28" s="166" t="s">
        <v>1005</v>
      </c>
      <c r="K28" s="163" t="s">
        <v>36</v>
      </c>
      <c r="L28" s="164"/>
      <c r="M28" s="164"/>
      <c r="N28" s="164"/>
      <c r="O28" s="164"/>
      <c r="P28" s="164"/>
      <c r="Q28" s="164"/>
      <c r="R28" s="164"/>
      <c r="S28" s="164"/>
      <c r="T28" s="164"/>
      <c r="U28" s="164"/>
      <c r="V28" s="164"/>
      <c r="W28" s="164"/>
      <c r="X28" s="164"/>
      <c r="Y28" s="164"/>
      <c r="Z28" s="164"/>
      <c r="AA28" s="164"/>
    </row>
    <row r="29">
      <c r="A29" s="159" t="s">
        <v>195</v>
      </c>
      <c r="B29" s="159" t="s">
        <v>1011</v>
      </c>
      <c r="C29" s="159" t="s">
        <v>1012</v>
      </c>
      <c r="D29" s="159" t="s">
        <v>1013</v>
      </c>
      <c r="E29" s="159" t="s">
        <v>938</v>
      </c>
      <c r="F29" s="159" t="s">
        <v>1014</v>
      </c>
      <c r="G29" s="159" t="s">
        <v>1015</v>
      </c>
      <c r="H29" s="167" t="s">
        <v>35</v>
      </c>
      <c r="I29" s="161" t="s">
        <v>36</v>
      </c>
      <c r="J29" s="166" t="s">
        <v>1016</v>
      </c>
      <c r="K29" s="163" t="s">
        <v>36</v>
      </c>
      <c r="L29" s="164"/>
      <c r="M29" s="164"/>
      <c r="N29" s="164"/>
      <c r="O29" s="164"/>
      <c r="P29" s="164"/>
      <c r="Q29" s="164"/>
      <c r="R29" s="164"/>
      <c r="S29" s="164"/>
      <c r="T29" s="164"/>
      <c r="U29" s="164"/>
      <c r="V29" s="164"/>
      <c r="W29" s="164"/>
      <c r="X29" s="164"/>
      <c r="Y29" s="164"/>
      <c r="Z29" s="164"/>
      <c r="AA29" s="164"/>
    </row>
    <row r="30">
      <c r="A30" s="159" t="s">
        <v>195</v>
      </c>
      <c r="B30" s="159" t="s">
        <v>1017</v>
      </c>
      <c r="C30" s="159" t="s">
        <v>1018</v>
      </c>
      <c r="D30" s="159" t="s">
        <v>1019</v>
      </c>
      <c r="E30" s="159" t="s">
        <v>938</v>
      </c>
      <c r="F30" s="159" t="s">
        <v>1020</v>
      </c>
      <c r="G30" s="159" t="s">
        <v>1015</v>
      </c>
      <c r="H30" s="167" t="s">
        <v>35</v>
      </c>
      <c r="I30" s="161" t="s">
        <v>36</v>
      </c>
      <c r="J30" s="166" t="s">
        <v>1016</v>
      </c>
      <c r="K30" s="163" t="s">
        <v>36</v>
      </c>
      <c r="L30" s="164"/>
      <c r="M30" s="164"/>
      <c r="N30" s="164"/>
      <c r="O30" s="164"/>
      <c r="P30" s="164"/>
      <c r="Q30" s="164"/>
      <c r="R30" s="164"/>
      <c r="S30" s="164"/>
      <c r="T30" s="164"/>
      <c r="U30" s="164"/>
      <c r="V30" s="164"/>
      <c r="W30" s="164"/>
      <c r="X30" s="164"/>
      <c r="Y30" s="164"/>
      <c r="Z30" s="164"/>
      <c r="AA30" s="164"/>
    </row>
    <row r="31">
      <c r="A31" s="159" t="s">
        <v>195</v>
      </c>
      <c r="B31" s="159" t="s">
        <v>1021</v>
      </c>
      <c r="C31" s="159" t="s">
        <v>1022</v>
      </c>
      <c r="D31" s="159" t="s">
        <v>1023</v>
      </c>
      <c r="E31" s="159" t="s">
        <v>1024</v>
      </c>
      <c r="F31" s="159" t="s">
        <v>1025</v>
      </c>
      <c r="G31" s="159" t="s">
        <v>1026</v>
      </c>
      <c r="H31" s="167" t="s">
        <v>35</v>
      </c>
      <c r="I31" s="161" t="s">
        <v>36</v>
      </c>
      <c r="J31" s="166" t="s">
        <v>1027</v>
      </c>
      <c r="K31" s="163" t="s">
        <v>36</v>
      </c>
      <c r="L31" s="164"/>
      <c r="M31" s="164"/>
      <c r="N31" s="164"/>
      <c r="O31" s="164"/>
      <c r="P31" s="164"/>
      <c r="Q31" s="164"/>
      <c r="R31" s="164"/>
      <c r="S31" s="164"/>
      <c r="T31" s="164"/>
      <c r="U31" s="164"/>
      <c r="V31" s="164"/>
      <c r="W31" s="164"/>
      <c r="X31" s="164"/>
      <c r="Y31" s="164"/>
      <c r="Z31" s="164"/>
      <c r="AA31" s="164"/>
    </row>
    <row r="32">
      <c r="A32" s="159" t="s">
        <v>195</v>
      </c>
      <c r="B32" s="159" t="s">
        <v>1028</v>
      </c>
      <c r="C32" s="159" t="s">
        <v>1029</v>
      </c>
      <c r="D32" s="159" t="s">
        <v>1030</v>
      </c>
      <c r="E32" s="159" t="s">
        <v>1024</v>
      </c>
      <c r="F32" s="159" t="s">
        <v>1031</v>
      </c>
      <c r="G32" s="159" t="s">
        <v>1032</v>
      </c>
      <c r="H32" s="167" t="s">
        <v>35</v>
      </c>
      <c r="I32" s="161" t="s">
        <v>36</v>
      </c>
      <c r="J32" s="166" t="s">
        <v>1027</v>
      </c>
      <c r="K32" s="163" t="s">
        <v>36</v>
      </c>
      <c r="L32" s="164"/>
      <c r="M32" s="164"/>
      <c r="N32" s="164"/>
      <c r="O32" s="164"/>
      <c r="P32" s="164"/>
      <c r="Q32" s="164"/>
      <c r="R32" s="164"/>
      <c r="S32" s="164"/>
      <c r="T32" s="164"/>
      <c r="U32" s="164"/>
      <c r="V32" s="164"/>
      <c r="W32" s="164"/>
      <c r="X32" s="164"/>
      <c r="Y32" s="164"/>
      <c r="Z32" s="164"/>
      <c r="AA32" s="164"/>
    </row>
    <row r="33">
      <c r="A33" s="159" t="s">
        <v>195</v>
      </c>
      <c r="B33" s="159" t="s">
        <v>1033</v>
      </c>
      <c r="C33" s="159" t="s">
        <v>1034</v>
      </c>
      <c r="D33" s="159" t="s">
        <v>1035</v>
      </c>
      <c r="E33" s="159" t="s">
        <v>847</v>
      </c>
      <c r="F33" s="159" t="s">
        <v>1036</v>
      </c>
      <c r="G33" s="159" t="s">
        <v>1037</v>
      </c>
      <c r="H33" s="159" t="s">
        <v>35</v>
      </c>
      <c r="I33" s="161" t="s">
        <v>36</v>
      </c>
      <c r="J33" s="166" t="s">
        <v>1027</v>
      </c>
      <c r="K33" s="163" t="s">
        <v>36</v>
      </c>
      <c r="L33" s="164"/>
      <c r="M33" s="164"/>
      <c r="N33" s="164"/>
      <c r="O33" s="164"/>
      <c r="P33" s="164"/>
      <c r="Q33" s="164"/>
      <c r="R33" s="164"/>
      <c r="S33" s="164"/>
      <c r="T33" s="164"/>
      <c r="U33" s="164"/>
      <c r="V33" s="164"/>
      <c r="W33" s="164"/>
      <c r="X33" s="164"/>
      <c r="Y33" s="164"/>
      <c r="Z33" s="164"/>
      <c r="AA33" s="164"/>
    </row>
    <row r="34">
      <c r="A34" s="159" t="s">
        <v>195</v>
      </c>
      <c r="B34" s="159" t="s">
        <v>1038</v>
      </c>
      <c r="C34" s="159" t="s">
        <v>1039</v>
      </c>
      <c r="D34" s="159" t="s">
        <v>1040</v>
      </c>
      <c r="E34" s="159" t="s">
        <v>1041</v>
      </c>
      <c r="F34" s="159" t="s">
        <v>1042</v>
      </c>
      <c r="G34" s="159" t="s">
        <v>1043</v>
      </c>
      <c r="H34" s="159" t="s">
        <v>35</v>
      </c>
      <c r="I34" s="161" t="s">
        <v>36</v>
      </c>
      <c r="J34" s="166" t="s">
        <v>1044</v>
      </c>
      <c r="K34" s="163" t="s">
        <v>1045</v>
      </c>
      <c r="L34" s="164"/>
      <c r="M34" s="164"/>
      <c r="N34" s="164"/>
      <c r="O34" s="164"/>
      <c r="P34" s="164"/>
      <c r="Q34" s="164"/>
      <c r="R34" s="164"/>
      <c r="S34" s="164"/>
      <c r="T34" s="164"/>
      <c r="U34" s="164"/>
      <c r="V34" s="164"/>
      <c r="W34" s="164"/>
      <c r="X34" s="164"/>
      <c r="Y34" s="164"/>
      <c r="Z34" s="164"/>
      <c r="AA34" s="164"/>
    </row>
    <row r="35">
      <c r="A35" s="159" t="s">
        <v>195</v>
      </c>
      <c r="B35" s="159" t="s">
        <v>1046</v>
      </c>
      <c r="C35" s="159" t="s">
        <v>1047</v>
      </c>
      <c r="D35" s="159" t="s">
        <v>1048</v>
      </c>
      <c r="E35" s="159" t="s">
        <v>1049</v>
      </c>
      <c r="F35" s="159" t="s">
        <v>1050</v>
      </c>
      <c r="G35" s="159" t="s">
        <v>1051</v>
      </c>
      <c r="H35" s="159" t="s">
        <v>35</v>
      </c>
      <c r="I35" s="161" t="s">
        <v>36</v>
      </c>
      <c r="J35" s="166" t="s">
        <v>1052</v>
      </c>
      <c r="K35" s="163" t="s">
        <v>36</v>
      </c>
      <c r="L35" s="164"/>
      <c r="M35" s="164"/>
      <c r="N35" s="164"/>
      <c r="O35" s="164"/>
      <c r="P35" s="164"/>
      <c r="Q35" s="164"/>
      <c r="R35" s="164"/>
      <c r="S35" s="164"/>
      <c r="T35" s="164"/>
      <c r="U35" s="164"/>
      <c r="V35" s="164"/>
      <c r="W35" s="164"/>
      <c r="X35" s="164"/>
      <c r="Y35" s="164"/>
      <c r="Z35" s="164"/>
      <c r="AA35" s="164"/>
    </row>
    <row r="36">
      <c r="A36" s="159" t="s">
        <v>195</v>
      </c>
      <c r="B36" s="159" t="s">
        <v>1053</v>
      </c>
      <c r="C36" s="159" t="s">
        <v>1054</v>
      </c>
      <c r="D36" s="159" t="s">
        <v>1055</v>
      </c>
      <c r="E36" s="159" t="s">
        <v>1056</v>
      </c>
      <c r="F36" s="159" t="s">
        <v>1057</v>
      </c>
      <c r="G36" s="159" t="s">
        <v>1058</v>
      </c>
      <c r="H36" s="159" t="s">
        <v>35</v>
      </c>
      <c r="I36" s="161" t="s">
        <v>36</v>
      </c>
      <c r="J36" s="166" t="s">
        <v>1052</v>
      </c>
      <c r="K36" s="169" t="s">
        <v>1059</v>
      </c>
    </row>
    <row r="37">
      <c r="A37" s="159" t="s">
        <v>195</v>
      </c>
      <c r="B37" s="159" t="s">
        <v>1060</v>
      </c>
      <c r="C37" s="159" t="s">
        <v>1054</v>
      </c>
      <c r="D37" s="159" t="s">
        <v>1061</v>
      </c>
      <c r="E37" s="159" t="s">
        <v>1062</v>
      </c>
      <c r="F37" s="159" t="s">
        <v>1063</v>
      </c>
      <c r="G37" s="159" t="s">
        <v>1064</v>
      </c>
      <c r="H37" s="159" t="s">
        <v>35</v>
      </c>
      <c r="I37" s="161" t="s">
        <v>36</v>
      </c>
      <c r="J37" s="166" t="s">
        <v>1065</v>
      </c>
      <c r="K37" s="170" t="s">
        <v>1066</v>
      </c>
    </row>
    <row r="38">
      <c r="A38" s="159" t="s">
        <v>195</v>
      </c>
      <c r="B38" s="159" t="s">
        <v>1067</v>
      </c>
      <c r="C38" s="159" t="s">
        <v>1068</v>
      </c>
      <c r="D38" s="159" t="s">
        <v>1069</v>
      </c>
      <c r="E38" s="159" t="s">
        <v>938</v>
      </c>
      <c r="F38" s="159" t="s">
        <v>1070</v>
      </c>
      <c r="G38" s="159" t="s">
        <v>1071</v>
      </c>
      <c r="H38" s="167" t="s">
        <v>35</v>
      </c>
      <c r="I38" s="161" t="s">
        <v>111</v>
      </c>
      <c r="J38" s="166" t="s">
        <v>1072</v>
      </c>
      <c r="K38" s="168" t="s">
        <v>111</v>
      </c>
      <c r="L38" s="164"/>
      <c r="M38" s="164"/>
      <c r="N38" s="164"/>
      <c r="O38" s="164"/>
      <c r="P38" s="164"/>
      <c r="Q38" s="164"/>
      <c r="R38" s="164"/>
      <c r="S38" s="164"/>
      <c r="T38" s="164"/>
      <c r="U38" s="164"/>
      <c r="V38" s="164"/>
      <c r="W38" s="164"/>
      <c r="X38" s="164"/>
      <c r="Y38" s="164"/>
      <c r="Z38" s="164"/>
      <c r="AA38" s="164"/>
    </row>
    <row r="39">
      <c r="A39" s="159" t="s">
        <v>355</v>
      </c>
      <c r="B39" s="159" t="s">
        <v>1073</v>
      </c>
      <c r="C39" s="159" t="s">
        <v>1074</v>
      </c>
      <c r="D39" s="159" t="s">
        <v>1075</v>
      </c>
      <c r="E39" s="159" t="s">
        <v>1076</v>
      </c>
      <c r="F39" s="159" t="s">
        <v>1077</v>
      </c>
      <c r="G39" s="159" t="s">
        <v>1078</v>
      </c>
      <c r="H39" s="167" t="s">
        <v>35</v>
      </c>
      <c r="I39" s="161" t="s">
        <v>36</v>
      </c>
      <c r="J39" s="166" t="s">
        <v>1079</v>
      </c>
      <c r="K39" s="163" t="s">
        <v>36</v>
      </c>
      <c r="L39" s="164"/>
      <c r="M39" s="164"/>
      <c r="N39" s="164"/>
      <c r="O39" s="164"/>
      <c r="P39" s="164"/>
      <c r="Q39" s="164"/>
      <c r="R39" s="164"/>
      <c r="S39" s="164"/>
      <c r="T39" s="164"/>
      <c r="U39" s="164"/>
      <c r="V39" s="164"/>
      <c r="W39" s="164"/>
      <c r="X39" s="164"/>
      <c r="Y39" s="164"/>
      <c r="Z39" s="164"/>
      <c r="AA39" s="164"/>
    </row>
    <row r="40">
      <c r="A40" s="159" t="s">
        <v>355</v>
      </c>
      <c r="B40" s="159" t="s">
        <v>1080</v>
      </c>
      <c r="C40" s="159" t="s">
        <v>1081</v>
      </c>
      <c r="D40" s="159" t="s">
        <v>1082</v>
      </c>
      <c r="E40" s="159" t="s">
        <v>938</v>
      </c>
      <c r="F40" s="159" t="s">
        <v>1083</v>
      </c>
      <c r="G40" s="159" t="s">
        <v>1084</v>
      </c>
      <c r="H40" s="167" t="s">
        <v>35</v>
      </c>
      <c r="I40" s="161" t="s">
        <v>111</v>
      </c>
      <c r="J40" s="166" t="s">
        <v>1085</v>
      </c>
      <c r="K40" s="163" t="s">
        <v>1086</v>
      </c>
      <c r="L40" s="164"/>
      <c r="M40" s="164"/>
      <c r="N40" s="164"/>
      <c r="O40" s="164"/>
      <c r="P40" s="164"/>
      <c r="Q40" s="164"/>
      <c r="R40" s="164"/>
      <c r="S40" s="164"/>
      <c r="T40" s="164"/>
      <c r="U40" s="164"/>
      <c r="V40" s="164"/>
      <c r="W40" s="164"/>
      <c r="X40" s="164"/>
      <c r="Y40" s="164"/>
      <c r="Z40" s="164"/>
      <c r="AA40" s="164"/>
    </row>
    <row r="41">
      <c r="A41" s="159" t="s">
        <v>355</v>
      </c>
      <c r="B41" s="159" t="s">
        <v>1087</v>
      </c>
      <c r="C41" s="159" t="s">
        <v>1088</v>
      </c>
      <c r="D41" s="159" t="s">
        <v>1089</v>
      </c>
      <c r="E41" s="159" t="s">
        <v>1090</v>
      </c>
      <c r="F41" s="159" t="s">
        <v>1091</v>
      </c>
      <c r="G41" s="159" t="s">
        <v>1092</v>
      </c>
      <c r="H41" s="167" t="s">
        <v>35</v>
      </c>
      <c r="I41" s="161" t="s">
        <v>36</v>
      </c>
      <c r="J41" s="166" t="s">
        <v>1093</v>
      </c>
      <c r="K41" s="163" t="s">
        <v>36</v>
      </c>
      <c r="L41" s="164"/>
      <c r="M41" s="164"/>
      <c r="N41" s="164"/>
      <c r="O41" s="164"/>
      <c r="P41" s="164"/>
      <c r="Q41" s="164"/>
      <c r="R41" s="164"/>
      <c r="S41" s="164"/>
      <c r="T41" s="164"/>
      <c r="U41" s="164"/>
      <c r="V41" s="164"/>
      <c r="W41" s="164"/>
      <c r="X41" s="164"/>
      <c r="Y41" s="164"/>
      <c r="Z41" s="164"/>
      <c r="AA41" s="164"/>
    </row>
    <row r="42">
      <c r="A42" s="159" t="s">
        <v>413</v>
      </c>
      <c r="B42" s="159" t="s">
        <v>1094</v>
      </c>
      <c r="C42" s="159" t="s">
        <v>1095</v>
      </c>
      <c r="D42" s="159" t="s">
        <v>1096</v>
      </c>
      <c r="E42" s="159" t="s">
        <v>1076</v>
      </c>
      <c r="F42" s="159" t="s">
        <v>1097</v>
      </c>
      <c r="G42" s="159" t="s">
        <v>1098</v>
      </c>
      <c r="H42" s="167" t="s">
        <v>35</v>
      </c>
      <c r="I42" s="161" t="s">
        <v>111</v>
      </c>
      <c r="J42" s="166" t="s">
        <v>1099</v>
      </c>
      <c r="K42" s="163" t="s">
        <v>1086</v>
      </c>
      <c r="L42" s="164"/>
      <c r="M42" s="164"/>
      <c r="N42" s="164"/>
      <c r="O42" s="164"/>
      <c r="P42" s="164"/>
      <c r="Q42" s="164"/>
      <c r="R42" s="164"/>
      <c r="S42" s="164"/>
      <c r="T42" s="164"/>
      <c r="U42" s="164"/>
      <c r="V42" s="164"/>
      <c r="W42" s="164"/>
      <c r="X42" s="164"/>
      <c r="Y42" s="164"/>
      <c r="Z42" s="164"/>
      <c r="AA42" s="164"/>
    </row>
    <row r="43">
      <c r="A43" s="159" t="s">
        <v>413</v>
      </c>
      <c r="B43" s="159" t="s">
        <v>1100</v>
      </c>
      <c r="C43" s="159" t="s">
        <v>1101</v>
      </c>
      <c r="D43" s="159" t="s">
        <v>1102</v>
      </c>
      <c r="E43" s="159" t="s">
        <v>938</v>
      </c>
      <c r="F43" s="159" t="s">
        <v>1103</v>
      </c>
      <c r="G43" s="159" t="s">
        <v>1104</v>
      </c>
      <c r="H43" s="167" t="s">
        <v>35</v>
      </c>
      <c r="I43" s="161" t="s">
        <v>36</v>
      </c>
      <c r="J43" s="166" t="s">
        <v>1099</v>
      </c>
      <c r="K43" s="163" t="s">
        <v>36</v>
      </c>
      <c r="L43" s="164"/>
      <c r="M43" s="164"/>
      <c r="N43" s="164"/>
      <c r="O43" s="164"/>
      <c r="P43" s="164"/>
      <c r="Q43" s="164"/>
      <c r="R43" s="164"/>
      <c r="S43" s="164"/>
      <c r="T43" s="164"/>
      <c r="U43" s="164"/>
      <c r="V43" s="164"/>
      <c r="W43" s="164"/>
      <c r="X43" s="164"/>
      <c r="Y43" s="164"/>
      <c r="Z43" s="164"/>
      <c r="AA43" s="164"/>
    </row>
    <row r="44">
      <c r="A44" s="159" t="s">
        <v>413</v>
      </c>
      <c r="B44" s="159" t="s">
        <v>1105</v>
      </c>
      <c r="C44" s="159" t="s">
        <v>1106</v>
      </c>
      <c r="D44" s="159" t="s">
        <v>1107</v>
      </c>
      <c r="E44" s="159" t="s">
        <v>938</v>
      </c>
      <c r="F44" s="159" t="s">
        <v>1108</v>
      </c>
      <c r="G44" s="159" t="s">
        <v>1109</v>
      </c>
      <c r="H44" s="167" t="s">
        <v>35</v>
      </c>
      <c r="I44" s="161" t="s">
        <v>111</v>
      </c>
      <c r="J44" s="166" t="s">
        <v>1099</v>
      </c>
      <c r="K44" s="163" t="s">
        <v>1086</v>
      </c>
      <c r="L44" s="164"/>
      <c r="M44" s="164"/>
      <c r="N44" s="164"/>
      <c r="O44" s="164"/>
      <c r="P44" s="164"/>
      <c r="Q44" s="164"/>
      <c r="R44" s="164"/>
      <c r="S44" s="164"/>
      <c r="T44" s="164"/>
      <c r="U44" s="164"/>
      <c r="V44" s="164"/>
      <c r="W44" s="164"/>
      <c r="X44" s="164"/>
      <c r="Y44" s="164"/>
      <c r="Z44" s="164"/>
      <c r="AA44" s="164"/>
    </row>
    <row r="45">
      <c r="A45" s="159" t="s">
        <v>413</v>
      </c>
      <c r="B45" s="159" t="s">
        <v>1110</v>
      </c>
      <c r="C45" s="159" t="s">
        <v>1111</v>
      </c>
      <c r="D45" s="159" t="s">
        <v>1112</v>
      </c>
      <c r="E45" s="159" t="s">
        <v>938</v>
      </c>
      <c r="F45" s="159" t="s">
        <v>1113</v>
      </c>
      <c r="G45" s="159" t="s">
        <v>1114</v>
      </c>
      <c r="H45" s="167" t="s">
        <v>35</v>
      </c>
      <c r="I45" s="161" t="s">
        <v>36</v>
      </c>
      <c r="J45" s="166" t="s">
        <v>1099</v>
      </c>
      <c r="K45" s="163" t="s">
        <v>36</v>
      </c>
      <c r="L45" s="164"/>
      <c r="M45" s="164"/>
      <c r="N45" s="164"/>
      <c r="O45" s="164"/>
      <c r="P45" s="164"/>
      <c r="Q45" s="164"/>
      <c r="R45" s="164"/>
      <c r="S45" s="164"/>
      <c r="T45" s="164"/>
      <c r="U45" s="164"/>
      <c r="V45" s="164"/>
      <c r="W45" s="164"/>
      <c r="X45" s="164"/>
      <c r="Y45" s="164"/>
      <c r="Z45" s="164"/>
      <c r="AA45" s="164"/>
    </row>
    <row r="46">
      <c r="A46" s="159" t="s">
        <v>413</v>
      </c>
      <c r="B46" s="159" t="s">
        <v>1115</v>
      </c>
      <c r="C46" s="159" t="s">
        <v>1116</v>
      </c>
      <c r="D46" s="159" t="s">
        <v>1117</v>
      </c>
      <c r="E46" s="159" t="s">
        <v>1118</v>
      </c>
      <c r="F46" s="159" t="s">
        <v>1119</v>
      </c>
      <c r="G46" s="159" t="s">
        <v>1120</v>
      </c>
      <c r="H46" s="167" t="s">
        <v>35</v>
      </c>
      <c r="I46" s="161" t="s">
        <v>36</v>
      </c>
      <c r="J46" s="166" t="s">
        <v>1121</v>
      </c>
      <c r="K46" s="163" t="s">
        <v>36</v>
      </c>
      <c r="L46" s="164"/>
      <c r="M46" s="164"/>
      <c r="N46" s="164"/>
      <c r="O46" s="164"/>
      <c r="P46" s="164"/>
      <c r="Q46" s="164"/>
      <c r="R46" s="164"/>
      <c r="S46" s="164"/>
      <c r="T46" s="164"/>
      <c r="U46" s="164"/>
      <c r="V46" s="164"/>
      <c r="W46" s="164"/>
      <c r="X46" s="164"/>
      <c r="Y46" s="164"/>
      <c r="Z46" s="164"/>
      <c r="AA46" s="164"/>
    </row>
    <row r="47">
      <c r="A47" s="159" t="s">
        <v>413</v>
      </c>
      <c r="B47" s="159" t="s">
        <v>1122</v>
      </c>
      <c r="C47" s="159" t="s">
        <v>1123</v>
      </c>
      <c r="D47" s="159" t="s">
        <v>1124</v>
      </c>
      <c r="E47" s="159" t="s">
        <v>938</v>
      </c>
      <c r="F47" s="159" t="s">
        <v>1125</v>
      </c>
      <c r="G47" s="159" t="s">
        <v>1126</v>
      </c>
      <c r="H47" s="167" t="s">
        <v>35</v>
      </c>
      <c r="I47" s="161" t="s">
        <v>36</v>
      </c>
      <c r="J47" s="166" t="s">
        <v>1127</v>
      </c>
      <c r="K47" s="163" t="s">
        <v>36</v>
      </c>
      <c r="L47" s="164"/>
      <c r="M47" s="164"/>
      <c r="N47" s="164"/>
      <c r="O47" s="164"/>
      <c r="P47" s="164"/>
      <c r="Q47" s="164"/>
      <c r="R47" s="164"/>
      <c r="S47" s="164"/>
      <c r="T47" s="164"/>
      <c r="U47" s="164"/>
      <c r="V47" s="164"/>
      <c r="W47" s="164"/>
      <c r="X47" s="164"/>
      <c r="Y47" s="164"/>
      <c r="Z47" s="164"/>
      <c r="AA47" s="164"/>
    </row>
    <row r="48">
      <c r="A48" s="159" t="s">
        <v>322</v>
      </c>
      <c r="B48" s="159" t="s">
        <v>1128</v>
      </c>
      <c r="C48" s="159" t="s">
        <v>1129</v>
      </c>
      <c r="D48" s="159" t="s">
        <v>1130</v>
      </c>
      <c r="E48" s="159" t="s">
        <v>920</v>
      </c>
      <c r="F48" s="159" t="s">
        <v>1131</v>
      </c>
      <c r="G48" s="159" t="s">
        <v>1132</v>
      </c>
      <c r="H48" s="167" t="s">
        <v>35</v>
      </c>
      <c r="I48" s="161" t="s">
        <v>111</v>
      </c>
      <c r="J48" s="166" t="s">
        <v>1133</v>
      </c>
      <c r="K48" s="163" t="s">
        <v>1086</v>
      </c>
      <c r="L48" s="164"/>
      <c r="M48" s="164"/>
      <c r="N48" s="164"/>
      <c r="O48" s="164"/>
      <c r="P48" s="164"/>
      <c r="Q48" s="164"/>
      <c r="R48" s="164"/>
      <c r="S48" s="164"/>
      <c r="T48" s="164"/>
      <c r="U48" s="164"/>
      <c r="V48" s="164"/>
      <c r="W48" s="164"/>
      <c r="X48" s="164"/>
      <c r="Y48" s="164"/>
      <c r="Z48" s="164"/>
      <c r="AA48" s="164"/>
    </row>
    <row r="49">
      <c r="A49" s="159" t="s">
        <v>322</v>
      </c>
      <c r="B49" s="159" t="s">
        <v>1134</v>
      </c>
      <c r="C49" s="159" t="s">
        <v>1135</v>
      </c>
      <c r="D49" s="159" t="s">
        <v>1136</v>
      </c>
      <c r="E49" s="159" t="s">
        <v>913</v>
      </c>
      <c r="F49" s="159" t="s">
        <v>1137</v>
      </c>
      <c r="G49" s="159" t="s">
        <v>1138</v>
      </c>
      <c r="H49" s="167" t="s">
        <v>35</v>
      </c>
      <c r="I49" s="161" t="s">
        <v>111</v>
      </c>
      <c r="J49" s="166" t="s">
        <v>1139</v>
      </c>
      <c r="K49" s="163" t="s">
        <v>1086</v>
      </c>
      <c r="L49" s="164"/>
      <c r="M49" s="164"/>
      <c r="N49" s="164"/>
      <c r="O49" s="164"/>
      <c r="P49" s="164"/>
      <c r="Q49" s="164"/>
      <c r="R49" s="164"/>
      <c r="S49" s="164"/>
      <c r="T49" s="164"/>
      <c r="U49" s="164"/>
      <c r="V49" s="164"/>
      <c r="W49" s="164"/>
      <c r="X49" s="164"/>
      <c r="Y49" s="164"/>
      <c r="Z49" s="164"/>
      <c r="AA49" s="164"/>
    </row>
    <row r="50">
      <c r="A50" s="159" t="s">
        <v>322</v>
      </c>
      <c r="B50" s="159" t="s">
        <v>1140</v>
      </c>
      <c r="C50" s="159" t="s">
        <v>1141</v>
      </c>
      <c r="D50" s="159" t="s">
        <v>1142</v>
      </c>
      <c r="E50" s="159" t="s">
        <v>882</v>
      </c>
      <c r="F50" s="159" t="s">
        <v>1143</v>
      </c>
      <c r="G50" s="159" t="s">
        <v>1144</v>
      </c>
      <c r="H50" s="167" t="s">
        <v>35</v>
      </c>
      <c r="I50" s="161" t="s">
        <v>36</v>
      </c>
      <c r="J50" s="166" t="s">
        <v>1145</v>
      </c>
      <c r="K50" s="169" t="s">
        <v>36</v>
      </c>
      <c r="L50" s="164"/>
      <c r="M50" s="164"/>
      <c r="N50" s="164"/>
      <c r="O50" s="164"/>
      <c r="P50" s="164"/>
      <c r="Q50" s="164"/>
      <c r="R50" s="164"/>
      <c r="S50" s="164"/>
      <c r="T50" s="164"/>
      <c r="U50" s="164"/>
      <c r="V50" s="164"/>
      <c r="W50" s="164"/>
      <c r="X50" s="164"/>
      <c r="Y50" s="164"/>
      <c r="Z50" s="164"/>
      <c r="AA50" s="164"/>
    </row>
    <row r="51">
      <c r="A51" s="159" t="s">
        <v>322</v>
      </c>
      <c r="B51" s="159" t="s">
        <v>1146</v>
      </c>
      <c r="C51" s="159" t="s">
        <v>1147</v>
      </c>
      <c r="D51" s="159" t="s">
        <v>1148</v>
      </c>
      <c r="E51" s="159" t="s">
        <v>882</v>
      </c>
      <c r="F51" s="159" t="s">
        <v>1149</v>
      </c>
      <c r="G51" s="159" t="s">
        <v>1150</v>
      </c>
      <c r="H51" s="167" t="s">
        <v>35</v>
      </c>
      <c r="I51" s="161" t="s">
        <v>36</v>
      </c>
      <c r="J51" s="166" t="s">
        <v>1151</v>
      </c>
      <c r="K51" s="163" t="s">
        <v>36</v>
      </c>
      <c r="L51" s="164"/>
      <c r="M51" s="164"/>
      <c r="N51" s="164"/>
      <c r="O51" s="164"/>
      <c r="P51" s="164"/>
      <c r="Q51" s="164"/>
      <c r="R51" s="164"/>
      <c r="S51" s="164"/>
      <c r="T51" s="164"/>
      <c r="U51" s="164"/>
      <c r="V51" s="164"/>
      <c r="W51" s="164"/>
      <c r="X51" s="164"/>
      <c r="Y51" s="164"/>
      <c r="Z51" s="164"/>
      <c r="AA51" s="164"/>
    </row>
    <row r="52">
      <c r="A52" s="159" t="s">
        <v>322</v>
      </c>
      <c r="B52" s="159" t="s">
        <v>1152</v>
      </c>
      <c r="C52" s="159" t="s">
        <v>1153</v>
      </c>
      <c r="D52" s="159" t="s">
        <v>1154</v>
      </c>
      <c r="E52" s="159" t="s">
        <v>926</v>
      </c>
      <c r="F52" s="159" t="s">
        <v>1155</v>
      </c>
      <c r="G52" s="159" t="s">
        <v>1156</v>
      </c>
      <c r="H52" s="165" t="s">
        <v>35</v>
      </c>
      <c r="I52" s="161" t="s">
        <v>111</v>
      </c>
      <c r="J52" s="166" t="s">
        <v>1157</v>
      </c>
      <c r="K52" s="168" t="s">
        <v>111</v>
      </c>
      <c r="L52" s="164"/>
      <c r="M52" s="164"/>
      <c r="N52" s="164"/>
      <c r="O52" s="164"/>
      <c r="P52" s="164"/>
      <c r="Q52" s="164"/>
      <c r="R52" s="164"/>
      <c r="S52" s="164"/>
      <c r="T52" s="164"/>
      <c r="U52" s="164"/>
      <c r="V52" s="164"/>
      <c r="W52" s="164"/>
      <c r="X52" s="164"/>
      <c r="Y52" s="164"/>
      <c r="Z52" s="164"/>
      <c r="AA52" s="164"/>
    </row>
    <row r="53">
      <c r="A53" s="159" t="s">
        <v>322</v>
      </c>
      <c r="B53" s="159" t="s">
        <v>1158</v>
      </c>
      <c r="C53" s="159" t="s">
        <v>1159</v>
      </c>
      <c r="D53" s="159" t="s">
        <v>1160</v>
      </c>
      <c r="E53" s="159" t="s">
        <v>938</v>
      </c>
      <c r="F53" s="159" t="s">
        <v>1161</v>
      </c>
      <c r="G53" s="159" t="s">
        <v>1162</v>
      </c>
      <c r="H53" s="165" t="s">
        <v>35</v>
      </c>
      <c r="I53" s="161" t="s">
        <v>36</v>
      </c>
      <c r="J53" s="166" t="s">
        <v>1163</v>
      </c>
      <c r="K53" s="163" t="s">
        <v>36</v>
      </c>
      <c r="L53" s="164"/>
      <c r="M53" s="164"/>
      <c r="N53" s="164"/>
      <c r="O53" s="164"/>
      <c r="P53" s="164"/>
      <c r="Q53" s="164"/>
      <c r="R53" s="164"/>
      <c r="S53" s="164"/>
      <c r="T53" s="164"/>
      <c r="U53" s="164"/>
      <c r="V53" s="164"/>
      <c r="W53" s="164"/>
      <c r="X53" s="164"/>
      <c r="Y53" s="164"/>
      <c r="Z53" s="164"/>
      <c r="AA53" s="164"/>
    </row>
    <row r="54">
      <c r="A54" s="159" t="s">
        <v>322</v>
      </c>
      <c r="B54" s="159" t="s">
        <v>1164</v>
      </c>
      <c r="C54" s="159" t="s">
        <v>1165</v>
      </c>
      <c r="D54" s="159" t="s">
        <v>1166</v>
      </c>
      <c r="E54" s="159" t="s">
        <v>945</v>
      </c>
      <c r="F54" s="159" t="s">
        <v>1167</v>
      </c>
      <c r="G54" s="159" t="s">
        <v>1168</v>
      </c>
      <c r="H54" s="165" t="s">
        <v>35</v>
      </c>
      <c r="I54" s="161" t="s">
        <v>111</v>
      </c>
      <c r="J54" s="166" t="s">
        <v>1163</v>
      </c>
      <c r="K54" s="163" t="s">
        <v>1086</v>
      </c>
      <c r="L54" s="164"/>
      <c r="M54" s="164"/>
      <c r="N54" s="164"/>
      <c r="O54" s="164"/>
      <c r="P54" s="164"/>
      <c r="Q54" s="164"/>
      <c r="R54" s="164"/>
      <c r="S54" s="164"/>
      <c r="T54" s="164"/>
      <c r="U54" s="164"/>
      <c r="V54" s="164"/>
      <c r="W54" s="164"/>
      <c r="X54" s="164"/>
      <c r="Y54" s="164"/>
      <c r="Z54" s="164"/>
      <c r="AA54" s="164"/>
    </row>
    <row r="55">
      <c r="A55" s="159" t="s">
        <v>383</v>
      </c>
      <c r="B55" s="159" t="s">
        <v>1169</v>
      </c>
      <c r="C55" s="159" t="s">
        <v>1170</v>
      </c>
      <c r="D55" s="159" t="s">
        <v>1171</v>
      </c>
      <c r="E55" s="159" t="s">
        <v>1076</v>
      </c>
      <c r="F55" s="159" t="s">
        <v>1172</v>
      </c>
      <c r="G55" s="159" t="s">
        <v>1173</v>
      </c>
      <c r="H55" s="165" t="s">
        <v>35</v>
      </c>
      <c r="I55" s="161" t="s">
        <v>36</v>
      </c>
      <c r="J55" s="166" t="s">
        <v>1174</v>
      </c>
      <c r="K55" s="163" t="s">
        <v>36</v>
      </c>
      <c r="L55" s="164"/>
      <c r="M55" s="164"/>
      <c r="N55" s="164"/>
      <c r="O55" s="164"/>
      <c r="P55" s="164"/>
      <c r="Q55" s="164"/>
      <c r="R55" s="164"/>
      <c r="S55" s="164"/>
      <c r="T55" s="164"/>
      <c r="U55" s="164"/>
      <c r="V55" s="164"/>
      <c r="W55" s="164"/>
      <c r="X55" s="164"/>
      <c r="Y55" s="164"/>
      <c r="Z55" s="164"/>
      <c r="AA55" s="164"/>
    </row>
    <row r="56">
      <c r="A56" s="159" t="s">
        <v>383</v>
      </c>
      <c r="B56" s="159" t="s">
        <v>1175</v>
      </c>
      <c r="C56" s="159" t="s">
        <v>1176</v>
      </c>
      <c r="D56" s="159" t="s">
        <v>1177</v>
      </c>
      <c r="E56" s="159" t="s">
        <v>882</v>
      </c>
      <c r="F56" s="159" t="s">
        <v>1178</v>
      </c>
      <c r="G56" s="159" t="s">
        <v>1179</v>
      </c>
      <c r="H56" s="165" t="s">
        <v>35</v>
      </c>
      <c r="I56" s="161" t="s">
        <v>36</v>
      </c>
      <c r="J56" s="166" t="s">
        <v>1180</v>
      </c>
      <c r="K56" s="163" t="s">
        <v>36</v>
      </c>
      <c r="L56" s="164"/>
      <c r="M56" s="164"/>
      <c r="N56" s="164"/>
      <c r="O56" s="164"/>
      <c r="P56" s="164"/>
      <c r="Q56" s="164"/>
      <c r="R56" s="164"/>
      <c r="S56" s="164"/>
      <c r="T56" s="164"/>
      <c r="U56" s="164"/>
      <c r="V56" s="164"/>
      <c r="W56" s="164"/>
      <c r="X56" s="164"/>
      <c r="Y56" s="164"/>
      <c r="Z56" s="164"/>
      <c r="AA56" s="164"/>
    </row>
    <row r="57">
      <c r="A57" s="159" t="s">
        <v>383</v>
      </c>
      <c r="B57" s="159" t="s">
        <v>1181</v>
      </c>
      <c r="C57" s="159" t="s">
        <v>1182</v>
      </c>
      <c r="D57" s="159" t="s">
        <v>1183</v>
      </c>
      <c r="E57" s="159" t="s">
        <v>920</v>
      </c>
      <c r="F57" s="159" t="s">
        <v>1184</v>
      </c>
      <c r="G57" s="159" t="s">
        <v>1185</v>
      </c>
      <c r="H57" s="165" t="s">
        <v>35</v>
      </c>
      <c r="I57" s="161" t="s">
        <v>36</v>
      </c>
      <c r="J57" s="166" t="s">
        <v>1186</v>
      </c>
      <c r="K57" s="163" t="s">
        <v>36</v>
      </c>
      <c r="L57" s="164"/>
      <c r="M57" s="164"/>
      <c r="N57" s="164"/>
      <c r="O57" s="164"/>
      <c r="P57" s="164"/>
      <c r="Q57" s="164"/>
      <c r="R57" s="164"/>
      <c r="S57" s="164"/>
      <c r="T57" s="164"/>
      <c r="U57" s="164"/>
      <c r="V57" s="164"/>
      <c r="W57" s="164"/>
      <c r="X57" s="164"/>
      <c r="Y57" s="164"/>
      <c r="Z57" s="164"/>
      <c r="AA57" s="164"/>
    </row>
    <row r="58">
      <c r="A58" s="159" t="s">
        <v>383</v>
      </c>
      <c r="B58" s="159" t="s">
        <v>1187</v>
      </c>
      <c r="C58" s="159" t="s">
        <v>1188</v>
      </c>
      <c r="D58" s="159" t="s">
        <v>1189</v>
      </c>
      <c r="E58" s="159" t="s">
        <v>938</v>
      </c>
      <c r="F58" s="159" t="s">
        <v>1190</v>
      </c>
      <c r="G58" s="159" t="s">
        <v>1191</v>
      </c>
      <c r="H58" s="165" t="s">
        <v>35</v>
      </c>
      <c r="I58" s="161" t="s">
        <v>36</v>
      </c>
      <c r="J58" s="166" t="s">
        <v>1192</v>
      </c>
      <c r="K58" s="163" t="s">
        <v>36</v>
      </c>
      <c r="L58" s="164"/>
      <c r="M58" s="164"/>
      <c r="N58" s="164"/>
      <c r="O58" s="164"/>
      <c r="P58" s="164"/>
      <c r="Q58" s="164"/>
      <c r="R58" s="164"/>
      <c r="S58" s="164"/>
      <c r="T58" s="164"/>
      <c r="U58" s="164"/>
      <c r="V58" s="164"/>
      <c r="W58" s="164"/>
      <c r="X58" s="164"/>
      <c r="Y58" s="164"/>
      <c r="Z58" s="164"/>
      <c r="AA58" s="164"/>
    </row>
    <row r="59">
      <c r="A59" s="159" t="s">
        <v>383</v>
      </c>
      <c r="B59" s="159" t="s">
        <v>1193</v>
      </c>
      <c r="C59" s="159" t="s">
        <v>1194</v>
      </c>
      <c r="D59" s="159" t="s">
        <v>1195</v>
      </c>
      <c r="E59" s="159" t="s">
        <v>945</v>
      </c>
      <c r="F59" s="159" t="s">
        <v>1196</v>
      </c>
      <c r="G59" s="159" t="s">
        <v>1197</v>
      </c>
      <c r="H59" s="165" t="s">
        <v>35</v>
      </c>
      <c r="I59" s="161" t="s">
        <v>111</v>
      </c>
      <c r="J59" s="166" t="s">
        <v>1192</v>
      </c>
      <c r="K59" s="163" t="s">
        <v>1086</v>
      </c>
      <c r="L59" s="164"/>
      <c r="M59" s="164"/>
      <c r="N59" s="164"/>
      <c r="O59" s="164"/>
      <c r="P59" s="164"/>
      <c r="Q59" s="164"/>
      <c r="R59" s="164"/>
      <c r="S59" s="164"/>
      <c r="T59" s="164"/>
      <c r="U59" s="164"/>
      <c r="V59" s="164"/>
      <c r="W59" s="164"/>
      <c r="X59" s="164"/>
      <c r="Y59" s="164"/>
      <c r="Z59" s="164"/>
      <c r="AA59" s="164"/>
    </row>
    <row r="60">
      <c r="A60" s="159" t="s">
        <v>1198</v>
      </c>
      <c r="B60" s="159" t="s">
        <v>1199</v>
      </c>
      <c r="C60" s="159" t="s">
        <v>1200</v>
      </c>
      <c r="D60" s="159" t="s">
        <v>1201</v>
      </c>
      <c r="E60" s="159" t="s">
        <v>1202</v>
      </c>
      <c r="F60" s="159" t="s">
        <v>1203</v>
      </c>
      <c r="G60" s="159" t="s">
        <v>1204</v>
      </c>
      <c r="H60" s="165" t="s">
        <v>35</v>
      </c>
      <c r="I60" s="161" t="s">
        <v>36</v>
      </c>
      <c r="J60" s="166" t="s">
        <v>1205</v>
      </c>
      <c r="K60" s="163" t="s">
        <v>1206</v>
      </c>
      <c r="L60" s="164"/>
      <c r="M60" s="164"/>
      <c r="N60" s="164"/>
      <c r="O60" s="164"/>
      <c r="P60" s="164"/>
      <c r="Q60" s="164"/>
      <c r="R60" s="164"/>
      <c r="S60" s="164"/>
      <c r="T60" s="164"/>
      <c r="U60" s="164"/>
      <c r="V60" s="164"/>
      <c r="W60" s="164"/>
      <c r="X60" s="164"/>
      <c r="Y60" s="164"/>
      <c r="Z60" s="164"/>
      <c r="AA60" s="164"/>
    </row>
    <row r="61">
      <c r="A61" s="159" t="s">
        <v>1198</v>
      </c>
      <c r="B61" s="159" t="s">
        <v>1207</v>
      </c>
      <c r="C61" s="159" t="s">
        <v>1208</v>
      </c>
      <c r="D61" s="159" t="s">
        <v>1209</v>
      </c>
      <c r="E61" s="159" t="s">
        <v>1210</v>
      </c>
      <c r="F61" s="159" t="s">
        <v>1211</v>
      </c>
      <c r="G61" s="159" t="s">
        <v>1212</v>
      </c>
      <c r="H61" s="165" t="s">
        <v>35</v>
      </c>
      <c r="I61" s="161" t="s">
        <v>111</v>
      </c>
      <c r="J61" s="166"/>
      <c r="K61" s="171" t="s">
        <v>1213</v>
      </c>
      <c r="L61" s="164"/>
      <c r="M61" s="164"/>
      <c r="N61" s="164"/>
      <c r="O61" s="164"/>
      <c r="P61" s="164"/>
      <c r="Q61" s="164"/>
      <c r="R61" s="164"/>
      <c r="S61" s="164"/>
      <c r="T61" s="164"/>
      <c r="U61" s="164"/>
      <c r="V61" s="164"/>
      <c r="W61" s="164"/>
      <c r="X61" s="164"/>
      <c r="Y61" s="164"/>
      <c r="Z61" s="164"/>
      <c r="AA61" s="164"/>
    </row>
    <row r="62">
      <c r="A62" s="159" t="s">
        <v>1198</v>
      </c>
      <c r="B62" s="159" t="s">
        <v>1214</v>
      </c>
      <c r="C62" s="159" t="s">
        <v>1215</v>
      </c>
      <c r="D62" s="159" t="s">
        <v>1216</v>
      </c>
      <c r="E62" s="159" t="s">
        <v>309</v>
      </c>
      <c r="F62" s="159" t="s">
        <v>1217</v>
      </c>
      <c r="G62" s="159" t="s">
        <v>1218</v>
      </c>
      <c r="H62" s="165" t="s">
        <v>35</v>
      </c>
      <c r="I62" s="161" t="s">
        <v>36</v>
      </c>
      <c r="J62" s="166" t="s">
        <v>1219</v>
      </c>
      <c r="K62" s="163" t="s">
        <v>1206</v>
      </c>
      <c r="L62" s="164"/>
      <c r="M62" s="164"/>
      <c r="N62" s="164"/>
      <c r="O62" s="164"/>
      <c r="P62" s="164"/>
      <c r="Q62" s="164"/>
      <c r="R62" s="164"/>
      <c r="S62" s="164"/>
      <c r="T62" s="164"/>
      <c r="U62" s="164"/>
      <c r="V62" s="164"/>
      <c r="W62" s="164"/>
      <c r="X62" s="164"/>
      <c r="Y62" s="164"/>
      <c r="Z62" s="164"/>
      <c r="AA62" s="164"/>
    </row>
    <row r="63">
      <c r="A63" s="159" t="s">
        <v>319</v>
      </c>
      <c r="B63" s="159" t="s">
        <v>1220</v>
      </c>
      <c r="C63" s="159" t="s">
        <v>1221</v>
      </c>
      <c r="D63" s="159" t="s">
        <v>1222</v>
      </c>
      <c r="E63" s="159" t="s">
        <v>1223</v>
      </c>
      <c r="F63" s="159" t="s">
        <v>1224</v>
      </c>
      <c r="G63" s="159" t="s">
        <v>1225</v>
      </c>
      <c r="H63" s="165" t="s">
        <v>35</v>
      </c>
      <c r="I63" s="161" t="s">
        <v>36</v>
      </c>
      <c r="J63" s="166" t="s">
        <v>1226</v>
      </c>
      <c r="K63" s="163" t="s">
        <v>36</v>
      </c>
      <c r="L63" s="164"/>
      <c r="M63" s="164"/>
      <c r="N63" s="164"/>
      <c r="O63" s="164"/>
      <c r="P63" s="164"/>
      <c r="Q63" s="164"/>
      <c r="R63" s="164"/>
      <c r="S63" s="164"/>
      <c r="T63" s="164"/>
      <c r="U63" s="164"/>
      <c r="V63" s="164"/>
      <c r="W63" s="164"/>
      <c r="X63" s="164"/>
      <c r="Y63" s="164"/>
      <c r="Z63" s="164"/>
      <c r="AA63" s="164"/>
    </row>
    <row r="64">
      <c r="A64" s="159" t="s">
        <v>319</v>
      </c>
      <c r="B64" s="159" t="s">
        <v>1227</v>
      </c>
      <c r="C64" s="159" t="s">
        <v>1228</v>
      </c>
      <c r="D64" s="159" t="s">
        <v>1229</v>
      </c>
      <c r="E64" s="159" t="s">
        <v>1230</v>
      </c>
      <c r="F64" s="159" t="s">
        <v>1231</v>
      </c>
      <c r="G64" s="159" t="s">
        <v>1225</v>
      </c>
      <c r="H64" s="165" t="s">
        <v>35</v>
      </c>
      <c r="I64" s="161" t="s">
        <v>36</v>
      </c>
      <c r="J64" s="166" t="s">
        <v>1232</v>
      </c>
      <c r="K64" s="163" t="s">
        <v>1206</v>
      </c>
      <c r="L64" s="164"/>
      <c r="M64" s="164"/>
      <c r="N64" s="164"/>
      <c r="O64" s="164"/>
      <c r="P64" s="164"/>
      <c r="Q64" s="164"/>
      <c r="R64" s="164"/>
      <c r="S64" s="164"/>
      <c r="T64" s="164"/>
      <c r="U64" s="164"/>
      <c r="V64" s="164"/>
      <c r="W64" s="164"/>
      <c r="X64" s="164"/>
      <c r="Y64" s="164"/>
      <c r="Z64" s="164"/>
      <c r="AA64" s="164"/>
    </row>
    <row r="65" ht="15.75" customHeight="1">
      <c r="A65" s="155"/>
      <c r="B65" s="156"/>
      <c r="C65" s="156"/>
      <c r="D65" s="156"/>
      <c r="E65" s="156"/>
      <c r="F65" s="155" t="s">
        <v>1233</v>
      </c>
      <c r="G65" s="156"/>
      <c r="H65" s="172"/>
      <c r="I65" s="172"/>
      <c r="J65" s="172"/>
      <c r="K65" s="156"/>
      <c r="L65" s="158"/>
      <c r="M65" s="158"/>
      <c r="N65" s="158"/>
      <c r="O65" s="158"/>
      <c r="P65" s="158"/>
      <c r="Q65" s="158"/>
      <c r="R65" s="158"/>
      <c r="S65" s="158"/>
      <c r="T65" s="158"/>
      <c r="U65" s="158"/>
      <c r="V65" s="158"/>
      <c r="W65" s="158"/>
      <c r="X65" s="158"/>
      <c r="Y65" s="158"/>
      <c r="Z65" s="158"/>
      <c r="AA65" s="158"/>
    </row>
    <row r="66">
      <c r="A66" s="159" t="s">
        <v>195</v>
      </c>
      <c r="B66" s="159" t="s">
        <v>1234</v>
      </c>
      <c r="C66" s="159" t="s">
        <v>845</v>
      </c>
      <c r="D66" s="159" t="s">
        <v>846</v>
      </c>
      <c r="E66" s="159" t="s">
        <v>847</v>
      </c>
      <c r="F66" s="159" t="s">
        <v>848</v>
      </c>
      <c r="G66" s="159" t="s">
        <v>849</v>
      </c>
      <c r="H66" s="160" t="s">
        <v>193</v>
      </c>
      <c r="I66" s="161" t="s">
        <v>36</v>
      </c>
      <c r="J66" s="173"/>
      <c r="K66" s="174" t="s">
        <v>36</v>
      </c>
      <c r="L66" s="164"/>
      <c r="M66" s="164"/>
      <c r="N66" s="164"/>
      <c r="O66" s="164"/>
      <c r="P66" s="164"/>
      <c r="Q66" s="164"/>
      <c r="R66" s="164"/>
      <c r="S66" s="164"/>
      <c r="T66" s="164"/>
      <c r="U66" s="164"/>
      <c r="V66" s="164"/>
      <c r="W66" s="164"/>
      <c r="X66" s="164"/>
      <c r="Y66" s="164"/>
      <c r="Z66" s="164"/>
      <c r="AA66" s="164"/>
    </row>
    <row r="67">
      <c r="A67" s="159" t="s">
        <v>195</v>
      </c>
      <c r="B67" s="159" t="s">
        <v>1235</v>
      </c>
      <c r="C67" s="159" t="s">
        <v>852</v>
      </c>
      <c r="D67" s="159" t="s">
        <v>853</v>
      </c>
      <c r="E67" s="159" t="s">
        <v>854</v>
      </c>
      <c r="F67" s="159" t="s">
        <v>855</v>
      </c>
      <c r="G67" s="159" t="s">
        <v>856</v>
      </c>
      <c r="H67" s="160" t="s">
        <v>193</v>
      </c>
      <c r="I67" s="161" t="s">
        <v>36</v>
      </c>
      <c r="J67" s="173"/>
      <c r="K67" s="174" t="s">
        <v>36</v>
      </c>
      <c r="L67" s="164"/>
      <c r="M67" s="164"/>
      <c r="N67" s="164"/>
      <c r="O67" s="164"/>
      <c r="P67" s="164"/>
      <c r="Q67" s="164"/>
      <c r="R67" s="164"/>
      <c r="S67" s="164"/>
      <c r="T67" s="164"/>
      <c r="U67" s="164"/>
      <c r="V67" s="164"/>
      <c r="W67" s="164"/>
      <c r="X67" s="164"/>
      <c r="Y67" s="164"/>
      <c r="Z67" s="164"/>
      <c r="AA67" s="164"/>
    </row>
    <row r="68">
      <c r="A68" s="159" t="s">
        <v>195</v>
      </c>
      <c r="B68" s="159" t="s">
        <v>1236</v>
      </c>
      <c r="C68" s="159" t="s">
        <v>859</v>
      </c>
      <c r="D68" s="159" t="s">
        <v>860</v>
      </c>
      <c r="E68" s="159" t="s">
        <v>861</v>
      </c>
      <c r="F68" s="159" t="s">
        <v>862</v>
      </c>
      <c r="G68" s="159" t="s">
        <v>863</v>
      </c>
      <c r="H68" s="160" t="s">
        <v>193</v>
      </c>
      <c r="I68" s="161" t="s">
        <v>36</v>
      </c>
      <c r="J68" s="173"/>
      <c r="K68" s="174" t="s">
        <v>36</v>
      </c>
      <c r="L68" s="164"/>
      <c r="M68" s="164"/>
      <c r="N68" s="164"/>
      <c r="O68" s="164"/>
      <c r="P68" s="164"/>
      <c r="Q68" s="164"/>
      <c r="R68" s="164"/>
      <c r="S68" s="164"/>
      <c r="T68" s="164"/>
      <c r="U68" s="164"/>
      <c r="V68" s="164"/>
      <c r="W68" s="164"/>
      <c r="X68" s="164"/>
      <c r="Y68" s="164"/>
      <c r="Z68" s="164"/>
      <c r="AA68" s="164"/>
    </row>
    <row r="69">
      <c r="A69" s="159" t="s">
        <v>195</v>
      </c>
      <c r="B69" s="159" t="s">
        <v>1237</v>
      </c>
      <c r="C69" s="159" t="s">
        <v>866</v>
      </c>
      <c r="D69" s="159" t="s">
        <v>867</v>
      </c>
      <c r="E69" s="159" t="s">
        <v>868</v>
      </c>
      <c r="F69" s="159" t="s">
        <v>869</v>
      </c>
      <c r="G69" s="159" t="s">
        <v>870</v>
      </c>
      <c r="H69" s="160" t="s">
        <v>193</v>
      </c>
      <c r="I69" s="161" t="s">
        <v>36</v>
      </c>
      <c r="J69" s="173"/>
      <c r="K69" s="174" t="s">
        <v>36</v>
      </c>
      <c r="L69" s="164"/>
      <c r="M69" s="164"/>
      <c r="N69" s="164"/>
      <c r="O69" s="164"/>
      <c r="P69" s="164"/>
      <c r="Q69" s="164"/>
      <c r="R69" s="164"/>
      <c r="S69" s="164"/>
      <c r="T69" s="164"/>
      <c r="U69" s="164"/>
      <c r="V69" s="164"/>
      <c r="W69" s="164"/>
      <c r="X69" s="164"/>
      <c r="Y69" s="164"/>
      <c r="Z69" s="164"/>
      <c r="AA69" s="164"/>
    </row>
    <row r="70">
      <c r="A70" s="159" t="s">
        <v>195</v>
      </c>
      <c r="B70" s="159" t="s">
        <v>1238</v>
      </c>
      <c r="C70" s="159" t="s">
        <v>873</v>
      </c>
      <c r="D70" s="159" t="s">
        <v>874</v>
      </c>
      <c r="E70" s="159" t="s">
        <v>875</v>
      </c>
      <c r="F70" s="159" t="s">
        <v>876</v>
      </c>
      <c r="G70" s="159" t="s">
        <v>877</v>
      </c>
      <c r="H70" s="160" t="s">
        <v>193</v>
      </c>
      <c r="I70" s="161" t="s">
        <v>36</v>
      </c>
      <c r="J70" s="173"/>
      <c r="K70" s="174" t="s">
        <v>36</v>
      </c>
      <c r="L70" s="164"/>
      <c r="M70" s="164"/>
      <c r="N70" s="164"/>
      <c r="O70" s="164"/>
      <c r="P70" s="164"/>
      <c r="Q70" s="164"/>
      <c r="R70" s="164"/>
      <c r="S70" s="164"/>
      <c r="T70" s="164"/>
      <c r="U70" s="164"/>
      <c r="V70" s="164"/>
      <c r="W70" s="164"/>
      <c r="X70" s="164"/>
      <c r="Y70" s="164"/>
      <c r="Z70" s="164"/>
      <c r="AA70" s="164"/>
    </row>
    <row r="71">
      <c r="A71" s="159" t="s">
        <v>195</v>
      </c>
      <c r="B71" s="159" t="s">
        <v>1239</v>
      </c>
      <c r="C71" s="159" t="s">
        <v>880</v>
      </c>
      <c r="D71" s="159" t="s">
        <v>881</v>
      </c>
      <c r="E71" s="159" t="s">
        <v>882</v>
      </c>
      <c r="F71" s="159" t="s">
        <v>883</v>
      </c>
      <c r="G71" s="159" t="s">
        <v>884</v>
      </c>
      <c r="H71" s="160" t="s">
        <v>193</v>
      </c>
      <c r="I71" s="161" t="s">
        <v>36</v>
      </c>
      <c r="J71" s="175" t="s">
        <v>1240</v>
      </c>
      <c r="K71" s="176" t="s">
        <v>111</v>
      </c>
      <c r="L71" s="164"/>
      <c r="M71" s="164"/>
      <c r="N71" s="164"/>
      <c r="O71" s="164"/>
      <c r="P71" s="164"/>
      <c r="Q71" s="164"/>
      <c r="R71" s="164"/>
      <c r="S71" s="164"/>
      <c r="T71" s="164"/>
      <c r="U71" s="164"/>
      <c r="V71" s="164"/>
      <c r="W71" s="164"/>
      <c r="X71" s="164"/>
      <c r="Y71" s="164"/>
      <c r="Z71" s="164"/>
      <c r="AA71" s="164"/>
    </row>
    <row r="72">
      <c r="A72" s="159" t="s">
        <v>195</v>
      </c>
      <c r="B72" s="159" t="s">
        <v>1241</v>
      </c>
      <c r="C72" s="159" t="s">
        <v>888</v>
      </c>
      <c r="D72" s="159" t="s">
        <v>889</v>
      </c>
      <c r="E72" s="159" t="s">
        <v>882</v>
      </c>
      <c r="F72" s="159" t="s">
        <v>890</v>
      </c>
      <c r="G72" s="159" t="s">
        <v>891</v>
      </c>
      <c r="H72" s="160" t="s">
        <v>193</v>
      </c>
      <c r="I72" s="161" t="s">
        <v>36</v>
      </c>
      <c r="J72" s="173"/>
      <c r="K72" s="174" t="s">
        <v>36</v>
      </c>
      <c r="L72" s="164"/>
      <c r="M72" s="164"/>
      <c r="N72" s="164"/>
      <c r="O72" s="164"/>
      <c r="P72" s="164"/>
      <c r="Q72" s="164"/>
      <c r="R72" s="164"/>
      <c r="S72" s="164"/>
      <c r="T72" s="164"/>
      <c r="U72" s="164"/>
      <c r="V72" s="164"/>
      <c r="W72" s="164"/>
      <c r="X72" s="164"/>
      <c r="Y72" s="164"/>
      <c r="Z72" s="164"/>
      <c r="AA72" s="164"/>
    </row>
    <row r="73">
      <c r="A73" s="159" t="s">
        <v>195</v>
      </c>
      <c r="B73" s="159" t="s">
        <v>1242</v>
      </c>
      <c r="C73" s="159" t="s">
        <v>894</v>
      </c>
      <c r="D73" s="159" t="s">
        <v>895</v>
      </c>
      <c r="E73" s="159" t="s">
        <v>882</v>
      </c>
      <c r="F73" s="159" t="s">
        <v>896</v>
      </c>
      <c r="G73" s="159" t="s">
        <v>897</v>
      </c>
      <c r="H73" s="160" t="s">
        <v>193</v>
      </c>
      <c r="I73" s="161" t="s">
        <v>36</v>
      </c>
      <c r="J73" s="173"/>
      <c r="K73" s="174" t="s">
        <v>36</v>
      </c>
      <c r="L73" s="164"/>
      <c r="M73" s="164"/>
      <c r="N73" s="164"/>
      <c r="O73" s="164"/>
      <c r="P73" s="164"/>
      <c r="Q73" s="164"/>
      <c r="R73" s="164"/>
      <c r="S73" s="164"/>
      <c r="T73" s="164"/>
      <c r="U73" s="164"/>
      <c r="V73" s="164"/>
      <c r="W73" s="164"/>
      <c r="X73" s="164"/>
      <c r="Y73" s="164"/>
      <c r="Z73" s="164"/>
      <c r="AA73" s="164"/>
    </row>
    <row r="74">
      <c r="A74" s="159" t="s">
        <v>195</v>
      </c>
      <c r="B74" s="159" t="s">
        <v>1243</v>
      </c>
      <c r="C74" s="159" t="s">
        <v>900</v>
      </c>
      <c r="D74" s="159" t="s">
        <v>901</v>
      </c>
      <c r="E74" s="159" t="s">
        <v>882</v>
      </c>
      <c r="F74" s="159" t="s">
        <v>902</v>
      </c>
      <c r="G74" s="159" t="s">
        <v>903</v>
      </c>
      <c r="H74" s="160" t="s">
        <v>193</v>
      </c>
      <c r="I74" s="161" t="s">
        <v>36</v>
      </c>
      <c r="J74" s="173"/>
      <c r="K74" s="174" t="s">
        <v>36</v>
      </c>
      <c r="L74" s="164"/>
      <c r="M74" s="164"/>
      <c r="N74" s="164"/>
      <c r="O74" s="164"/>
      <c r="P74" s="164"/>
      <c r="Q74" s="164"/>
      <c r="R74" s="164"/>
      <c r="S74" s="164"/>
      <c r="T74" s="164"/>
      <c r="U74" s="164"/>
      <c r="V74" s="164"/>
      <c r="W74" s="164"/>
      <c r="X74" s="164"/>
      <c r="Y74" s="164"/>
      <c r="Z74" s="164"/>
      <c r="AA74" s="164"/>
    </row>
    <row r="75">
      <c r="A75" s="159" t="s">
        <v>195</v>
      </c>
      <c r="B75" s="159" t="s">
        <v>1244</v>
      </c>
      <c r="C75" s="159" t="s">
        <v>906</v>
      </c>
      <c r="D75" s="159" t="s">
        <v>907</v>
      </c>
      <c r="E75" s="159" t="s">
        <v>882</v>
      </c>
      <c r="F75" s="159" t="s">
        <v>908</v>
      </c>
      <c r="G75" s="159" t="s">
        <v>909</v>
      </c>
      <c r="H75" s="160" t="s">
        <v>193</v>
      </c>
      <c r="I75" s="161" t="s">
        <v>36</v>
      </c>
      <c r="J75" s="173"/>
      <c r="K75" s="174" t="s">
        <v>36</v>
      </c>
      <c r="L75" s="164"/>
      <c r="M75" s="164"/>
      <c r="N75" s="164"/>
      <c r="O75" s="164"/>
      <c r="P75" s="164"/>
      <c r="Q75" s="164"/>
      <c r="R75" s="164"/>
      <c r="S75" s="164"/>
      <c r="T75" s="164"/>
      <c r="U75" s="164"/>
      <c r="V75" s="164"/>
      <c r="W75" s="164"/>
      <c r="X75" s="164"/>
      <c r="Y75" s="164"/>
      <c r="Z75" s="164"/>
      <c r="AA75" s="164"/>
    </row>
    <row r="76">
      <c r="A76" s="159" t="s">
        <v>195</v>
      </c>
      <c r="B76" s="159" t="s">
        <v>1245</v>
      </c>
      <c r="C76" s="159" t="s">
        <v>911</v>
      </c>
      <c r="D76" s="159" t="s">
        <v>912</v>
      </c>
      <c r="E76" s="159" t="s">
        <v>913</v>
      </c>
      <c r="F76" s="159" t="s">
        <v>914</v>
      </c>
      <c r="G76" s="159" t="s">
        <v>915</v>
      </c>
      <c r="H76" s="160" t="s">
        <v>193</v>
      </c>
      <c r="I76" s="161" t="s">
        <v>36</v>
      </c>
      <c r="J76" s="173"/>
      <c r="K76" s="174" t="s">
        <v>36</v>
      </c>
      <c r="L76" s="164"/>
      <c r="M76" s="164"/>
      <c r="N76" s="164"/>
      <c r="O76" s="164"/>
      <c r="P76" s="164"/>
      <c r="Q76" s="164"/>
      <c r="R76" s="164"/>
      <c r="S76" s="164"/>
      <c r="T76" s="164"/>
      <c r="U76" s="164"/>
      <c r="V76" s="164"/>
      <c r="W76" s="164"/>
      <c r="X76" s="164"/>
      <c r="Y76" s="164"/>
      <c r="Z76" s="164"/>
      <c r="AA76" s="164"/>
    </row>
    <row r="77">
      <c r="A77" s="159" t="s">
        <v>195</v>
      </c>
      <c r="B77" s="159" t="s">
        <v>1246</v>
      </c>
      <c r="C77" s="159" t="s">
        <v>918</v>
      </c>
      <c r="D77" s="159" t="s">
        <v>919</v>
      </c>
      <c r="E77" s="159" t="s">
        <v>920</v>
      </c>
      <c r="F77" s="159" t="s">
        <v>921</v>
      </c>
      <c r="G77" s="159" t="s">
        <v>922</v>
      </c>
      <c r="H77" s="160" t="s">
        <v>193</v>
      </c>
      <c r="I77" s="161" t="s">
        <v>36</v>
      </c>
      <c r="J77" s="173"/>
      <c r="K77" s="174" t="s">
        <v>36</v>
      </c>
      <c r="L77" s="164"/>
      <c r="M77" s="164"/>
      <c r="N77" s="164"/>
      <c r="O77" s="164"/>
      <c r="P77" s="164"/>
      <c r="Q77" s="164"/>
      <c r="R77" s="164"/>
      <c r="S77" s="164"/>
      <c r="T77" s="164"/>
      <c r="U77" s="164"/>
      <c r="V77" s="164"/>
      <c r="W77" s="164"/>
      <c r="X77" s="164"/>
      <c r="Y77" s="164"/>
      <c r="Z77" s="164"/>
      <c r="AA77" s="164"/>
    </row>
    <row r="78">
      <c r="A78" s="159" t="s">
        <v>195</v>
      </c>
      <c r="B78" s="159" t="s">
        <v>1247</v>
      </c>
      <c r="C78" s="159" t="s">
        <v>924</v>
      </c>
      <c r="D78" s="159" t="s">
        <v>925</v>
      </c>
      <c r="E78" s="159" t="s">
        <v>926</v>
      </c>
      <c r="F78" s="159" t="s">
        <v>927</v>
      </c>
      <c r="G78" s="159" t="s">
        <v>928</v>
      </c>
      <c r="H78" s="160" t="s">
        <v>193</v>
      </c>
      <c r="I78" s="161" t="s">
        <v>36</v>
      </c>
      <c r="J78" s="173"/>
      <c r="K78" s="174" t="s">
        <v>36</v>
      </c>
      <c r="L78" s="164"/>
      <c r="M78" s="164"/>
      <c r="N78" s="164"/>
      <c r="O78" s="164"/>
      <c r="P78" s="164"/>
      <c r="Q78" s="164"/>
      <c r="R78" s="164"/>
      <c r="S78" s="164"/>
      <c r="T78" s="164"/>
      <c r="U78" s="164"/>
      <c r="V78" s="164"/>
      <c r="W78" s="164"/>
      <c r="X78" s="164"/>
      <c r="Y78" s="164"/>
      <c r="Z78" s="164"/>
      <c r="AA78" s="164"/>
    </row>
    <row r="79">
      <c r="A79" s="159" t="s">
        <v>195</v>
      </c>
      <c r="B79" s="159" t="s">
        <v>1248</v>
      </c>
      <c r="C79" s="159" t="s">
        <v>930</v>
      </c>
      <c r="D79" s="159" t="s">
        <v>931</v>
      </c>
      <c r="E79" s="159" t="s">
        <v>920</v>
      </c>
      <c r="F79" s="159" t="s">
        <v>932</v>
      </c>
      <c r="G79" s="159" t="s">
        <v>933</v>
      </c>
      <c r="H79" s="160" t="s">
        <v>193</v>
      </c>
      <c r="I79" s="161" t="s">
        <v>36</v>
      </c>
      <c r="J79" s="173"/>
      <c r="K79" s="174" t="s">
        <v>36</v>
      </c>
      <c r="L79" s="164"/>
      <c r="M79" s="164"/>
      <c r="N79" s="164"/>
      <c r="O79" s="164"/>
      <c r="P79" s="164"/>
      <c r="Q79" s="164"/>
      <c r="R79" s="164"/>
      <c r="S79" s="164"/>
      <c r="T79" s="164"/>
      <c r="U79" s="164"/>
      <c r="V79" s="164"/>
      <c r="W79" s="164"/>
      <c r="X79" s="164"/>
      <c r="Y79" s="164"/>
      <c r="Z79" s="164"/>
      <c r="AA79" s="164"/>
    </row>
    <row r="80">
      <c r="A80" s="159" t="s">
        <v>195</v>
      </c>
      <c r="B80" s="159" t="s">
        <v>1249</v>
      </c>
      <c r="C80" s="159" t="s">
        <v>936</v>
      </c>
      <c r="D80" s="159" t="s">
        <v>937</v>
      </c>
      <c r="E80" s="159" t="s">
        <v>938</v>
      </c>
      <c r="F80" s="159" t="s">
        <v>939</v>
      </c>
      <c r="G80" s="159" t="s">
        <v>940</v>
      </c>
      <c r="H80" s="160" t="s">
        <v>193</v>
      </c>
      <c r="I80" s="161" t="s">
        <v>36</v>
      </c>
      <c r="J80" s="173"/>
      <c r="K80" s="174" t="s">
        <v>36</v>
      </c>
      <c r="L80" s="164"/>
      <c r="M80" s="164"/>
      <c r="N80" s="164"/>
      <c r="O80" s="164"/>
      <c r="P80" s="164"/>
      <c r="Q80" s="164"/>
      <c r="R80" s="164"/>
      <c r="S80" s="164"/>
      <c r="T80" s="164"/>
      <c r="U80" s="164"/>
      <c r="V80" s="164"/>
      <c r="W80" s="164"/>
      <c r="X80" s="164"/>
      <c r="Y80" s="164"/>
      <c r="Z80" s="164"/>
      <c r="AA80" s="164"/>
    </row>
    <row r="81">
      <c r="A81" s="159" t="s">
        <v>195</v>
      </c>
      <c r="B81" s="159" t="s">
        <v>1250</v>
      </c>
      <c r="C81" s="159" t="s">
        <v>943</v>
      </c>
      <c r="D81" s="159" t="s">
        <v>944</v>
      </c>
      <c r="E81" s="159" t="s">
        <v>945</v>
      </c>
      <c r="F81" s="159" t="s">
        <v>946</v>
      </c>
      <c r="G81" s="159" t="s">
        <v>947</v>
      </c>
      <c r="H81" s="160" t="s">
        <v>193</v>
      </c>
      <c r="I81" s="161" t="s">
        <v>36</v>
      </c>
      <c r="J81" s="173"/>
      <c r="K81" s="174" t="s">
        <v>36</v>
      </c>
      <c r="L81" s="164"/>
      <c r="M81" s="164"/>
      <c r="N81" s="164"/>
      <c r="O81" s="164"/>
      <c r="P81" s="164"/>
      <c r="Q81" s="164"/>
      <c r="R81" s="164"/>
      <c r="S81" s="164"/>
      <c r="T81" s="164"/>
      <c r="U81" s="164"/>
      <c r="V81" s="164"/>
      <c r="W81" s="164"/>
      <c r="X81" s="164"/>
      <c r="Y81" s="164"/>
      <c r="Z81" s="164"/>
      <c r="AA81" s="164"/>
    </row>
    <row r="82">
      <c r="A82" s="159" t="s">
        <v>195</v>
      </c>
      <c r="B82" s="159" t="s">
        <v>1251</v>
      </c>
      <c r="C82" s="159" t="s">
        <v>950</v>
      </c>
      <c r="D82" s="159" t="s">
        <v>951</v>
      </c>
      <c r="E82" s="159" t="s">
        <v>938</v>
      </c>
      <c r="F82" s="159" t="s">
        <v>952</v>
      </c>
      <c r="G82" s="159" t="s">
        <v>953</v>
      </c>
      <c r="H82" s="160" t="s">
        <v>193</v>
      </c>
      <c r="I82" s="161" t="s">
        <v>36</v>
      </c>
      <c r="J82" s="173"/>
      <c r="K82" s="174" t="s">
        <v>36</v>
      </c>
      <c r="L82" s="164"/>
      <c r="M82" s="164"/>
      <c r="N82" s="164"/>
      <c r="O82" s="164"/>
      <c r="P82" s="164"/>
      <c r="Q82" s="164"/>
      <c r="R82" s="164"/>
      <c r="S82" s="164"/>
      <c r="T82" s="164"/>
      <c r="U82" s="164"/>
      <c r="V82" s="164"/>
      <c r="W82" s="164"/>
      <c r="X82" s="164"/>
      <c r="Y82" s="164"/>
      <c r="Z82" s="164"/>
      <c r="AA82" s="164"/>
    </row>
    <row r="83">
      <c r="A83" s="159" t="s">
        <v>195</v>
      </c>
      <c r="B83" s="159" t="s">
        <v>1252</v>
      </c>
      <c r="C83" s="159" t="s">
        <v>956</v>
      </c>
      <c r="D83" s="159" t="s">
        <v>957</v>
      </c>
      <c r="E83" s="159" t="s">
        <v>958</v>
      </c>
      <c r="F83" s="159" t="s">
        <v>959</v>
      </c>
      <c r="G83" s="159" t="s">
        <v>960</v>
      </c>
      <c r="H83" s="160" t="s">
        <v>193</v>
      </c>
      <c r="I83" s="161" t="s">
        <v>36</v>
      </c>
      <c r="J83" s="173"/>
      <c r="K83" s="174" t="s">
        <v>36</v>
      </c>
      <c r="L83" s="164"/>
      <c r="M83" s="164"/>
      <c r="N83" s="164"/>
      <c r="O83" s="164"/>
      <c r="P83" s="164"/>
      <c r="Q83" s="164"/>
      <c r="R83" s="164"/>
      <c r="S83" s="164"/>
      <c r="T83" s="164"/>
      <c r="U83" s="164"/>
      <c r="V83" s="164"/>
      <c r="W83" s="164"/>
      <c r="X83" s="164"/>
      <c r="Y83" s="164"/>
      <c r="Z83" s="164"/>
      <c r="AA83" s="164"/>
    </row>
    <row r="84">
      <c r="A84" s="159" t="s">
        <v>195</v>
      </c>
      <c r="B84" s="159" t="s">
        <v>1253</v>
      </c>
      <c r="C84" s="159" t="s">
        <v>962</v>
      </c>
      <c r="D84" s="159" t="s">
        <v>963</v>
      </c>
      <c r="E84" s="159" t="s">
        <v>938</v>
      </c>
      <c r="F84" s="159" t="s">
        <v>964</v>
      </c>
      <c r="G84" s="159" t="s">
        <v>965</v>
      </c>
      <c r="H84" s="160" t="s">
        <v>193</v>
      </c>
      <c r="I84" s="161" t="s">
        <v>36</v>
      </c>
      <c r="J84" s="173"/>
      <c r="K84" s="174" t="s">
        <v>36</v>
      </c>
      <c r="L84" s="164"/>
      <c r="M84" s="164"/>
      <c r="N84" s="164"/>
      <c r="O84" s="164"/>
      <c r="P84" s="164"/>
      <c r="Q84" s="164"/>
      <c r="R84" s="164"/>
      <c r="S84" s="164"/>
      <c r="T84" s="164"/>
      <c r="U84" s="164"/>
      <c r="V84" s="164"/>
      <c r="W84" s="164"/>
      <c r="X84" s="164"/>
      <c r="Y84" s="164"/>
      <c r="Z84" s="164"/>
      <c r="AA84" s="164"/>
    </row>
    <row r="85">
      <c r="A85" s="159" t="s">
        <v>195</v>
      </c>
      <c r="B85" s="159" t="s">
        <v>1254</v>
      </c>
      <c r="C85" s="159" t="s">
        <v>968</v>
      </c>
      <c r="D85" s="159" t="s">
        <v>969</v>
      </c>
      <c r="E85" s="159" t="s">
        <v>970</v>
      </c>
      <c r="F85" s="159" t="s">
        <v>971</v>
      </c>
      <c r="G85" s="159" t="s">
        <v>972</v>
      </c>
      <c r="H85" s="160" t="s">
        <v>193</v>
      </c>
      <c r="I85" s="161" t="s">
        <v>36</v>
      </c>
      <c r="J85" s="173"/>
      <c r="K85" s="174" t="s">
        <v>36</v>
      </c>
      <c r="L85" s="164"/>
      <c r="M85" s="164"/>
      <c r="N85" s="164"/>
      <c r="O85" s="164"/>
      <c r="P85" s="164"/>
      <c r="Q85" s="164"/>
      <c r="R85" s="164"/>
      <c r="S85" s="164"/>
      <c r="T85" s="164"/>
      <c r="U85" s="164"/>
      <c r="V85" s="164"/>
      <c r="W85" s="164"/>
      <c r="X85" s="164"/>
      <c r="Y85" s="164"/>
      <c r="Z85" s="164"/>
      <c r="AA85" s="164"/>
    </row>
    <row r="86">
      <c r="A86" s="159" t="s">
        <v>195</v>
      </c>
      <c r="B86" s="159" t="s">
        <v>1255</v>
      </c>
      <c r="C86" s="159" t="s">
        <v>976</v>
      </c>
      <c r="D86" s="159" t="s">
        <v>977</v>
      </c>
      <c r="E86" s="159" t="s">
        <v>970</v>
      </c>
      <c r="F86" s="159" t="s">
        <v>978</v>
      </c>
      <c r="G86" s="159" t="s">
        <v>979</v>
      </c>
      <c r="H86" s="160" t="s">
        <v>193</v>
      </c>
      <c r="I86" s="161" t="s">
        <v>36</v>
      </c>
      <c r="J86" s="173"/>
      <c r="K86" s="174" t="s">
        <v>36</v>
      </c>
      <c r="L86" s="164"/>
      <c r="M86" s="164"/>
      <c r="N86" s="164"/>
      <c r="O86" s="164"/>
      <c r="P86" s="164"/>
      <c r="Q86" s="164"/>
      <c r="R86" s="164"/>
      <c r="S86" s="164"/>
      <c r="T86" s="164"/>
      <c r="U86" s="164"/>
      <c r="V86" s="164"/>
      <c r="W86" s="164"/>
      <c r="X86" s="164"/>
      <c r="Y86" s="164"/>
      <c r="Z86" s="164"/>
      <c r="AA86" s="164"/>
    </row>
    <row r="87">
      <c r="A87" s="159" t="s">
        <v>195</v>
      </c>
      <c r="B87" s="159" t="s">
        <v>1256</v>
      </c>
      <c r="C87" s="159" t="s">
        <v>982</v>
      </c>
      <c r="D87" s="159" t="s">
        <v>983</v>
      </c>
      <c r="E87" s="159" t="s">
        <v>970</v>
      </c>
      <c r="F87" s="159" t="s">
        <v>984</v>
      </c>
      <c r="G87" s="159" t="s">
        <v>985</v>
      </c>
      <c r="H87" s="160" t="s">
        <v>193</v>
      </c>
      <c r="I87" s="161" t="s">
        <v>36</v>
      </c>
      <c r="J87" s="173"/>
      <c r="K87" s="174" t="s">
        <v>36</v>
      </c>
      <c r="L87" s="164"/>
      <c r="M87" s="164"/>
      <c r="N87" s="164"/>
      <c r="O87" s="164"/>
      <c r="P87" s="164"/>
      <c r="Q87" s="164"/>
      <c r="R87" s="164"/>
      <c r="S87" s="164"/>
      <c r="T87" s="164"/>
      <c r="U87" s="164"/>
      <c r="V87" s="164"/>
      <c r="W87" s="164"/>
      <c r="X87" s="164"/>
      <c r="Y87" s="164"/>
      <c r="Z87" s="164"/>
      <c r="AA87" s="164"/>
    </row>
    <row r="88">
      <c r="A88" s="159" t="s">
        <v>195</v>
      </c>
      <c r="B88" s="159" t="s">
        <v>1257</v>
      </c>
      <c r="C88" s="159" t="s">
        <v>988</v>
      </c>
      <c r="D88" s="159" t="s">
        <v>989</v>
      </c>
      <c r="E88" s="159" t="s">
        <v>938</v>
      </c>
      <c r="F88" s="159" t="s">
        <v>990</v>
      </c>
      <c r="G88" s="159" t="s">
        <v>991</v>
      </c>
      <c r="H88" s="160" t="s">
        <v>193</v>
      </c>
      <c r="I88" s="161" t="s">
        <v>111</v>
      </c>
      <c r="J88" s="175" t="s">
        <v>1258</v>
      </c>
      <c r="K88" s="177" t="s">
        <v>1259</v>
      </c>
      <c r="L88" s="164"/>
      <c r="M88" s="164"/>
      <c r="N88" s="164"/>
      <c r="O88" s="164"/>
      <c r="P88" s="164"/>
      <c r="Q88" s="164"/>
      <c r="R88" s="164"/>
      <c r="S88" s="164"/>
      <c r="T88" s="164"/>
      <c r="U88" s="164"/>
      <c r="V88" s="164"/>
      <c r="W88" s="164"/>
      <c r="X88" s="164"/>
      <c r="Y88" s="164"/>
      <c r="Z88" s="164"/>
      <c r="AA88" s="164"/>
    </row>
    <row r="89">
      <c r="A89" s="159" t="s">
        <v>195</v>
      </c>
      <c r="B89" s="159" t="s">
        <v>1260</v>
      </c>
      <c r="C89" s="159" t="s">
        <v>994</v>
      </c>
      <c r="D89" s="159" t="s">
        <v>995</v>
      </c>
      <c r="E89" s="159" t="s">
        <v>996</v>
      </c>
      <c r="F89" s="159" t="s">
        <v>1261</v>
      </c>
      <c r="G89" s="159" t="s">
        <v>1262</v>
      </c>
      <c r="H89" s="160" t="s">
        <v>193</v>
      </c>
      <c r="I89" s="161" t="s">
        <v>111</v>
      </c>
      <c r="J89" s="173"/>
      <c r="K89" s="174" t="s">
        <v>36</v>
      </c>
      <c r="L89" s="164"/>
      <c r="M89" s="164"/>
      <c r="N89" s="164"/>
      <c r="O89" s="164"/>
      <c r="P89" s="164"/>
      <c r="Q89" s="164"/>
      <c r="R89" s="164"/>
      <c r="S89" s="164"/>
      <c r="T89" s="164"/>
      <c r="U89" s="164"/>
      <c r="V89" s="164"/>
      <c r="W89" s="164"/>
      <c r="X89" s="164"/>
      <c r="Y89" s="164"/>
      <c r="Z89" s="164"/>
      <c r="AA89" s="164"/>
    </row>
    <row r="90">
      <c r="A90" s="159" t="s">
        <v>195</v>
      </c>
      <c r="B90" s="159" t="s">
        <v>1263</v>
      </c>
      <c r="C90" s="159" t="s">
        <v>1001</v>
      </c>
      <c r="D90" s="159" t="s">
        <v>1002</v>
      </c>
      <c r="E90" s="159" t="s">
        <v>938</v>
      </c>
      <c r="F90" s="159" t="s">
        <v>1003</v>
      </c>
      <c r="G90" s="159" t="s">
        <v>1004</v>
      </c>
      <c r="H90" s="160" t="s">
        <v>193</v>
      </c>
      <c r="I90" s="161" t="s">
        <v>36</v>
      </c>
      <c r="J90" s="173"/>
      <c r="K90" s="174" t="s">
        <v>36</v>
      </c>
      <c r="L90" s="164"/>
      <c r="M90" s="164"/>
      <c r="N90" s="164"/>
      <c r="O90" s="164"/>
      <c r="P90" s="164"/>
      <c r="Q90" s="164"/>
      <c r="R90" s="164"/>
      <c r="S90" s="164"/>
      <c r="T90" s="164"/>
      <c r="U90" s="164"/>
      <c r="V90" s="164"/>
      <c r="W90" s="164"/>
      <c r="X90" s="164"/>
      <c r="Y90" s="164"/>
      <c r="Z90" s="164"/>
      <c r="AA90" s="164"/>
    </row>
    <row r="91">
      <c r="A91" s="159" t="s">
        <v>195</v>
      </c>
      <c r="B91" s="159" t="s">
        <v>1264</v>
      </c>
      <c r="C91" s="159" t="s">
        <v>1007</v>
      </c>
      <c r="D91" s="159" t="s">
        <v>1008</v>
      </c>
      <c r="E91" s="159" t="s">
        <v>882</v>
      </c>
      <c r="F91" s="159" t="s">
        <v>1009</v>
      </c>
      <c r="G91" s="159" t="s">
        <v>1010</v>
      </c>
      <c r="H91" s="160" t="s">
        <v>193</v>
      </c>
      <c r="I91" s="161" t="s">
        <v>36</v>
      </c>
      <c r="J91" s="173"/>
      <c r="K91" s="174" t="s">
        <v>36</v>
      </c>
      <c r="L91" s="164"/>
      <c r="M91" s="164"/>
      <c r="N91" s="164"/>
      <c r="O91" s="164"/>
      <c r="P91" s="164"/>
      <c r="Q91" s="164"/>
      <c r="R91" s="164"/>
      <c r="S91" s="164"/>
      <c r="T91" s="164"/>
      <c r="U91" s="164"/>
      <c r="V91" s="164"/>
      <c r="W91" s="164"/>
      <c r="X91" s="164"/>
      <c r="Y91" s="164"/>
      <c r="Z91" s="164"/>
      <c r="AA91" s="164"/>
    </row>
    <row r="92">
      <c r="A92" s="159" t="s">
        <v>195</v>
      </c>
      <c r="B92" s="159" t="s">
        <v>1265</v>
      </c>
      <c r="C92" s="159" t="s">
        <v>1012</v>
      </c>
      <c r="D92" s="159" t="s">
        <v>1013</v>
      </c>
      <c r="E92" s="159" t="s">
        <v>938</v>
      </c>
      <c r="F92" s="159" t="s">
        <v>1014</v>
      </c>
      <c r="G92" s="159" t="s">
        <v>1015</v>
      </c>
      <c r="H92" s="160" t="s">
        <v>193</v>
      </c>
      <c r="I92" s="161" t="s">
        <v>36</v>
      </c>
      <c r="J92" s="173"/>
      <c r="K92" s="174" t="s">
        <v>36</v>
      </c>
      <c r="L92" s="164"/>
      <c r="M92" s="164"/>
      <c r="N92" s="164"/>
      <c r="O92" s="164"/>
      <c r="P92" s="164"/>
      <c r="Q92" s="164"/>
      <c r="R92" s="164"/>
      <c r="S92" s="164"/>
      <c r="T92" s="164"/>
      <c r="U92" s="164"/>
      <c r="V92" s="164"/>
      <c r="W92" s="164"/>
      <c r="X92" s="164"/>
      <c r="Y92" s="164"/>
      <c r="Z92" s="164"/>
      <c r="AA92" s="164"/>
    </row>
    <row r="93">
      <c r="A93" s="159" t="s">
        <v>195</v>
      </c>
      <c r="B93" s="159" t="s">
        <v>1266</v>
      </c>
      <c r="C93" s="159" t="s">
        <v>1018</v>
      </c>
      <c r="D93" s="159" t="s">
        <v>1019</v>
      </c>
      <c r="E93" s="159" t="s">
        <v>938</v>
      </c>
      <c r="F93" s="159" t="s">
        <v>1020</v>
      </c>
      <c r="G93" s="159" t="s">
        <v>1015</v>
      </c>
      <c r="H93" s="160" t="s">
        <v>193</v>
      </c>
      <c r="I93" s="161" t="s">
        <v>36</v>
      </c>
      <c r="J93" s="173"/>
      <c r="K93" s="174" t="s">
        <v>36</v>
      </c>
      <c r="L93" s="164"/>
      <c r="M93" s="164"/>
      <c r="N93" s="164"/>
      <c r="O93" s="164"/>
      <c r="P93" s="164"/>
      <c r="Q93" s="164"/>
      <c r="R93" s="164"/>
      <c r="S93" s="164"/>
      <c r="T93" s="164"/>
      <c r="U93" s="164"/>
      <c r="V93" s="164"/>
      <c r="W93" s="164"/>
      <c r="X93" s="164"/>
      <c r="Y93" s="164"/>
      <c r="Z93" s="164"/>
      <c r="AA93" s="164"/>
    </row>
    <row r="94">
      <c r="A94" s="159" t="s">
        <v>195</v>
      </c>
      <c r="B94" s="159" t="s">
        <v>1267</v>
      </c>
      <c r="C94" s="159" t="s">
        <v>1022</v>
      </c>
      <c r="D94" s="159" t="s">
        <v>1023</v>
      </c>
      <c r="E94" s="159" t="s">
        <v>1024</v>
      </c>
      <c r="F94" s="159" t="s">
        <v>1025</v>
      </c>
      <c r="G94" s="159" t="s">
        <v>1026</v>
      </c>
      <c r="H94" s="160" t="s">
        <v>193</v>
      </c>
      <c r="I94" s="161" t="s">
        <v>36</v>
      </c>
      <c r="J94" s="173"/>
      <c r="K94" s="174" t="s">
        <v>36</v>
      </c>
      <c r="L94" s="164"/>
      <c r="M94" s="164"/>
      <c r="N94" s="164"/>
      <c r="O94" s="164"/>
      <c r="P94" s="164"/>
      <c r="Q94" s="164"/>
      <c r="R94" s="164"/>
      <c r="S94" s="164"/>
      <c r="T94" s="164"/>
      <c r="U94" s="164"/>
      <c r="V94" s="164"/>
      <c r="W94" s="164"/>
      <c r="X94" s="164"/>
      <c r="Y94" s="164"/>
      <c r="Z94" s="164"/>
      <c r="AA94" s="164"/>
    </row>
    <row r="95">
      <c r="A95" s="159" t="s">
        <v>195</v>
      </c>
      <c r="B95" s="159" t="s">
        <v>1268</v>
      </c>
      <c r="C95" s="159" t="s">
        <v>1029</v>
      </c>
      <c r="D95" s="159" t="s">
        <v>1030</v>
      </c>
      <c r="E95" s="159" t="s">
        <v>1024</v>
      </c>
      <c r="F95" s="159" t="s">
        <v>1031</v>
      </c>
      <c r="G95" s="159" t="s">
        <v>1032</v>
      </c>
      <c r="H95" s="160" t="s">
        <v>193</v>
      </c>
      <c r="I95" s="161" t="s">
        <v>36</v>
      </c>
      <c r="J95" s="173"/>
      <c r="K95" s="174" t="s">
        <v>36</v>
      </c>
      <c r="L95" s="164"/>
      <c r="M95" s="164"/>
      <c r="N95" s="164"/>
      <c r="O95" s="164"/>
      <c r="P95" s="164"/>
      <c r="Q95" s="164"/>
      <c r="R95" s="164"/>
      <c r="S95" s="164"/>
      <c r="T95" s="164"/>
      <c r="U95" s="164"/>
      <c r="V95" s="164"/>
      <c r="W95" s="164"/>
      <c r="X95" s="164"/>
      <c r="Y95" s="164"/>
      <c r="Z95" s="164"/>
      <c r="AA95" s="164"/>
    </row>
    <row r="96">
      <c r="A96" s="159" t="s">
        <v>195</v>
      </c>
      <c r="B96" s="159" t="s">
        <v>1269</v>
      </c>
      <c r="C96" s="159" t="s">
        <v>1034</v>
      </c>
      <c r="D96" s="159" t="s">
        <v>1035</v>
      </c>
      <c r="E96" s="159" t="s">
        <v>847</v>
      </c>
      <c r="F96" s="159" t="s">
        <v>1036</v>
      </c>
      <c r="G96" s="159" t="s">
        <v>1037</v>
      </c>
      <c r="H96" s="160" t="s">
        <v>193</v>
      </c>
      <c r="I96" s="161" t="s">
        <v>36</v>
      </c>
      <c r="J96" s="173"/>
      <c r="K96" s="174" t="s">
        <v>36</v>
      </c>
      <c r="L96" s="164"/>
      <c r="M96" s="164"/>
      <c r="N96" s="164"/>
      <c r="O96" s="164"/>
      <c r="P96" s="164"/>
      <c r="Q96" s="164"/>
      <c r="R96" s="164"/>
      <c r="S96" s="164"/>
      <c r="T96" s="164"/>
      <c r="U96" s="164"/>
      <c r="V96" s="164"/>
      <c r="W96" s="164"/>
      <c r="X96" s="164"/>
      <c r="Y96" s="164"/>
      <c r="Z96" s="164"/>
      <c r="AA96" s="164"/>
    </row>
    <row r="97">
      <c r="A97" s="159" t="s">
        <v>195</v>
      </c>
      <c r="B97" s="159" t="s">
        <v>1270</v>
      </c>
      <c r="C97" s="159" t="s">
        <v>1039</v>
      </c>
      <c r="D97" s="159" t="s">
        <v>1040</v>
      </c>
      <c r="E97" s="159" t="s">
        <v>1041</v>
      </c>
      <c r="F97" s="159" t="s">
        <v>1271</v>
      </c>
      <c r="G97" s="159" t="s">
        <v>1043</v>
      </c>
      <c r="H97" s="160" t="s">
        <v>193</v>
      </c>
      <c r="I97" s="161" t="s">
        <v>36</v>
      </c>
      <c r="J97" s="175" t="s">
        <v>1240</v>
      </c>
      <c r="K97" s="176" t="s">
        <v>111</v>
      </c>
      <c r="L97" s="164"/>
      <c r="M97" s="164"/>
      <c r="N97" s="164"/>
      <c r="O97" s="164"/>
      <c r="P97" s="164"/>
      <c r="Q97" s="164"/>
      <c r="R97" s="164"/>
      <c r="S97" s="164"/>
      <c r="T97" s="164"/>
      <c r="U97" s="164"/>
      <c r="V97" s="164"/>
      <c r="W97" s="164"/>
      <c r="X97" s="164"/>
      <c r="Y97" s="164"/>
      <c r="Z97" s="164"/>
      <c r="AA97" s="164"/>
    </row>
    <row r="98">
      <c r="A98" s="159" t="s">
        <v>195</v>
      </c>
      <c r="B98" s="159" t="s">
        <v>1272</v>
      </c>
      <c r="C98" s="159" t="s">
        <v>1047</v>
      </c>
      <c r="D98" s="159" t="s">
        <v>1048</v>
      </c>
      <c r="E98" s="159" t="s">
        <v>1049</v>
      </c>
      <c r="F98" s="159" t="s">
        <v>1050</v>
      </c>
      <c r="G98" s="159" t="s">
        <v>1051</v>
      </c>
      <c r="H98" s="160" t="s">
        <v>193</v>
      </c>
      <c r="I98" s="161" t="s">
        <v>36</v>
      </c>
      <c r="J98" s="173"/>
      <c r="K98" s="174" t="s">
        <v>36</v>
      </c>
      <c r="L98" s="164"/>
      <c r="M98" s="164"/>
      <c r="N98" s="164"/>
      <c r="O98" s="164"/>
      <c r="P98" s="164"/>
      <c r="Q98" s="164"/>
      <c r="R98" s="164"/>
      <c r="S98" s="164"/>
      <c r="T98" s="164"/>
      <c r="U98" s="164"/>
      <c r="V98" s="164"/>
      <c r="W98" s="164"/>
      <c r="X98" s="164"/>
      <c r="Y98" s="164"/>
      <c r="Z98" s="164"/>
      <c r="AA98" s="164"/>
    </row>
    <row r="99">
      <c r="A99" s="159" t="s">
        <v>195</v>
      </c>
      <c r="B99" s="159" t="s">
        <v>1273</v>
      </c>
      <c r="C99" s="159" t="s">
        <v>1068</v>
      </c>
      <c r="D99" s="159" t="s">
        <v>1069</v>
      </c>
      <c r="E99" s="159" t="s">
        <v>938</v>
      </c>
      <c r="F99" s="159" t="s">
        <v>1070</v>
      </c>
      <c r="G99" s="159" t="s">
        <v>1071</v>
      </c>
      <c r="H99" s="160" t="s">
        <v>193</v>
      </c>
      <c r="I99" s="161" t="s">
        <v>36</v>
      </c>
      <c r="J99" s="173"/>
      <c r="K99" s="174" t="s">
        <v>36</v>
      </c>
      <c r="L99" s="164"/>
      <c r="M99" s="164"/>
      <c r="N99" s="164"/>
      <c r="O99" s="164"/>
      <c r="P99" s="164"/>
      <c r="Q99" s="164"/>
      <c r="R99" s="164"/>
      <c r="S99" s="164"/>
      <c r="T99" s="164"/>
      <c r="U99" s="164"/>
      <c r="V99" s="164"/>
      <c r="W99" s="164"/>
      <c r="X99" s="164"/>
      <c r="Y99" s="164"/>
      <c r="Z99" s="164"/>
      <c r="AA99" s="164"/>
    </row>
    <row r="100">
      <c r="A100" s="159" t="s">
        <v>195</v>
      </c>
      <c r="B100" s="159" t="s">
        <v>1274</v>
      </c>
      <c r="C100" s="178" t="s">
        <v>1054</v>
      </c>
      <c r="D100" s="178" t="s">
        <v>1055</v>
      </c>
      <c r="E100" s="178" t="s">
        <v>1056</v>
      </c>
      <c r="F100" s="178" t="s">
        <v>1057</v>
      </c>
      <c r="G100" s="178" t="s">
        <v>1058</v>
      </c>
      <c r="H100" s="160" t="s">
        <v>193</v>
      </c>
      <c r="I100" s="161" t="s">
        <v>36</v>
      </c>
      <c r="J100" s="175" t="s">
        <v>1275</v>
      </c>
      <c r="K100" s="177" t="s">
        <v>1276</v>
      </c>
    </row>
    <row r="101">
      <c r="A101" s="159" t="s">
        <v>195</v>
      </c>
      <c r="B101" s="159" t="s">
        <v>1277</v>
      </c>
      <c r="C101" s="178" t="s">
        <v>1054</v>
      </c>
      <c r="D101" s="178" t="s">
        <v>1061</v>
      </c>
      <c r="E101" s="178" t="s">
        <v>1062</v>
      </c>
      <c r="F101" s="178" t="s">
        <v>1063</v>
      </c>
      <c r="G101" s="178" t="s">
        <v>1064</v>
      </c>
      <c r="H101" s="160" t="s">
        <v>193</v>
      </c>
      <c r="I101" s="161" t="s">
        <v>111</v>
      </c>
      <c r="J101" s="173"/>
      <c r="K101" s="174" t="s">
        <v>36</v>
      </c>
    </row>
    <row r="102">
      <c r="A102" s="159" t="s">
        <v>355</v>
      </c>
      <c r="B102" s="159" t="s">
        <v>1278</v>
      </c>
      <c r="C102" s="159" t="s">
        <v>1074</v>
      </c>
      <c r="D102" s="159" t="s">
        <v>1075</v>
      </c>
      <c r="E102" s="159" t="s">
        <v>1076</v>
      </c>
      <c r="F102" s="159" t="s">
        <v>1077</v>
      </c>
      <c r="G102" s="159" t="s">
        <v>1078</v>
      </c>
      <c r="H102" s="160" t="s">
        <v>193</v>
      </c>
      <c r="I102" s="161" t="s">
        <v>36</v>
      </c>
      <c r="J102" s="173"/>
      <c r="K102" s="174" t="s">
        <v>36</v>
      </c>
      <c r="L102" s="164"/>
      <c r="M102" s="164"/>
      <c r="N102" s="164"/>
      <c r="O102" s="164"/>
      <c r="P102" s="164"/>
      <c r="Q102" s="164"/>
      <c r="R102" s="164"/>
      <c r="S102" s="164"/>
      <c r="T102" s="164"/>
      <c r="U102" s="164"/>
      <c r="V102" s="164"/>
      <c r="W102" s="164"/>
      <c r="X102" s="164"/>
      <c r="Y102" s="164"/>
      <c r="Z102" s="164"/>
      <c r="AA102" s="164"/>
    </row>
    <row r="103">
      <c r="A103" s="159" t="s">
        <v>355</v>
      </c>
      <c r="B103" s="159" t="s">
        <v>1279</v>
      </c>
      <c r="C103" s="159" t="s">
        <v>1081</v>
      </c>
      <c r="D103" s="159" t="s">
        <v>1082</v>
      </c>
      <c r="E103" s="159" t="s">
        <v>938</v>
      </c>
      <c r="F103" s="159" t="s">
        <v>1083</v>
      </c>
      <c r="G103" s="159" t="s">
        <v>1084</v>
      </c>
      <c r="H103" s="160" t="s">
        <v>193</v>
      </c>
      <c r="I103" s="161" t="s">
        <v>111</v>
      </c>
      <c r="J103" s="173"/>
      <c r="K103" s="174" t="s">
        <v>36</v>
      </c>
      <c r="L103" s="164"/>
      <c r="M103" s="164"/>
      <c r="N103" s="164"/>
      <c r="O103" s="164"/>
      <c r="P103" s="164"/>
      <c r="Q103" s="164"/>
      <c r="R103" s="164"/>
      <c r="S103" s="164"/>
      <c r="T103" s="164"/>
      <c r="U103" s="164"/>
      <c r="V103" s="164"/>
      <c r="W103" s="164"/>
      <c r="X103" s="164"/>
      <c r="Y103" s="164"/>
      <c r="Z103" s="164"/>
      <c r="AA103" s="164"/>
    </row>
    <row r="104">
      <c r="A104" s="159" t="s">
        <v>355</v>
      </c>
      <c r="B104" s="159" t="s">
        <v>1280</v>
      </c>
      <c r="C104" s="159" t="s">
        <v>1088</v>
      </c>
      <c r="D104" s="159" t="s">
        <v>1089</v>
      </c>
      <c r="E104" s="159" t="s">
        <v>1090</v>
      </c>
      <c r="F104" s="159" t="s">
        <v>1091</v>
      </c>
      <c r="G104" s="159" t="s">
        <v>1092</v>
      </c>
      <c r="H104" s="160" t="s">
        <v>193</v>
      </c>
      <c r="I104" s="161" t="s">
        <v>36</v>
      </c>
      <c r="J104" s="173"/>
      <c r="K104" s="174" t="s">
        <v>36</v>
      </c>
      <c r="L104" s="164"/>
      <c r="M104" s="164"/>
      <c r="N104" s="164"/>
      <c r="O104" s="164"/>
      <c r="P104" s="164"/>
      <c r="Q104" s="164"/>
      <c r="R104" s="164"/>
      <c r="S104" s="164"/>
      <c r="T104" s="164"/>
      <c r="U104" s="164"/>
      <c r="V104" s="164"/>
      <c r="W104" s="164"/>
      <c r="X104" s="164"/>
      <c r="Y104" s="164"/>
      <c r="Z104" s="164"/>
      <c r="AA104" s="164"/>
    </row>
    <row r="105">
      <c r="A105" s="159" t="s">
        <v>413</v>
      </c>
      <c r="B105" s="159" t="s">
        <v>1281</v>
      </c>
      <c r="C105" s="159" t="s">
        <v>1095</v>
      </c>
      <c r="D105" s="159" t="s">
        <v>1096</v>
      </c>
      <c r="E105" s="159" t="s">
        <v>1076</v>
      </c>
      <c r="F105" s="159" t="s">
        <v>1097</v>
      </c>
      <c r="G105" s="159" t="s">
        <v>1098</v>
      </c>
      <c r="H105" s="160" t="s">
        <v>193</v>
      </c>
      <c r="I105" s="161" t="s">
        <v>111</v>
      </c>
      <c r="J105" s="173"/>
      <c r="K105" s="174" t="s">
        <v>36</v>
      </c>
      <c r="L105" s="164"/>
      <c r="M105" s="164"/>
      <c r="N105" s="164"/>
      <c r="O105" s="164"/>
      <c r="P105" s="164"/>
      <c r="Q105" s="164"/>
      <c r="R105" s="164"/>
      <c r="S105" s="164"/>
      <c r="T105" s="164"/>
      <c r="U105" s="164"/>
      <c r="V105" s="164"/>
      <c r="W105" s="164"/>
      <c r="X105" s="164"/>
      <c r="Y105" s="164"/>
      <c r="Z105" s="164"/>
      <c r="AA105" s="164"/>
    </row>
    <row r="106">
      <c r="A106" s="159" t="s">
        <v>413</v>
      </c>
      <c r="B106" s="159" t="s">
        <v>1282</v>
      </c>
      <c r="C106" s="159" t="s">
        <v>1101</v>
      </c>
      <c r="D106" s="159" t="s">
        <v>1102</v>
      </c>
      <c r="E106" s="159" t="s">
        <v>938</v>
      </c>
      <c r="F106" s="159" t="s">
        <v>1103</v>
      </c>
      <c r="G106" s="159" t="s">
        <v>1104</v>
      </c>
      <c r="H106" s="160" t="s">
        <v>193</v>
      </c>
      <c r="I106" s="161" t="s">
        <v>36</v>
      </c>
      <c r="J106" s="175" t="s">
        <v>1240</v>
      </c>
      <c r="K106" s="176" t="s">
        <v>111</v>
      </c>
      <c r="L106" s="164"/>
      <c r="M106" s="164"/>
      <c r="N106" s="164"/>
      <c r="O106" s="164"/>
      <c r="P106" s="164"/>
      <c r="Q106" s="164"/>
      <c r="R106" s="164"/>
      <c r="S106" s="164"/>
      <c r="T106" s="164"/>
      <c r="U106" s="164"/>
      <c r="V106" s="164"/>
      <c r="W106" s="164"/>
      <c r="X106" s="164"/>
      <c r="Y106" s="164"/>
      <c r="Z106" s="164"/>
      <c r="AA106" s="164"/>
    </row>
    <row r="107">
      <c r="A107" s="159" t="s">
        <v>413</v>
      </c>
      <c r="B107" s="159" t="s">
        <v>1283</v>
      </c>
      <c r="C107" s="159" t="s">
        <v>1106</v>
      </c>
      <c r="D107" s="159" t="s">
        <v>1107</v>
      </c>
      <c r="E107" s="159" t="s">
        <v>938</v>
      </c>
      <c r="F107" s="159" t="s">
        <v>1108</v>
      </c>
      <c r="G107" s="159" t="s">
        <v>1109</v>
      </c>
      <c r="H107" s="160" t="s">
        <v>193</v>
      </c>
      <c r="I107" s="161" t="s">
        <v>111</v>
      </c>
      <c r="J107" s="173"/>
      <c r="K107" s="174" t="s">
        <v>36</v>
      </c>
      <c r="L107" s="164"/>
      <c r="M107" s="164"/>
      <c r="N107" s="164"/>
      <c r="O107" s="164"/>
      <c r="P107" s="164"/>
      <c r="Q107" s="164"/>
      <c r="R107" s="164"/>
      <c r="S107" s="164"/>
      <c r="T107" s="164"/>
      <c r="U107" s="164"/>
      <c r="V107" s="164"/>
      <c r="W107" s="164"/>
      <c r="X107" s="164"/>
      <c r="Y107" s="164"/>
      <c r="Z107" s="164"/>
      <c r="AA107" s="164"/>
    </row>
    <row r="108">
      <c r="A108" s="159" t="s">
        <v>413</v>
      </c>
      <c r="B108" s="159" t="s">
        <v>1284</v>
      </c>
      <c r="C108" s="159" t="s">
        <v>1111</v>
      </c>
      <c r="D108" s="159" t="s">
        <v>1112</v>
      </c>
      <c r="E108" s="159" t="s">
        <v>938</v>
      </c>
      <c r="F108" s="159" t="s">
        <v>1113</v>
      </c>
      <c r="G108" s="159" t="s">
        <v>1114</v>
      </c>
      <c r="H108" s="160" t="s">
        <v>193</v>
      </c>
      <c r="I108" s="161" t="s">
        <v>36</v>
      </c>
      <c r="J108" s="173"/>
      <c r="K108" s="174" t="s">
        <v>36</v>
      </c>
      <c r="L108" s="164"/>
      <c r="M108" s="164"/>
      <c r="N108" s="164"/>
      <c r="O108" s="164"/>
      <c r="P108" s="164"/>
      <c r="Q108" s="164"/>
      <c r="R108" s="164"/>
      <c r="S108" s="164"/>
      <c r="T108" s="164"/>
      <c r="U108" s="164"/>
      <c r="V108" s="164"/>
      <c r="W108" s="164"/>
      <c r="X108" s="164"/>
      <c r="Y108" s="164"/>
      <c r="Z108" s="164"/>
      <c r="AA108" s="164"/>
    </row>
    <row r="109">
      <c r="A109" s="159" t="s">
        <v>413</v>
      </c>
      <c r="B109" s="159" t="s">
        <v>1285</v>
      </c>
      <c r="C109" s="159" t="s">
        <v>1116</v>
      </c>
      <c r="D109" s="159" t="s">
        <v>1117</v>
      </c>
      <c r="E109" s="159" t="s">
        <v>1118</v>
      </c>
      <c r="F109" s="159" t="s">
        <v>1119</v>
      </c>
      <c r="G109" s="159" t="s">
        <v>1120</v>
      </c>
      <c r="H109" s="160" t="s">
        <v>193</v>
      </c>
      <c r="I109" s="161" t="s">
        <v>36</v>
      </c>
      <c r="J109" s="173"/>
      <c r="K109" s="174" t="s">
        <v>36</v>
      </c>
      <c r="L109" s="164"/>
      <c r="M109" s="164"/>
      <c r="N109" s="164"/>
      <c r="O109" s="164"/>
      <c r="P109" s="164"/>
      <c r="Q109" s="164"/>
      <c r="R109" s="164"/>
      <c r="S109" s="164"/>
      <c r="T109" s="164"/>
      <c r="U109" s="164"/>
      <c r="V109" s="164"/>
      <c r="W109" s="164"/>
      <c r="X109" s="164"/>
      <c r="Y109" s="164"/>
      <c r="Z109" s="164"/>
      <c r="AA109" s="164"/>
    </row>
    <row r="110">
      <c r="A110" s="159" t="s">
        <v>413</v>
      </c>
      <c r="B110" s="159" t="s">
        <v>1286</v>
      </c>
      <c r="C110" s="159" t="s">
        <v>1123</v>
      </c>
      <c r="D110" s="159" t="s">
        <v>1124</v>
      </c>
      <c r="E110" s="159" t="s">
        <v>938</v>
      </c>
      <c r="F110" s="159" t="s">
        <v>1125</v>
      </c>
      <c r="G110" s="159" t="s">
        <v>1126</v>
      </c>
      <c r="H110" s="160" t="s">
        <v>193</v>
      </c>
      <c r="I110" s="161" t="s">
        <v>36</v>
      </c>
      <c r="J110" s="173"/>
      <c r="K110" s="174" t="s">
        <v>36</v>
      </c>
      <c r="L110" s="164"/>
      <c r="M110" s="164"/>
      <c r="N110" s="164"/>
      <c r="O110" s="164"/>
      <c r="P110" s="164"/>
      <c r="Q110" s="164"/>
      <c r="R110" s="164"/>
      <c r="S110" s="164"/>
      <c r="T110" s="164"/>
      <c r="U110" s="164"/>
      <c r="V110" s="164"/>
      <c r="W110" s="164"/>
      <c r="X110" s="164"/>
      <c r="Y110" s="164"/>
      <c r="Z110" s="164"/>
      <c r="AA110" s="164"/>
    </row>
    <row r="111">
      <c r="A111" s="159" t="s">
        <v>322</v>
      </c>
      <c r="B111" s="159" t="s">
        <v>1287</v>
      </c>
      <c r="C111" s="159" t="s">
        <v>1288</v>
      </c>
      <c r="D111" s="159" t="s">
        <v>1289</v>
      </c>
      <c r="E111" s="159" t="s">
        <v>920</v>
      </c>
      <c r="F111" s="159" t="s">
        <v>1290</v>
      </c>
      <c r="G111" s="159" t="s">
        <v>1132</v>
      </c>
      <c r="H111" s="160" t="s">
        <v>193</v>
      </c>
      <c r="I111" s="161" t="s">
        <v>111</v>
      </c>
      <c r="J111" s="173"/>
      <c r="K111" s="174" t="s">
        <v>36</v>
      </c>
      <c r="L111" s="164"/>
      <c r="M111" s="164"/>
      <c r="N111" s="164"/>
      <c r="O111" s="164"/>
      <c r="P111" s="164"/>
      <c r="Q111" s="164"/>
      <c r="R111" s="164"/>
      <c r="S111" s="164"/>
      <c r="T111" s="164"/>
      <c r="U111" s="164"/>
      <c r="V111" s="164"/>
      <c r="W111" s="164"/>
      <c r="X111" s="164"/>
      <c r="Y111" s="164"/>
      <c r="Z111" s="164"/>
      <c r="AA111" s="164"/>
    </row>
    <row r="112">
      <c r="A112" s="159" t="s">
        <v>322</v>
      </c>
      <c r="B112" s="159" t="s">
        <v>1291</v>
      </c>
      <c r="C112" s="159" t="s">
        <v>1135</v>
      </c>
      <c r="D112" s="159" t="s">
        <v>1136</v>
      </c>
      <c r="E112" s="159" t="s">
        <v>913</v>
      </c>
      <c r="F112" s="159" t="s">
        <v>1137</v>
      </c>
      <c r="G112" s="159" t="s">
        <v>1138</v>
      </c>
      <c r="H112" s="160" t="s">
        <v>193</v>
      </c>
      <c r="I112" s="161" t="s">
        <v>111</v>
      </c>
      <c r="J112" s="173"/>
      <c r="K112" s="174" t="s">
        <v>36</v>
      </c>
      <c r="L112" s="164"/>
      <c r="M112" s="164"/>
      <c r="N112" s="164"/>
      <c r="O112" s="164"/>
      <c r="P112" s="164"/>
      <c r="Q112" s="164"/>
      <c r="R112" s="164"/>
      <c r="S112" s="164"/>
      <c r="T112" s="164"/>
      <c r="U112" s="164"/>
      <c r="V112" s="164"/>
      <c r="W112" s="164"/>
      <c r="X112" s="164"/>
      <c r="Y112" s="164"/>
      <c r="Z112" s="164"/>
      <c r="AA112" s="164"/>
    </row>
    <row r="113">
      <c r="A113" s="159" t="s">
        <v>322</v>
      </c>
      <c r="B113" s="159" t="s">
        <v>1292</v>
      </c>
      <c r="C113" s="159" t="s">
        <v>1141</v>
      </c>
      <c r="D113" s="159" t="s">
        <v>1142</v>
      </c>
      <c r="E113" s="159" t="s">
        <v>882</v>
      </c>
      <c r="F113" s="159" t="s">
        <v>1143</v>
      </c>
      <c r="G113" s="159" t="s">
        <v>1144</v>
      </c>
      <c r="H113" s="160" t="s">
        <v>193</v>
      </c>
      <c r="I113" s="161" t="s">
        <v>36</v>
      </c>
      <c r="J113" s="173"/>
      <c r="K113" s="174" t="s">
        <v>36</v>
      </c>
      <c r="L113" s="164"/>
      <c r="M113" s="164"/>
      <c r="N113" s="164"/>
      <c r="O113" s="164"/>
      <c r="P113" s="164"/>
      <c r="Q113" s="164"/>
      <c r="R113" s="164"/>
      <c r="S113" s="164"/>
      <c r="T113" s="164"/>
      <c r="U113" s="164"/>
      <c r="V113" s="164"/>
      <c r="W113" s="164"/>
      <c r="X113" s="164"/>
      <c r="Y113" s="164"/>
      <c r="Z113" s="164"/>
      <c r="AA113" s="164"/>
    </row>
    <row r="114">
      <c r="A114" s="159" t="s">
        <v>322</v>
      </c>
      <c r="B114" s="159" t="s">
        <v>1293</v>
      </c>
      <c r="C114" s="159" t="s">
        <v>1147</v>
      </c>
      <c r="D114" s="159" t="s">
        <v>1148</v>
      </c>
      <c r="E114" s="159" t="s">
        <v>882</v>
      </c>
      <c r="F114" s="159" t="s">
        <v>1149</v>
      </c>
      <c r="G114" s="159" t="s">
        <v>1150</v>
      </c>
      <c r="H114" s="160" t="s">
        <v>193</v>
      </c>
      <c r="I114" s="161" t="s">
        <v>36</v>
      </c>
      <c r="J114" s="173"/>
      <c r="K114" s="174" t="s">
        <v>36</v>
      </c>
      <c r="L114" s="164"/>
      <c r="M114" s="164"/>
      <c r="N114" s="164"/>
      <c r="O114" s="164"/>
      <c r="P114" s="164"/>
      <c r="Q114" s="164"/>
      <c r="R114" s="164"/>
      <c r="S114" s="164"/>
      <c r="T114" s="164"/>
      <c r="U114" s="164"/>
      <c r="V114" s="164"/>
      <c r="W114" s="164"/>
      <c r="X114" s="164"/>
      <c r="Y114" s="164"/>
      <c r="Z114" s="164"/>
      <c r="AA114" s="164"/>
    </row>
    <row r="115">
      <c r="A115" s="159" t="s">
        <v>322</v>
      </c>
      <c r="B115" s="159" t="s">
        <v>1294</v>
      </c>
      <c r="C115" s="159" t="s">
        <v>1153</v>
      </c>
      <c r="D115" s="159" t="s">
        <v>1154</v>
      </c>
      <c r="E115" s="159" t="s">
        <v>926</v>
      </c>
      <c r="F115" s="159" t="s">
        <v>1155</v>
      </c>
      <c r="G115" s="159" t="s">
        <v>1156</v>
      </c>
      <c r="H115" s="160" t="s">
        <v>193</v>
      </c>
      <c r="I115" s="161" t="s">
        <v>111</v>
      </c>
      <c r="J115" s="175" t="s">
        <v>1295</v>
      </c>
      <c r="K115" s="177" t="s">
        <v>1259</v>
      </c>
      <c r="L115" s="164"/>
      <c r="M115" s="164"/>
      <c r="N115" s="164"/>
      <c r="O115" s="164"/>
      <c r="P115" s="164"/>
      <c r="Q115" s="164"/>
      <c r="R115" s="164"/>
      <c r="S115" s="164"/>
      <c r="T115" s="164"/>
      <c r="U115" s="164"/>
      <c r="V115" s="164"/>
      <c r="W115" s="164"/>
      <c r="X115" s="164"/>
      <c r="Y115" s="164"/>
      <c r="Z115" s="164"/>
      <c r="AA115" s="164"/>
    </row>
    <row r="116">
      <c r="A116" s="159" t="s">
        <v>322</v>
      </c>
      <c r="B116" s="159" t="s">
        <v>1296</v>
      </c>
      <c r="C116" s="159" t="s">
        <v>1159</v>
      </c>
      <c r="D116" s="159" t="s">
        <v>1160</v>
      </c>
      <c r="E116" s="159" t="s">
        <v>938</v>
      </c>
      <c r="F116" s="159" t="s">
        <v>1161</v>
      </c>
      <c r="G116" s="159" t="s">
        <v>1162</v>
      </c>
      <c r="H116" s="160" t="s">
        <v>193</v>
      </c>
      <c r="I116" s="161" t="s">
        <v>36</v>
      </c>
      <c r="J116" s="173"/>
      <c r="K116" s="174" t="s">
        <v>36</v>
      </c>
      <c r="L116" s="164"/>
      <c r="M116" s="164"/>
      <c r="N116" s="164"/>
      <c r="O116" s="164"/>
      <c r="P116" s="164"/>
      <c r="Q116" s="164"/>
      <c r="R116" s="164"/>
      <c r="S116" s="164"/>
      <c r="T116" s="164"/>
      <c r="U116" s="164"/>
      <c r="V116" s="164"/>
      <c r="W116" s="164"/>
      <c r="X116" s="164"/>
      <c r="Y116" s="164"/>
      <c r="Z116" s="164"/>
      <c r="AA116" s="164"/>
    </row>
    <row r="117">
      <c r="A117" s="159" t="s">
        <v>322</v>
      </c>
      <c r="B117" s="159" t="s">
        <v>1297</v>
      </c>
      <c r="C117" s="159" t="s">
        <v>1165</v>
      </c>
      <c r="D117" s="159" t="s">
        <v>1166</v>
      </c>
      <c r="E117" s="159" t="s">
        <v>882</v>
      </c>
      <c r="F117" s="159" t="s">
        <v>1167</v>
      </c>
      <c r="G117" s="159" t="s">
        <v>1168</v>
      </c>
      <c r="H117" s="160" t="s">
        <v>193</v>
      </c>
      <c r="I117" s="161" t="s">
        <v>111</v>
      </c>
      <c r="J117" s="173"/>
      <c r="K117" s="174" t="s">
        <v>36</v>
      </c>
      <c r="L117" s="164"/>
      <c r="M117" s="164"/>
      <c r="N117" s="164"/>
      <c r="O117" s="164"/>
      <c r="P117" s="164"/>
      <c r="Q117" s="164"/>
      <c r="R117" s="164"/>
      <c r="S117" s="164"/>
      <c r="T117" s="164"/>
      <c r="U117" s="164"/>
      <c r="V117" s="164"/>
      <c r="W117" s="164"/>
      <c r="X117" s="164"/>
      <c r="Y117" s="164"/>
      <c r="Z117" s="164"/>
      <c r="AA117" s="164"/>
    </row>
    <row r="118">
      <c r="A118" s="159" t="s">
        <v>383</v>
      </c>
      <c r="B118" s="159" t="s">
        <v>1298</v>
      </c>
      <c r="C118" s="159" t="s">
        <v>1170</v>
      </c>
      <c r="D118" s="159" t="s">
        <v>1171</v>
      </c>
      <c r="E118" s="159" t="s">
        <v>1076</v>
      </c>
      <c r="F118" s="159" t="s">
        <v>1172</v>
      </c>
      <c r="G118" s="159" t="s">
        <v>1173</v>
      </c>
      <c r="H118" s="160" t="s">
        <v>193</v>
      </c>
      <c r="I118" s="161" t="s">
        <v>36</v>
      </c>
      <c r="J118" s="173"/>
      <c r="K118" s="174" t="s">
        <v>36</v>
      </c>
      <c r="L118" s="164"/>
      <c r="M118" s="164"/>
      <c r="N118" s="164"/>
      <c r="O118" s="164"/>
      <c r="P118" s="164"/>
      <c r="Q118" s="164"/>
      <c r="R118" s="164"/>
      <c r="S118" s="164"/>
      <c r="T118" s="164"/>
      <c r="U118" s="164"/>
      <c r="V118" s="164"/>
      <c r="W118" s="164"/>
      <c r="X118" s="164"/>
      <c r="Y118" s="164"/>
      <c r="Z118" s="164"/>
      <c r="AA118" s="164"/>
    </row>
    <row r="119">
      <c r="A119" s="159" t="s">
        <v>383</v>
      </c>
      <c r="B119" s="159" t="s">
        <v>1299</v>
      </c>
      <c r="C119" s="159" t="s">
        <v>1176</v>
      </c>
      <c r="D119" s="159" t="s">
        <v>1177</v>
      </c>
      <c r="E119" s="159" t="s">
        <v>882</v>
      </c>
      <c r="F119" s="159" t="s">
        <v>1178</v>
      </c>
      <c r="G119" s="159" t="s">
        <v>1179</v>
      </c>
      <c r="H119" s="160" t="s">
        <v>193</v>
      </c>
      <c r="I119" s="161" t="s">
        <v>36</v>
      </c>
      <c r="J119" s="173"/>
      <c r="K119" s="174" t="s">
        <v>36</v>
      </c>
      <c r="L119" s="164"/>
      <c r="M119" s="164"/>
      <c r="N119" s="164"/>
      <c r="O119" s="164"/>
      <c r="P119" s="164"/>
      <c r="Q119" s="164"/>
      <c r="R119" s="164"/>
      <c r="S119" s="164"/>
      <c r="T119" s="164"/>
      <c r="U119" s="164"/>
      <c r="V119" s="164"/>
      <c r="W119" s="164"/>
      <c r="X119" s="164"/>
      <c r="Y119" s="164"/>
      <c r="Z119" s="164"/>
      <c r="AA119" s="164"/>
    </row>
    <row r="120">
      <c r="A120" s="159" t="s">
        <v>383</v>
      </c>
      <c r="B120" s="159" t="s">
        <v>1300</v>
      </c>
      <c r="C120" s="159" t="s">
        <v>1182</v>
      </c>
      <c r="D120" s="159" t="s">
        <v>1183</v>
      </c>
      <c r="E120" s="159" t="s">
        <v>920</v>
      </c>
      <c r="F120" s="159" t="s">
        <v>1184</v>
      </c>
      <c r="G120" s="159" t="s">
        <v>1185</v>
      </c>
      <c r="H120" s="160" t="s">
        <v>193</v>
      </c>
      <c r="I120" s="161" t="s">
        <v>36</v>
      </c>
      <c r="J120" s="173"/>
      <c r="K120" s="174" t="s">
        <v>36</v>
      </c>
      <c r="L120" s="164"/>
      <c r="M120" s="164"/>
      <c r="N120" s="164"/>
      <c r="O120" s="164"/>
      <c r="P120" s="164"/>
      <c r="Q120" s="164"/>
      <c r="R120" s="164"/>
      <c r="S120" s="164"/>
      <c r="T120" s="164"/>
      <c r="U120" s="164"/>
      <c r="V120" s="164"/>
      <c r="W120" s="164"/>
      <c r="X120" s="164"/>
      <c r="Y120" s="164"/>
      <c r="Z120" s="164"/>
      <c r="AA120" s="164"/>
    </row>
    <row r="121">
      <c r="A121" s="159" t="s">
        <v>383</v>
      </c>
      <c r="B121" s="159" t="s">
        <v>1301</v>
      </c>
      <c r="C121" s="159" t="s">
        <v>1188</v>
      </c>
      <c r="D121" s="159" t="s">
        <v>1189</v>
      </c>
      <c r="E121" s="159" t="s">
        <v>938</v>
      </c>
      <c r="F121" s="159" t="s">
        <v>1190</v>
      </c>
      <c r="G121" s="159" t="s">
        <v>1191</v>
      </c>
      <c r="H121" s="160" t="s">
        <v>193</v>
      </c>
      <c r="I121" s="161" t="s">
        <v>36</v>
      </c>
      <c r="J121" s="173"/>
      <c r="K121" s="174" t="s">
        <v>36</v>
      </c>
      <c r="L121" s="164"/>
      <c r="M121" s="164"/>
      <c r="N121" s="164"/>
      <c r="O121" s="164"/>
      <c r="P121" s="164"/>
      <c r="Q121" s="164"/>
      <c r="R121" s="164"/>
      <c r="S121" s="164"/>
      <c r="T121" s="164"/>
      <c r="U121" s="164"/>
      <c r="V121" s="164"/>
      <c r="W121" s="164"/>
      <c r="X121" s="164"/>
      <c r="Y121" s="164"/>
      <c r="Z121" s="164"/>
      <c r="AA121" s="164"/>
    </row>
    <row r="122">
      <c r="A122" s="159" t="s">
        <v>383</v>
      </c>
      <c r="B122" s="159" t="s">
        <v>1302</v>
      </c>
      <c r="C122" s="159" t="s">
        <v>1194</v>
      </c>
      <c r="D122" s="159" t="s">
        <v>1195</v>
      </c>
      <c r="E122" s="159" t="s">
        <v>945</v>
      </c>
      <c r="F122" s="159" t="s">
        <v>1196</v>
      </c>
      <c r="G122" s="159" t="s">
        <v>1197</v>
      </c>
      <c r="H122" s="160" t="s">
        <v>193</v>
      </c>
      <c r="I122" s="161" t="s">
        <v>111</v>
      </c>
      <c r="J122" s="173"/>
      <c r="K122" s="174" t="s">
        <v>36</v>
      </c>
      <c r="L122" s="164"/>
      <c r="M122" s="164"/>
      <c r="N122" s="164"/>
      <c r="O122" s="164"/>
      <c r="P122" s="164"/>
      <c r="Q122" s="164"/>
      <c r="R122" s="164"/>
      <c r="S122" s="164"/>
      <c r="T122" s="164"/>
      <c r="U122" s="164"/>
      <c r="V122" s="164"/>
      <c r="W122" s="164"/>
      <c r="X122" s="164"/>
      <c r="Y122" s="164"/>
      <c r="Z122" s="164"/>
      <c r="AA122" s="164"/>
    </row>
    <row r="123">
      <c r="A123" s="159" t="s">
        <v>1198</v>
      </c>
      <c r="B123" s="159" t="s">
        <v>1303</v>
      </c>
      <c r="C123" s="159" t="s">
        <v>1200</v>
      </c>
      <c r="D123" s="159" t="s">
        <v>1201</v>
      </c>
      <c r="E123" s="159" t="s">
        <v>1202</v>
      </c>
      <c r="F123" s="159" t="s">
        <v>1203</v>
      </c>
      <c r="G123" s="159" t="s">
        <v>1204</v>
      </c>
      <c r="H123" s="160" t="s">
        <v>193</v>
      </c>
      <c r="I123" s="161" t="s">
        <v>36</v>
      </c>
      <c r="J123" s="173"/>
      <c r="K123" s="174" t="s">
        <v>36</v>
      </c>
      <c r="L123" s="164"/>
      <c r="M123" s="164"/>
      <c r="N123" s="164"/>
      <c r="O123" s="164"/>
      <c r="P123" s="164"/>
      <c r="Q123" s="164"/>
      <c r="R123" s="164"/>
      <c r="S123" s="164"/>
      <c r="T123" s="164"/>
      <c r="U123" s="164"/>
      <c r="V123" s="164"/>
      <c r="W123" s="164"/>
      <c r="X123" s="164"/>
      <c r="Y123" s="164"/>
      <c r="Z123" s="164"/>
      <c r="AA123" s="164"/>
    </row>
    <row r="124">
      <c r="A124" s="159" t="s">
        <v>1198</v>
      </c>
      <c r="B124" s="159" t="s">
        <v>1304</v>
      </c>
      <c r="C124" s="159" t="s">
        <v>1208</v>
      </c>
      <c r="D124" s="159" t="s">
        <v>1209</v>
      </c>
      <c r="E124" s="159" t="s">
        <v>1210</v>
      </c>
      <c r="F124" s="159" t="s">
        <v>1211</v>
      </c>
      <c r="G124" s="159" t="s">
        <v>1212</v>
      </c>
      <c r="H124" s="160" t="s">
        <v>193</v>
      </c>
      <c r="I124" s="161" t="s">
        <v>111</v>
      </c>
      <c r="J124" s="173"/>
      <c r="K124" s="174" t="s">
        <v>36</v>
      </c>
      <c r="L124" s="164"/>
      <c r="M124" s="164"/>
      <c r="N124" s="164"/>
      <c r="O124" s="164"/>
      <c r="P124" s="164"/>
      <c r="Q124" s="164"/>
      <c r="R124" s="164"/>
      <c r="S124" s="164"/>
      <c r="T124" s="164"/>
      <c r="U124" s="164"/>
      <c r="V124" s="164"/>
      <c r="W124" s="164"/>
      <c r="X124" s="164"/>
      <c r="Y124" s="164"/>
      <c r="Z124" s="164"/>
      <c r="AA124" s="164"/>
    </row>
    <row r="125">
      <c r="A125" s="159" t="s">
        <v>1198</v>
      </c>
      <c r="B125" s="159" t="s">
        <v>1305</v>
      </c>
      <c r="C125" s="159" t="s">
        <v>1215</v>
      </c>
      <c r="D125" s="159" t="s">
        <v>1216</v>
      </c>
      <c r="E125" s="159" t="s">
        <v>309</v>
      </c>
      <c r="F125" s="159" t="s">
        <v>1217</v>
      </c>
      <c r="G125" s="159" t="s">
        <v>1218</v>
      </c>
      <c r="H125" s="160" t="s">
        <v>193</v>
      </c>
      <c r="I125" s="161" t="s">
        <v>36</v>
      </c>
      <c r="J125" s="173"/>
      <c r="K125" s="174" t="s">
        <v>36</v>
      </c>
      <c r="L125" s="164"/>
      <c r="M125" s="164"/>
      <c r="N125" s="164"/>
      <c r="O125" s="164"/>
      <c r="P125" s="164"/>
      <c r="Q125" s="164"/>
      <c r="R125" s="164"/>
      <c r="S125" s="164"/>
      <c r="T125" s="164"/>
      <c r="U125" s="164"/>
      <c r="V125" s="164"/>
      <c r="W125" s="164"/>
      <c r="X125" s="164"/>
      <c r="Y125" s="164"/>
      <c r="Z125" s="164"/>
      <c r="AA125" s="164"/>
    </row>
    <row r="126">
      <c r="A126" s="159" t="s">
        <v>319</v>
      </c>
      <c r="B126" s="159" t="s">
        <v>1306</v>
      </c>
      <c r="C126" s="159" t="s">
        <v>1221</v>
      </c>
      <c r="D126" s="159" t="s">
        <v>1222</v>
      </c>
      <c r="E126" s="159" t="s">
        <v>1223</v>
      </c>
      <c r="F126" s="159" t="s">
        <v>1224</v>
      </c>
      <c r="G126" s="159" t="s">
        <v>1307</v>
      </c>
      <c r="H126" s="160" t="s">
        <v>193</v>
      </c>
      <c r="I126" s="161" t="s">
        <v>36</v>
      </c>
      <c r="J126" s="173"/>
      <c r="K126" s="174" t="s">
        <v>36</v>
      </c>
      <c r="L126" s="164"/>
      <c r="M126" s="164"/>
      <c r="N126" s="164"/>
      <c r="O126" s="164"/>
      <c r="P126" s="164"/>
      <c r="Q126" s="164"/>
      <c r="R126" s="164"/>
      <c r="S126" s="164"/>
      <c r="T126" s="164"/>
      <c r="U126" s="164"/>
      <c r="V126" s="164"/>
      <c r="W126" s="164"/>
      <c r="X126" s="164"/>
      <c r="Y126" s="164"/>
      <c r="Z126" s="164"/>
      <c r="AA126" s="164"/>
    </row>
    <row r="127">
      <c r="A127" s="159" t="s">
        <v>319</v>
      </c>
      <c r="B127" s="159" t="s">
        <v>1308</v>
      </c>
      <c r="C127" s="159" t="s">
        <v>1228</v>
      </c>
      <c r="D127" s="159" t="s">
        <v>1229</v>
      </c>
      <c r="E127" s="159" t="s">
        <v>1230</v>
      </c>
      <c r="F127" s="159" t="s">
        <v>1309</v>
      </c>
      <c r="G127" s="159" t="s">
        <v>1310</v>
      </c>
      <c r="H127" s="160" t="s">
        <v>193</v>
      </c>
      <c r="I127" s="161" t="s">
        <v>36</v>
      </c>
      <c r="J127" s="173"/>
      <c r="K127" s="174" t="s">
        <v>36</v>
      </c>
      <c r="L127" s="164"/>
      <c r="M127" s="164"/>
      <c r="N127" s="164"/>
      <c r="O127" s="164"/>
      <c r="P127" s="164"/>
      <c r="Q127" s="164"/>
      <c r="R127" s="164"/>
      <c r="S127" s="164"/>
      <c r="T127" s="164"/>
      <c r="U127" s="164"/>
      <c r="V127" s="164"/>
      <c r="W127" s="164"/>
      <c r="X127" s="164"/>
      <c r="Y127" s="164"/>
      <c r="Z127" s="164"/>
      <c r="AA127" s="164"/>
    </row>
    <row r="128" ht="15.75" customHeight="1">
      <c r="A128" s="155"/>
      <c r="B128" s="156"/>
      <c r="C128" s="156"/>
      <c r="D128" s="156"/>
      <c r="E128" s="156"/>
      <c r="F128" s="155" t="s">
        <v>189</v>
      </c>
      <c r="G128" s="156"/>
      <c r="H128" s="172"/>
      <c r="I128" s="172"/>
      <c r="J128" s="172"/>
      <c r="K128" s="156"/>
      <c r="L128" s="158"/>
      <c r="M128" s="158"/>
      <c r="N128" s="158"/>
      <c r="O128" s="158"/>
      <c r="P128" s="158"/>
      <c r="Q128" s="158"/>
      <c r="R128" s="158"/>
      <c r="S128" s="158"/>
      <c r="T128" s="158"/>
      <c r="U128" s="158"/>
      <c r="V128" s="158"/>
      <c r="W128" s="158"/>
      <c r="X128" s="158"/>
      <c r="Y128" s="158"/>
      <c r="Z128" s="158"/>
      <c r="AA128" s="158"/>
    </row>
    <row r="129">
      <c r="A129" s="159" t="s">
        <v>195</v>
      </c>
      <c r="B129" s="159" t="s">
        <v>1311</v>
      </c>
      <c r="C129" s="159" t="s">
        <v>845</v>
      </c>
      <c r="D129" s="159" t="s">
        <v>846</v>
      </c>
      <c r="E129" s="159" t="s">
        <v>847</v>
      </c>
      <c r="F129" s="159" t="s">
        <v>848</v>
      </c>
      <c r="G129" s="159" t="s">
        <v>849</v>
      </c>
      <c r="H129" s="160" t="s">
        <v>189</v>
      </c>
      <c r="I129" s="161" t="s">
        <v>36</v>
      </c>
      <c r="J129" s="173"/>
      <c r="K129" s="174" t="s">
        <v>36</v>
      </c>
      <c r="L129" s="164"/>
      <c r="M129" s="164"/>
      <c r="N129" s="164"/>
      <c r="O129" s="164"/>
      <c r="P129" s="164"/>
      <c r="Q129" s="164"/>
      <c r="R129" s="164"/>
      <c r="S129" s="164"/>
      <c r="T129" s="164"/>
      <c r="U129" s="164"/>
      <c r="V129" s="164"/>
      <c r="W129" s="164"/>
      <c r="X129" s="164"/>
      <c r="Y129" s="164"/>
      <c r="Z129" s="164"/>
      <c r="AA129" s="164"/>
    </row>
    <row r="130">
      <c r="A130" s="159" t="s">
        <v>195</v>
      </c>
      <c r="B130" s="159" t="s">
        <v>1312</v>
      </c>
      <c r="C130" s="159" t="s">
        <v>852</v>
      </c>
      <c r="D130" s="159" t="s">
        <v>853</v>
      </c>
      <c r="E130" s="159" t="s">
        <v>854</v>
      </c>
      <c r="F130" s="159" t="s">
        <v>855</v>
      </c>
      <c r="G130" s="159" t="s">
        <v>856</v>
      </c>
      <c r="H130" s="160" t="s">
        <v>189</v>
      </c>
      <c r="I130" s="161" t="s">
        <v>36</v>
      </c>
      <c r="J130" s="173"/>
      <c r="K130" s="174" t="s">
        <v>36</v>
      </c>
      <c r="L130" s="164"/>
      <c r="M130" s="164"/>
      <c r="N130" s="164"/>
      <c r="O130" s="164"/>
      <c r="P130" s="164"/>
      <c r="Q130" s="164"/>
      <c r="R130" s="164"/>
      <c r="S130" s="164"/>
      <c r="T130" s="164"/>
      <c r="U130" s="164"/>
      <c r="V130" s="164"/>
      <c r="W130" s="164"/>
      <c r="X130" s="164"/>
      <c r="Y130" s="164"/>
      <c r="Z130" s="164"/>
      <c r="AA130" s="164"/>
    </row>
    <row r="131">
      <c r="A131" s="159" t="s">
        <v>195</v>
      </c>
      <c r="B131" s="159" t="s">
        <v>1313</v>
      </c>
      <c r="C131" s="159" t="s">
        <v>859</v>
      </c>
      <c r="D131" s="159" t="s">
        <v>860</v>
      </c>
      <c r="E131" s="159" t="s">
        <v>861</v>
      </c>
      <c r="F131" s="159" t="s">
        <v>862</v>
      </c>
      <c r="G131" s="159" t="s">
        <v>863</v>
      </c>
      <c r="H131" s="160" t="s">
        <v>189</v>
      </c>
      <c r="I131" s="161" t="s">
        <v>36</v>
      </c>
      <c r="J131" s="173"/>
      <c r="K131" s="174" t="s">
        <v>36</v>
      </c>
      <c r="L131" s="164"/>
      <c r="M131" s="164"/>
      <c r="N131" s="164"/>
      <c r="O131" s="164"/>
      <c r="P131" s="164"/>
      <c r="Q131" s="164"/>
      <c r="R131" s="164"/>
      <c r="S131" s="164"/>
      <c r="T131" s="164"/>
      <c r="U131" s="164"/>
      <c r="V131" s="164"/>
      <c r="W131" s="164"/>
      <c r="X131" s="164"/>
      <c r="Y131" s="164"/>
      <c r="Z131" s="164"/>
      <c r="AA131" s="164"/>
    </row>
    <row r="132">
      <c r="A132" s="159" t="s">
        <v>195</v>
      </c>
      <c r="B132" s="159" t="s">
        <v>1314</v>
      </c>
      <c r="C132" s="159" t="s">
        <v>866</v>
      </c>
      <c r="D132" s="159" t="s">
        <v>867</v>
      </c>
      <c r="E132" s="159" t="s">
        <v>868</v>
      </c>
      <c r="F132" s="159" t="s">
        <v>869</v>
      </c>
      <c r="G132" s="159" t="s">
        <v>870</v>
      </c>
      <c r="H132" s="160" t="s">
        <v>189</v>
      </c>
      <c r="I132" s="161" t="s">
        <v>36</v>
      </c>
      <c r="J132" s="173"/>
      <c r="K132" s="174" t="s">
        <v>36</v>
      </c>
      <c r="L132" s="164"/>
      <c r="M132" s="164"/>
      <c r="N132" s="164"/>
      <c r="O132" s="164"/>
      <c r="P132" s="164"/>
      <c r="Q132" s="164"/>
      <c r="R132" s="164"/>
      <c r="S132" s="164"/>
      <c r="T132" s="164"/>
      <c r="U132" s="164"/>
      <c r="V132" s="164"/>
      <c r="W132" s="164"/>
      <c r="X132" s="164"/>
      <c r="Y132" s="164"/>
      <c r="Z132" s="164"/>
      <c r="AA132" s="164"/>
    </row>
    <row r="133">
      <c r="A133" s="159" t="s">
        <v>195</v>
      </c>
      <c r="B133" s="159" t="s">
        <v>1315</v>
      </c>
      <c r="C133" s="159" t="s">
        <v>873</v>
      </c>
      <c r="D133" s="159" t="s">
        <v>874</v>
      </c>
      <c r="E133" s="159" t="s">
        <v>875</v>
      </c>
      <c r="F133" s="159" t="s">
        <v>876</v>
      </c>
      <c r="G133" s="159" t="s">
        <v>877</v>
      </c>
      <c r="H133" s="160" t="s">
        <v>189</v>
      </c>
      <c r="I133" s="161" t="s">
        <v>36</v>
      </c>
      <c r="J133" s="173"/>
      <c r="K133" s="174" t="s">
        <v>36</v>
      </c>
      <c r="L133" s="164"/>
      <c r="M133" s="164"/>
      <c r="N133" s="164"/>
      <c r="O133" s="164"/>
      <c r="P133" s="164"/>
      <c r="Q133" s="164"/>
      <c r="R133" s="164"/>
      <c r="S133" s="164"/>
      <c r="T133" s="164"/>
      <c r="U133" s="164"/>
      <c r="V133" s="164"/>
      <c r="W133" s="164"/>
      <c r="X133" s="164"/>
      <c r="Y133" s="164"/>
      <c r="Z133" s="164"/>
      <c r="AA133" s="164"/>
    </row>
    <row r="134">
      <c r="A134" s="159" t="s">
        <v>195</v>
      </c>
      <c r="B134" s="159" t="s">
        <v>1316</v>
      </c>
      <c r="C134" s="159" t="s">
        <v>880</v>
      </c>
      <c r="D134" s="159" t="s">
        <v>881</v>
      </c>
      <c r="E134" s="159" t="s">
        <v>882</v>
      </c>
      <c r="F134" s="159" t="s">
        <v>883</v>
      </c>
      <c r="G134" s="159" t="s">
        <v>884</v>
      </c>
      <c r="H134" s="160" t="s">
        <v>189</v>
      </c>
      <c r="I134" s="161" t="s">
        <v>36</v>
      </c>
      <c r="J134" s="175" t="s">
        <v>1240</v>
      </c>
      <c r="K134" s="176" t="s">
        <v>111</v>
      </c>
      <c r="L134" s="164"/>
      <c r="M134" s="164"/>
      <c r="N134" s="164"/>
      <c r="O134" s="164"/>
      <c r="P134" s="164"/>
      <c r="Q134" s="164"/>
      <c r="R134" s="164"/>
      <c r="S134" s="164"/>
      <c r="T134" s="164"/>
      <c r="U134" s="164"/>
      <c r="V134" s="164"/>
      <c r="W134" s="164"/>
      <c r="X134" s="164"/>
      <c r="Y134" s="164"/>
      <c r="Z134" s="164"/>
      <c r="AA134" s="164"/>
    </row>
    <row r="135">
      <c r="A135" s="159" t="s">
        <v>195</v>
      </c>
      <c r="B135" s="159" t="s">
        <v>1317</v>
      </c>
      <c r="C135" s="159" t="s">
        <v>888</v>
      </c>
      <c r="D135" s="159" t="s">
        <v>889</v>
      </c>
      <c r="E135" s="159" t="s">
        <v>882</v>
      </c>
      <c r="F135" s="159" t="s">
        <v>890</v>
      </c>
      <c r="G135" s="159" t="s">
        <v>891</v>
      </c>
      <c r="H135" s="160" t="s">
        <v>189</v>
      </c>
      <c r="I135" s="161" t="s">
        <v>36</v>
      </c>
      <c r="J135" s="173"/>
      <c r="K135" s="174" t="s">
        <v>36</v>
      </c>
      <c r="L135" s="164"/>
      <c r="M135" s="164"/>
      <c r="N135" s="164"/>
      <c r="O135" s="164"/>
      <c r="P135" s="164"/>
      <c r="Q135" s="164"/>
      <c r="R135" s="164"/>
      <c r="S135" s="164"/>
      <c r="T135" s="164"/>
      <c r="U135" s="164"/>
      <c r="V135" s="164"/>
      <c r="W135" s="164"/>
      <c r="X135" s="164"/>
      <c r="Y135" s="164"/>
      <c r="Z135" s="164"/>
      <c r="AA135" s="164"/>
    </row>
    <row r="136">
      <c r="A136" s="159" t="s">
        <v>195</v>
      </c>
      <c r="B136" s="159" t="s">
        <v>1318</v>
      </c>
      <c r="C136" s="159" t="s">
        <v>894</v>
      </c>
      <c r="D136" s="159" t="s">
        <v>895</v>
      </c>
      <c r="E136" s="159" t="s">
        <v>882</v>
      </c>
      <c r="F136" s="159" t="s">
        <v>896</v>
      </c>
      <c r="G136" s="159" t="s">
        <v>897</v>
      </c>
      <c r="H136" s="160" t="s">
        <v>189</v>
      </c>
      <c r="I136" s="161" t="s">
        <v>36</v>
      </c>
      <c r="J136" s="173"/>
      <c r="K136" s="174" t="s">
        <v>36</v>
      </c>
      <c r="L136" s="164"/>
      <c r="M136" s="164"/>
      <c r="N136" s="164"/>
      <c r="O136" s="164"/>
      <c r="P136" s="164"/>
      <c r="Q136" s="164"/>
      <c r="R136" s="164"/>
      <c r="S136" s="164"/>
      <c r="T136" s="164"/>
      <c r="U136" s="164"/>
      <c r="V136" s="164"/>
      <c r="W136" s="164"/>
      <c r="X136" s="164"/>
      <c r="Y136" s="164"/>
      <c r="Z136" s="164"/>
      <c r="AA136" s="164"/>
    </row>
    <row r="137">
      <c r="A137" s="159" t="s">
        <v>195</v>
      </c>
      <c r="B137" s="159" t="s">
        <v>1319</v>
      </c>
      <c r="C137" s="159" t="s">
        <v>900</v>
      </c>
      <c r="D137" s="159" t="s">
        <v>901</v>
      </c>
      <c r="E137" s="159" t="s">
        <v>882</v>
      </c>
      <c r="F137" s="159" t="s">
        <v>902</v>
      </c>
      <c r="G137" s="159" t="s">
        <v>903</v>
      </c>
      <c r="H137" s="160" t="s">
        <v>189</v>
      </c>
      <c r="I137" s="161" t="s">
        <v>36</v>
      </c>
      <c r="J137" s="173"/>
      <c r="K137" s="174" t="s">
        <v>36</v>
      </c>
      <c r="L137" s="164"/>
      <c r="M137" s="164"/>
      <c r="N137" s="164"/>
      <c r="O137" s="164"/>
      <c r="P137" s="164"/>
      <c r="Q137" s="164"/>
      <c r="R137" s="164"/>
      <c r="S137" s="164"/>
      <c r="T137" s="164"/>
      <c r="U137" s="164"/>
      <c r="V137" s="164"/>
      <c r="W137" s="164"/>
      <c r="X137" s="164"/>
      <c r="Y137" s="164"/>
      <c r="Z137" s="164"/>
      <c r="AA137" s="164"/>
    </row>
    <row r="138">
      <c r="A138" s="159" t="s">
        <v>195</v>
      </c>
      <c r="B138" s="159" t="s">
        <v>1320</v>
      </c>
      <c r="C138" s="159" t="s">
        <v>906</v>
      </c>
      <c r="D138" s="159" t="s">
        <v>907</v>
      </c>
      <c r="E138" s="159" t="s">
        <v>882</v>
      </c>
      <c r="F138" s="159" t="s">
        <v>908</v>
      </c>
      <c r="G138" s="159" t="s">
        <v>909</v>
      </c>
      <c r="H138" s="160" t="s">
        <v>189</v>
      </c>
      <c r="I138" s="161" t="s">
        <v>36</v>
      </c>
      <c r="J138" s="173"/>
      <c r="K138" s="174" t="s">
        <v>36</v>
      </c>
      <c r="L138" s="164"/>
      <c r="M138" s="164"/>
      <c r="N138" s="164"/>
      <c r="O138" s="164"/>
      <c r="P138" s="164"/>
      <c r="Q138" s="164"/>
      <c r="R138" s="164"/>
      <c r="S138" s="164"/>
      <c r="T138" s="164"/>
      <c r="U138" s="164"/>
      <c r="V138" s="164"/>
      <c r="W138" s="164"/>
      <c r="X138" s="164"/>
      <c r="Y138" s="164"/>
      <c r="Z138" s="164"/>
      <c r="AA138" s="164"/>
    </row>
    <row r="139">
      <c r="A139" s="159" t="s">
        <v>195</v>
      </c>
      <c r="B139" s="159" t="s">
        <v>1321</v>
      </c>
      <c r="C139" s="159" t="s">
        <v>911</v>
      </c>
      <c r="D139" s="159" t="s">
        <v>912</v>
      </c>
      <c r="E139" s="159" t="s">
        <v>913</v>
      </c>
      <c r="F139" s="159" t="s">
        <v>914</v>
      </c>
      <c r="G139" s="159" t="s">
        <v>915</v>
      </c>
      <c r="H139" s="160" t="s">
        <v>189</v>
      </c>
      <c r="I139" s="161" t="s">
        <v>36</v>
      </c>
      <c r="J139" s="173"/>
      <c r="K139" s="174" t="s">
        <v>36</v>
      </c>
      <c r="L139" s="164"/>
      <c r="M139" s="164"/>
      <c r="N139" s="164"/>
      <c r="O139" s="164"/>
      <c r="P139" s="164"/>
      <c r="Q139" s="164"/>
      <c r="R139" s="164"/>
      <c r="S139" s="164"/>
      <c r="T139" s="164"/>
      <c r="U139" s="164"/>
      <c r="V139" s="164"/>
      <c r="W139" s="164"/>
      <c r="X139" s="164"/>
      <c r="Y139" s="164"/>
      <c r="Z139" s="164"/>
      <c r="AA139" s="164"/>
    </row>
    <row r="140">
      <c r="A140" s="159" t="s">
        <v>195</v>
      </c>
      <c r="B140" s="159" t="s">
        <v>1322</v>
      </c>
      <c r="C140" s="159" t="s">
        <v>918</v>
      </c>
      <c r="D140" s="159" t="s">
        <v>919</v>
      </c>
      <c r="E140" s="159" t="s">
        <v>920</v>
      </c>
      <c r="F140" s="159" t="s">
        <v>921</v>
      </c>
      <c r="G140" s="159" t="s">
        <v>922</v>
      </c>
      <c r="H140" s="160" t="s">
        <v>189</v>
      </c>
      <c r="I140" s="161" t="s">
        <v>36</v>
      </c>
      <c r="J140" s="173"/>
      <c r="K140" s="174" t="s">
        <v>36</v>
      </c>
      <c r="L140" s="164"/>
      <c r="M140" s="164"/>
      <c r="N140" s="164"/>
      <c r="O140" s="164"/>
      <c r="P140" s="164"/>
      <c r="Q140" s="164"/>
      <c r="R140" s="164"/>
      <c r="S140" s="164"/>
      <c r="T140" s="164"/>
      <c r="U140" s="164"/>
      <c r="V140" s="164"/>
      <c r="W140" s="164"/>
      <c r="X140" s="164"/>
      <c r="Y140" s="164"/>
      <c r="Z140" s="164"/>
      <c r="AA140" s="164"/>
    </row>
    <row r="141">
      <c r="A141" s="159" t="s">
        <v>195</v>
      </c>
      <c r="B141" s="159" t="s">
        <v>1323</v>
      </c>
      <c r="C141" s="159" t="s">
        <v>924</v>
      </c>
      <c r="D141" s="159" t="s">
        <v>925</v>
      </c>
      <c r="E141" s="159" t="s">
        <v>926</v>
      </c>
      <c r="F141" s="159" t="s">
        <v>927</v>
      </c>
      <c r="G141" s="159" t="s">
        <v>928</v>
      </c>
      <c r="H141" s="160" t="s">
        <v>189</v>
      </c>
      <c r="I141" s="161" t="s">
        <v>36</v>
      </c>
      <c r="J141" s="173"/>
      <c r="K141" s="174" t="s">
        <v>36</v>
      </c>
      <c r="L141" s="164"/>
      <c r="M141" s="164"/>
      <c r="N141" s="164"/>
      <c r="O141" s="164"/>
      <c r="P141" s="164"/>
      <c r="Q141" s="164"/>
      <c r="R141" s="164"/>
      <c r="S141" s="164"/>
      <c r="T141" s="164"/>
      <c r="U141" s="164"/>
      <c r="V141" s="164"/>
      <c r="W141" s="164"/>
      <c r="X141" s="164"/>
      <c r="Y141" s="164"/>
      <c r="Z141" s="164"/>
      <c r="AA141" s="164"/>
    </row>
    <row r="142">
      <c r="A142" s="159" t="s">
        <v>195</v>
      </c>
      <c r="B142" s="159" t="s">
        <v>1324</v>
      </c>
      <c r="C142" s="159" t="s">
        <v>930</v>
      </c>
      <c r="D142" s="159" t="s">
        <v>931</v>
      </c>
      <c r="E142" s="159" t="s">
        <v>920</v>
      </c>
      <c r="F142" s="159" t="s">
        <v>932</v>
      </c>
      <c r="G142" s="159" t="s">
        <v>933</v>
      </c>
      <c r="H142" s="160" t="s">
        <v>189</v>
      </c>
      <c r="I142" s="161" t="s">
        <v>36</v>
      </c>
      <c r="J142" s="173"/>
      <c r="K142" s="174" t="s">
        <v>36</v>
      </c>
      <c r="L142" s="164"/>
      <c r="M142" s="164"/>
      <c r="N142" s="164"/>
      <c r="O142" s="164"/>
      <c r="P142" s="164"/>
      <c r="Q142" s="164"/>
      <c r="R142" s="164"/>
      <c r="S142" s="164"/>
      <c r="T142" s="164"/>
      <c r="U142" s="164"/>
      <c r="V142" s="164"/>
      <c r="W142" s="164"/>
      <c r="X142" s="164"/>
      <c r="Y142" s="164"/>
      <c r="Z142" s="164"/>
      <c r="AA142" s="164"/>
    </row>
    <row r="143">
      <c r="A143" s="159" t="s">
        <v>195</v>
      </c>
      <c r="B143" s="159" t="s">
        <v>1325</v>
      </c>
      <c r="C143" s="159" t="s">
        <v>936</v>
      </c>
      <c r="D143" s="159" t="s">
        <v>937</v>
      </c>
      <c r="E143" s="159" t="s">
        <v>938</v>
      </c>
      <c r="F143" s="159" t="s">
        <v>939</v>
      </c>
      <c r="G143" s="159" t="s">
        <v>940</v>
      </c>
      <c r="H143" s="160" t="s">
        <v>189</v>
      </c>
      <c r="I143" s="161" t="s">
        <v>36</v>
      </c>
      <c r="J143" s="173"/>
      <c r="K143" s="174" t="s">
        <v>36</v>
      </c>
      <c r="L143" s="164"/>
      <c r="M143" s="164"/>
      <c r="N143" s="164"/>
      <c r="O143" s="164"/>
      <c r="P143" s="164"/>
      <c r="Q143" s="164"/>
      <c r="R143" s="164"/>
      <c r="S143" s="164"/>
      <c r="T143" s="164"/>
      <c r="U143" s="164"/>
      <c r="V143" s="164"/>
      <c r="W143" s="164"/>
      <c r="X143" s="164"/>
      <c r="Y143" s="164"/>
      <c r="Z143" s="164"/>
      <c r="AA143" s="164"/>
    </row>
    <row r="144">
      <c r="A144" s="159" t="s">
        <v>195</v>
      </c>
      <c r="B144" s="159" t="s">
        <v>1326</v>
      </c>
      <c r="C144" s="159" t="s">
        <v>943</v>
      </c>
      <c r="D144" s="159" t="s">
        <v>944</v>
      </c>
      <c r="E144" s="159" t="s">
        <v>945</v>
      </c>
      <c r="F144" s="159" t="s">
        <v>946</v>
      </c>
      <c r="G144" s="159" t="s">
        <v>947</v>
      </c>
      <c r="H144" s="160" t="s">
        <v>189</v>
      </c>
      <c r="I144" s="161" t="s">
        <v>36</v>
      </c>
      <c r="J144" s="173"/>
      <c r="K144" s="174" t="s">
        <v>36</v>
      </c>
      <c r="L144" s="164"/>
      <c r="M144" s="164"/>
      <c r="N144" s="164"/>
      <c r="O144" s="164"/>
      <c r="P144" s="164"/>
      <c r="Q144" s="164"/>
      <c r="R144" s="164"/>
      <c r="S144" s="164"/>
      <c r="T144" s="164"/>
      <c r="U144" s="164"/>
      <c r="V144" s="164"/>
      <c r="W144" s="164"/>
      <c r="X144" s="164"/>
      <c r="Y144" s="164"/>
      <c r="Z144" s="164"/>
      <c r="AA144" s="164"/>
    </row>
    <row r="145">
      <c r="A145" s="159" t="s">
        <v>195</v>
      </c>
      <c r="B145" s="159" t="s">
        <v>1327</v>
      </c>
      <c r="C145" s="159" t="s">
        <v>950</v>
      </c>
      <c r="D145" s="159" t="s">
        <v>951</v>
      </c>
      <c r="E145" s="159" t="s">
        <v>938</v>
      </c>
      <c r="F145" s="159" t="s">
        <v>952</v>
      </c>
      <c r="G145" s="159" t="s">
        <v>953</v>
      </c>
      <c r="H145" s="160" t="s">
        <v>189</v>
      </c>
      <c r="I145" s="161" t="s">
        <v>36</v>
      </c>
      <c r="J145" s="173"/>
      <c r="K145" s="174" t="s">
        <v>36</v>
      </c>
      <c r="L145" s="164"/>
      <c r="M145" s="164"/>
      <c r="N145" s="164"/>
      <c r="O145" s="164"/>
      <c r="P145" s="164"/>
      <c r="Q145" s="164"/>
      <c r="R145" s="164"/>
      <c r="S145" s="164"/>
      <c r="T145" s="164"/>
      <c r="U145" s="164"/>
      <c r="V145" s="164"/>
      <c r="W145" s="164"/>
      <c r="X145" s="164"/>
      <c r="Y145" s="164"/>
      <c r="Z145" s="164"/>
      <c r="AA145" s="164"/>
    </row>
    <row r="146">
      <c r="A146" s="159" t="s">
        <v>195</v>
      </c>
      <c r="B146" s="159" t="s">
        <v>1328</v>
      </c>
      <c r="C146" s="159" t="s">
        <v>956</v>
      </c>
      <c r="D146" s="159" t="s">
        <v>957</v>
      </c>
      <c r="E146" s="159" t="s">
        <v>958</v>
      </c>
      <c r="F146" s="159" t="s">
        <v>959</v>
      </c>
      <c r="G146" s="159" t="s">
        <v>960</v>
      </c>
      <c r="H146" s="160" t="s">
        <v>189</v>
      </c>
      <c r="I146" s="161" t="s">
        <v>36</v>
      </c>
      <c r="J146" s="173"/>
      <c r="K146" s="174" t="s">
        <v>36</v>
      </c>
      <c r="L146" s="164"/>
      <c r="M146" s="164"/>
      <c r="N146" s="164"/>
      <c r="O146" s="164"/>
      <c r="P146" s="164"/>
      <c r="Q146" s="164"/>
      <c r="R146" s="164"/>
      <c r="S146" s="164"/>
      <c r="T146" s="164"/>
      <c r="U146" s="164"/>
      <c r="V146" s="164"/>
      <c r="W146" s="164"/>
      <c r="X146" s="164"/>
      <c r="Y146" s="164"/>
      <c r="Z146" s="164"/>
      <c r="AA146" s="164"/>
    </row>
    <row r="147">
      <c r="A147" s="159" t="s">
        <v>195</v>
      </c>
      <c r="B147" s="159" t="s">
        <v>1329</v>
      </c>
      <c r="C147" s="159" t="s">
        <v>962</v>
      </c>
      <c r="D147" s="159" t="s">
        <v>963</v>
      </c>
      <c r="E147" s="159" t="s">
        <v>938</v>
      </c>
      <c r="F147" s="159" t="s">
        <v>964</v>
      </c>
      <c r="G147" s="159" t="s">
        <v>965</v>
      </c>
      <c r="H147" s="160" t="s">
        <v>189</v>
      </c>
      <c r="I147" s="161" t="s">
        <v>36</v>
      </c>
      <c r="J147" s="173"/>
      <c r="K147" s="174" t="s">
        <v>36</v>
      </c>
      <c r="L147" s="164"/>
      <c r="M147" s="164"/>
      <c r="N147" s="164"/>
      <c r="O147" s="164"/>
      <c r="P147" s="164"/>
      <c r="Q147" s="164"/>
      <c r="R147" s="164"/>
      <c r="S147" s="164"/>
      <c r="T147" s="164"/>
      <c r="U147" s="164"/>
      <c r="V147" s="164"/>
      <c r="W147" s="164"/>
      <c r="X147" s="164"/>
      <c r="Y147" s="164"/>
      <c r="Z147" s="164"/>
      <c r="AA147" s="164"/>
    </row>
    <row r="148">
      <c r="A148" s="159" t="s">
        <v>195</v>
      </c>
      <c r="B148" s="159" t="s">
        <v>1330</v>
      </c>
      <c r="C148" s="159" t="s">
        <v>968</v>
      </c>
      <c r="D148" s="159" t="s">
        <v>969</v>
      </c>
      <c r="E148" s="159" t="s">
        <v>970</v>
      </c>
      <c r="F148" s="159" t="s">
        <v>971</v>
      </c>
      <c r="G148" s="159" t="s">
        <v>972</v>
      </c>
      <c r="H148" s="160" t="s">
        <v>189</v>
      </c>
      <c r="I148" s="161" t="s">
        <v>36</v>
      </c>
      <c r="J148" s="173"/>
      <c r="K148" s="174" t="s">
        <v>36</v>
      </c>
      <c r="L148" s="164"/>
      <c r="M148" s="164"/>
      <c r="N148" s="164"/>
      <c r="O148" s="164"/>
      <c r="P148" s="164"/>
      <c r="Q148" s="164"/>
      <c r="R148" s="164"/>
      <c r="S148" s="164"/>
      <c r="T148" s="164"/>
      <c r="U148" s="164"/>
      <c r="V148" s="164"/>
      <c r="W148" s="164"/>
      <c r="X148" s="164"/>
      <c r="Y148" s="164"/>
      <c r="Z148" s="164"/>
      <c r="AA148" s="164"/>
    </row>
    <row r="149">
      <c r="A149" s="159" t="s">
        <v>195</v>
      </c>
      <c r="B149" s="159" t="s">
        <v>1331</v>
      </c>
      <c r="C149" s="159" t="s">
        <v>976</v>
      </c>
      <c r="D149" s="159" t="s">
        <v>977</v>
      </c>
      <c r="E149" s="159" t="s">
        <v>970</v>
      </c>
      <c r="F149" s="159" t="s">
        <v>978</v>
      </c>
      <c r="G149" s="159" t="s">
        <v>979</v>
      </c>
      <c r="H149" s="160" t="s">
        <v>189</v>
      </c>
      <c r="I149" s="161" t="s">
        <v>36</v>
      </c>
      <c r="J149" s="173"/>
      <c r="K149" s="174" t="s">
        <v>36</v>
      </c>
      <c r="L149" s="164"/>
      <c r="M149" s="164"/>
      <c r="N149" s="164"/>
      <c r="O149" s="164"/>
      <c r="P149" s="164"/>
      <c r="Q149" s="164"/>
      <c r="R149" s="164"/>
      <c r="S149" s="164"/>
      <c r="T149" s="164"/>
      <c r="U149" s="164"/>
      <c r="V149" s="164"/>
      <c r="W149" s="164"/>
      <c r="X149" s="164"/>
      <c r="Y149" s="164"/>
      <c r="Z149" s="164"/>
      <c r="AA149" s="164"/>
    </row>
    <row r="150">
      <c r="A150" s="159" t="s">
        <v>195</v>
      </c>
      <c r="B150" s="159" t="s">
        <v>1332</v>
      </c>
      <c r="C150" s="159" t="s">
        <v>982</v>
      </c>
      <c r="D150" s="159" t="s">
        <v>983</v>
      </c>
      <c r="E150" s="159" t="s">
        <v>970</v>
      </c>
      <c r="F150" s="159" t="s">
        <v>984</v>
      </c>
      <c r="G150" s="159" t="s">
        <v>985</v>
      </c>
      <c r="H150" s="160" t="s">
        <v>189</v>
      </c>
      <c r="I150" s="161" t="s">
        <v>36</v>
      </c>
      <c r="J150" s="173"/>
      <c r="K150" s="174" t="s">
        <v>36</v>
      </c>
      <c r="L150" s="164"/>
      <c r="M150" s="164"/>
      <c r="N150" s="164"/>
      <c r="O150" s="164"/>
      <c r="P150" s="164"/>
      <c r="Q150" s="164"/>
      <c r="R150" s="164"/>
      <c r="S150" s="164"/>
      <c r="T150" s="164"/>
      <c r="U150" s="164"/>
      <c r="V150" s="164"/>
      <c r="W150" s="164"/>
      <c r="X150" s="164"/>
      <c r="Y150" s="164"/>
      <c r="Z150" s="164"/>
      <c r="AA150" s="164"/>
    </row>
    <row r="151">
      <c r="A151" s="159" t="s">
        <v>195</v>
      </c>
      <c r="B151" s="159" t="s">
        <v>1333</v>
      </c>
      <c r="C151" s="159" t="s">
        <v>988</v>
      </c>
      <c r="D151" s="159" t="s">
        <v>989</v>
      </c>
      <c r="E151" s="159" t="s">
        <v>938</v>
      </c>
      <c r="F151" s="159" t="s">
        <v>990</v>
      </c>
      <c r="G151" s="159" t="s">
        <v>991</v>
      </c>
      <c r="H151" s="160" t="s">
        <v>189</v>
      </c>
      <c r="I151" s="161" t="s">
        <v>111</v>
      </c>
      <c r="J151" s="175" t="s">
        <v>1258</v>
      </c>
      <c r="K151" s="177" t="s">
        <v>1259</v>
      </c>
      <c r="L151" s="164"/>
      <c r="M151" s="164"/>
      <c r="N151" s="164"/>
      <c r="O151" s="164"/>
      <c r="P151" s="164"/>
      <c r="Q151" s="164"/>
      <c r="R151" s="164"/>
      <c r="S151" s="164"/>
      <c r="T151" s="164"/>
      <c r="U151" s="164"/>
      <c r="V151" s="164"/>
      <c r="W151" s="164"/>
      <c r="X151" s="164"/>
      <c r="Y151" s="164"/>
      <c r="Z151" s="164"/>
      <c r="AA151" s="164"/>
    </row>
    <row r="152">
      <c r="A152" s="159" t="s">
        <v>195</v>
      </c>
      <c r="B152" s="159" t="s">
        <v>1334</v>
      </c>
      <c r="C152" s="159" t="s">
        <v>994</v>
      </c>
      <c r="D152" s="159" t="s">
        <v>995</v>
      </c>
      <c r="E152" s="159" t="s">
        <v>996</v>
      </c>
      <c r="F152" s="159" t="s">
        <v>1261</v>
      </c>
      <c r="G152" s="159" t="s">
        <v>1262</v>
      </c>
      <c r="H152" s="160" t="s">
        <v>189</v>
      </c>
      <c r="I152" s="161" t="s">
        <v>111</v>
      </c>
      <c r="J152" s="173"/>
      <c r="K152" s="174" t="s">
        <v>36</v>
      </c>
      <c r="L152" s="164"/>
      <c r="M152" s="164"/>
      <c r="N152" s="164"/>
      <c r="O152" s="164"/>
      <c r="P152" s="164"/>
      <c r="Q152" s="164"/>
      <c r="R152" s="164"/>
      <c r="S152" s="164"/>
      <c r="T152" s="164"/>
      <c r="U152" s="164"/>
      <c r="V152" s="164"/>
      <c r="W152" s="164"/>
      <c r="X152" s="164"/>
      <c r="Y152" s="164"/>
      <c r="Z152" s="164"/>
      <c r="AA152" s="164"/>
    </row>
    <row r="153">
      <c r="A153" s="159" t="s">
        <v>195</v>
      </c>
      <c r="B153" s="159" t="s">
        <v>1335</v>
      </c>
      <c r="C153" s="159" t="s">
        <v>1001</v>
      </c>
      <c r="D153" s="159" t="s">
        <v>1002</v>
      </c>
      <c r="E153" s="159" t="s">
        <v>938</v>
      </c>
      <c r="F153" s="159" t="s">
        <v>1003</v>
      </c>
      <c r="G153" s="159" t="s">
        <v>1004</v>
      </c>
      <c r="H153" s="160" t="s">
        <v>189</v>
      </c>
      <c r="I153" s="161" t="s">
        <v>36</v>
      </c>
      <c r="J153" s="173"/>
      <c r="K153" s="174" t="s">
        <v>36</v>
      </c>
      <c r="L153" s="164"/>
      <c r="M153" s="164"/>
      <c r="N153" s="164"/>
      <c r="O153" s="164"/>
      <c r="P153" s="164"/>
      <c r="Q153" s="164"/>
      <c r="R153" s="164"/>
      <c r="S153" s="164"/>
      <c r="T153" s="164"/>
      <c r="U153" s="164"/>
      <c r="V153" s="164"/>
      <c r="W153" s="164"/>
      <c r="X153" s="164"/>
      <c r="Y153" s="164"/>
      <c r="Z153" s="164"/>
      <c r="AA153" s="164"/>
    </row>
    <row r="154">
      <c r="A154" s="159" t="s">
        <v>195</v>
      </c>
      <c r="B154" s="159" t="s">
        <v>1336</v>
      </c>
      <c r="C154" s="159" t="s">
        <v>1007</v>
      </c>
      <c r="D154" s="159" t="s">
        <v>1008</v>
      </c>
      <c r="E154" s="159" t="s">
        <v>882</v>
      </c>
      <c r="F154" s="159" t="s">
        <v>1009</v>
      </c>
      <c r="G154" s="159" t="s">
        <v>1010</v>
      </c>
      <c r="H154" s="160" t="s">
        <v>189</v>
      </c>
      <c r="I154" s="161" t="s">
        <v>36</v>
      </c>
      <c r="J154" s="173"/>
      <c r="K154" s="174" t="s">
        <v>36</v>
      </c>
      <c r="L154" s="164"/>
      <c r="M154" s="164"/>
      <c r="N154" s="164"/>
      <c r="O154" s="164"/>
      <c r="P154" s="164"/>
      <c r="Q154" s="164"/>
      <c r="R154" s="164"/>
      <c r="S154" s="164"/>
      <c r="T154" s="164"/>
      <c r="U154" s="164"/>
      <c r="V154" s="164"/>
      <c r="W154" s="164"/>
      <c r="X154" s="164"/>
      <c r="Y154" s="164"/>
      <c r="Z154" s="164"/>
      <c r="AA154" s="164"/>
    </row>
    <row r="155">
      <c r="A155" s="159" t="s">
        <v>195</v>
      </c>
      <c r="B155" s="159" t="s">
        <v>1337</v>
      </c>
      <c r="C155" s="159" t="s">
        <v>1012</v>
      </c>
      <c r="D155" s="159" t="s">
        <v>1013</v>
      </c>
      <c r="E155" s="159" t="s">
        <v>938</v>
      </c>
      <c r="F155" s="159" t="s">
        <v>1014</v>
      </c>
      <c r="G155" s="159" t="s">
        <v>1015</v>
      </c>
      <c r="H155" s="160" t="s">
        <v>189</v>
      </c>
      <c r="I155" s="161" t="s">
        <v>36</v>
      </c>
      <c r="J155" s="173"/>
      <c r="K155" s="174" t="s">
        <v>36</v>
      </c>
      <c r="L155" s="164"/>
      <c r="M155" s="164"/>
      <c r="N155" s="164"/>
      <c r="O155" s="164"/>
      <c r="P155" s="164"/>
      <c r="Q155" s="164"/>
      <c r="R155" s="164"/>
      <c r="S155" s="164"/>
      <c r="T155" s="164"/>
      <c r="U155" s="164"/>
      <c r="V155" s="164"/>
      <c r="W155" s="164"/>
      <c r="X155" s="164"/>
      <c r="Y155" s="164"/>
      <c r="Z155" s="164"/>
      <c r="AA155" s="164"/>
    </row>
    <row r="156">
      <c r="A156" s="159" t="s">
        <v>195</v>
      </c>
      <c r="B156" s="159" t="s">
        <v>1338</v>
      </c>
      <c r="C156" s="159" t="s">
        <v>1018</v>
      </c>
      <c r="D156" s="159" t="s">
        <v>1019</v>
      </c>
      <c r="E156" s="159" t="s">
        <v>938</v>
      </c>
      <c r="F156" s="159" t="s">
        <v>1020</v>
      </c>
      <c r="G156" s="159" t="s">
        <v>1015</v>
      </c>
      <c r="H156" s="160" t="s">
        <v>189</v>
      </c>
      <c r="I156" s="161" t="s">
        <v>36</v>
      </c>
      <c r="J156" s="173"/>
      <c r="K156" s="174" t="s">
        <v>36</v>
      </c>
      <c r="L156" s="164"/>
      <c r="M156" s="164"/>
      <c r="N156" s="164"/>
      <c r="O156" s="164"/>
      <c r="P156" s="164"/>
      <c r="Q156" s="164"/>
      <c r="R156" s="164"/>
      <c r="S156" s="164"/>
      <c r="T156" s="164"/>
      <c r="U156" s="164"/>
      <c r="V156" s="164"/>
      <c r="W156" s="164"/>
      <c r="X156" s="164"/>
      <c r="Y156" s="164"/>
      <c r="Z156" s="164"/>
      <c r="AA156" s="164"/>
    </row>
    <row r="157">
      <c r="A157" s="159" t="s">
        <v>195</v>
      </c>
      <c r="B157" s="159" t="s">
        <v>1339</v>
      </c>
      <c r="C157" s="159" t="s">
        <v>1022</v>
      </c>
      <c r="D157" s="159" t="s">
        <v>1023</v>
      </c>
      <c r="E157" s="159" t="s">
        <v>1024</v>
      </c>
      <c r="F157" s="159" t="s">
        <v>1025</v>
      </c>
      <c r="G157" s="159" t="s">
        <v>1026</v>
      </c>
      <c r="H157" s="160" t="s">
        <v>189</v>
      </c>
      <c r="I157" s="161" t="s">
        <v>36</v>
      </c>
      <c r="J157" s="173"/>
      <c r="K157" s="174" t="s">
        <v>36</v>
      </c>
      <c r="L157" s="164"/>
      <c r="M157" s="164"/>
      <c r="N157" s="164"/>
      <c r="O157" s="164"/>
      <c r="P157" s="164"/>
      <c r="Q157" s="164"/>
      <c r="R157" s="164"/>
      <c r="S157" s="164"/>
      <c r="T157" s="164"/>
      <c r="U157" s="164"/>
      <c r="V157" s="164"/>
      <c r="W157" s="164"/>
      <c r="X157" s="164"/>
      <c r="Y157" s="164"/>
      <c r="Z157" s="164"/>
      <c r="AA157" s="164"/>
    </row>
    <row r="158">
      <c r="A158" s="159" t="s">
        <v>195</v>
      </c>
      <c r="B158" s="159" t="s">
        <v>1340</v>
      </c>
      <c r="C158" s="159" t="s">
        <v>1029</v>
      </c>
      <c r="D158" s="159" t="s">
        <v>1030</v>
      </c>
      <c r="E158" s="159" t="s">
        <v>1024</v>
      </c>
      <c r="F158" s="159" t="s">
        <v>1031</v>
      </c>
      <c r="G158" s="159" t="s">
        <v>1032</v>
      </c>
      <c r="H158" s="160" t="s">
        <v>189</v>
      </c>
      <c r="I158" s="161" t="s">
        <v>36</v>
      </c>
      <c r="J158" s="173"/>
      <c r="K158" s="174" t="s">
        <v>36</v>
      </c>
      <c r="L158" s="164"/>
      <c r="M158" s="164"/>
      <c r="N158" s="164"/>
      <c r="O158" s="164"/>
      <c r="P158" s="164"/>
      <c r="Q158" s="164"/>
      <c r="R158" s="164"/>
      <c r="S158" s="164"/>
      <c r="T158" s="164"/>
      <c r="U158" s="164"/>
      <c r="V158" s="164"/>
      <c r="W158" s="164"/>
      <c r="X158" s="164"/>
      <c r="Y158" s="164"/>
      <c r="Z158" s="164"/>
      <c r="AA158" s="164"/>
    </row>
    <row r="159">
      <c r="A159" s="159" t="s">
        <v>195</v>
      </c>
      <c r="B159" s="159" t="s">
        <v>1341</v>
      </c>
      <c r="C159" s="159" t="s">
        <v>1034</v>
      </c>
      <c r="D159" s="159" t="s">
        <v>1035</v>
      </c>
      <c r="E159" s="159" t="s">
        <v>847</v>
      </c>
      <c r="F159" s="159" t="s">
        <v>1036</v>
      </c>
      <c r="G159" s="159" t="s">
        <v>1037</v>
      </c>
      <c r="H159" s="160" t="s">
        <v>189</v>
      </c>
      <c r="I159" s="161" t="s">
        <v>36</v>
      </c>
      <c r="J159" s="173"/>
      <c r="K159" s="174" t="s">
        <v>36</v>
      </c>
      <c r="L159" s="164"/>
      <c r="M159" s="164"/>
      <c r="N159" s="164"/>
      <c r="O159" s="164"/>
      <c r="P159" s="164"/>
      <c r="Q159" s="164"/>
      <c r="R159" s="164"/>
      <c r="S159" s="164"/>
      <c r="T159" s="164"/>
      <c r="U159" s="164"/>
      <c r="V159" s="164"/>
      <c r="W159" s="164"/>
      <c r="X159" s="164"/>
      <c r="Y159" s="164"/>
      <c r="Z159" s="164"/>
      <c r="AA159" s="164"/>
    </row>
    <row r="160">
      <c r="A160" s="159" t="s">
        <v>195</v>
      </c>
      <c r="B160" s="159" t="s">
        <v>1342</v>
      </c>
      <c r="C160" s="159" t="s">
        <v>1039</v>
      </c>
      <c r="D160" s="159" t="s">
        <v>1040</v>
      </c>
      <c r="E160" s="159" t="s">
        <v>1041</v>
      </c>
      <c r="F160" s="159" t="s">
        <v>1271</v>
      </c>
      <c r="G160" s="159" t="s">
        <v>1043</v>
      </c>
      <c r="H160" s="160" t="s">
        <v>189</v>
      </c>
      <c r="I160" s="161" t="s">
        <v>36</v>
      </c>
      <c r="J160" s="175" t="s">
        <v>1240</v>
      </c>
      <c r="K160" s="176" t="s">
        <v>111</v>
      </c>
      <c r="L160" s="164"/>
      <c r="M160" s="164"/>
      <c r="N160" s="164"/>
      <c r="O160" s="164"/>
      <c r="P160" s="164"/>
      <c r="Q160" s="164"/>
      <c r="R160" s="164"/>
      <c r="S160" s="164"/>
      <c r="T160" s="164"/>
      <c r="U160" s="164"/>
      <c r="V160" s="164"/>
      <c r="W160" s="164"/>
      <c r="X160" s="164"/>
      <c r="Y160" s="164"/>
      <c r="Z160" s="164"/>
      <c r="AA160" s="164"/>
    </row>
    <row r="161">
      <c r="A161" s="159" t="s">
        <v>195</v>
      </c>
      <c r="B161" s="159" t="s">
        <v>1343</v>
      </c>
      <c r="C161" s="159" t="s">
        <v>1047</v>
      </c>
      <c r="D161" s="159" t="s">
        <v>1048</v>
      </c>
      <c r="E161" s="159" t="s">
        <v>1049</v>
      </c>
      <c r="F161" s="159" t="s">
        <v>1050</v>
      </c>
      <c r="G161" s="159" t="s">
        <v>1051</v>
      </c>
      <c r="H161" s="160" t="s">
        <v>189</v>
      </c>
      <c r="I161" s="161" t="s">
        <v>36</v>
      </c>
      <c r="J161" s="173"/>
      <c r="K161" s="174" t="s">
        <v>36</v>
      </c>
      <c r="L161" s="164"/>
      <c r="M161" s="164"/>
      <c r="N161" s="164"/>
      <c r="O161" s="164"/>
      <c r="P161" s="164"/>
      <c r="Q161" s="164"/>
      <c r="R161" s="164"/>
      <c r="S161" s="164"/>
      <c r="T161" s="164"/>
      <c r="U161" s="164"/>
      <c r="V161" s="164"/>
      <c r="W161" s="164"/>
      <c r="X161" s="164"/>
      <c r="Y161" s="164"/>
      <c r="Z161" s="164"/>
      <c r="AA161" s="164"/>
    </row>
    <row r="162">
      <c r="A162" s="159" t="s">
        <v>195</v>
      </c>
      <c r="B162" s="159" t="s">
        <v>1344</v>
      </c>
      <c r="C162" s="159" t="s">
        <v>1068</v>
      </c>
      <c r="D162" s="159" t="s">
        <v>1069</v>
      </c>
      <c r="E162" s="159" t="s">
        <v>938</v>
      </c>
      <c r="F162" s="159" t="s">
        <v>1070</v>
      </c>
      <c r="G162" s="159" t="s">
        <v>1071</v>
      </c>
      <c r="H162" s="160" t="s">
        <v>189</v>
      </c>
      <c r="I162" s="161" t="s">
        <v>36</v>
      </c>
      <c r="J162" s="173"/>
      <c r="K162" s="174" t="s">
        <v>36</v>
      </c>
      <c r="L162" s="164"/>
      <c r="M162" s="164"/>
      <c r="N162" s="164"/>
      <c r="O162" s="164"/>
      <c r="P162" s="164"/>
      <c r="Q162" s="164"/>
      <c r="R162" s="164"/>
      <c r="S162" s="164"/>
      <c r="T162" s="164"/>
      <c r="U162" s="164"/>
      <c r="V162" s="164"/>
      <c r="W162" s="164"/>
      <c r="X162" s="164"/>
      <c r="Y162" s="164"/>
      <c r="Z162" s="164"/>
      <c r="AA162" s="164"/>
    </row>
    <row r="163">
      <c r="A163" s="159" t="s">
        <v>195</v>
      </c>
      <c r="B163" s="159" t="s">
        <v>1345</v>
      </c>
      <c r="C163" s="178" t="s">
        <v>1054</v>
      </c>
      <c r="D163" s="178" t="s">
        <v>1055</v>
      </c>
      <c r="E163" s="178" t="s">
        <v>1056</v>
      </c>
      <c r="F163" s="178" t="s">
        <v>1057</v>
      </c>
      <c r="G163" s="178" t="s">
        <v>1058</v>
      </c>
      <c r="H163" s="160" t="s">
        <v>189</v>
      </c>
      <c r="I163" s="161" t="s">
        <v>36</v>
      </c>
      <c r="J163" s="175" t="s">
        <v>1275</v>
      </c>
      <c r="K163" s="177" t="s">
        <v>1276</v>
      </c>
    </row>
    <row r="164">
      <c r="A164" s="159" t="s">
        <v>195</v>
      </c>
      <c r="B164" s="159" t="s">
        <v>1346</v>
      </c>
      <c r="C164" s="178" t="s">
        <v>1054</v>
      </c>
      <c r="D164" s="178" t="s">
        <v>1061</v>
      </c>
      <c r="E164" s="178" t="s">
        <v>1062</v>
      </c>
      <c r="F164" s="178" t="s">
        <v>1063</v>
      </c>
      <c r="G164" s="178" t="s">
        <v>1064</v>
      </c>
      <c r="H164" s="160" t="s">
        <v>189</v>
      </c>
      <c r="I164" s="161" t="s">
        <v>111</v>
      </c>
      <c r="J164" s="175" t="s">
        <v>1347</v>
      </c>
      <c r="K164" s="177" t="s">
        <v>1259</v>
      </c>
    </row>
    <row r="165">
      <c r="A165" s="159" t="s">
        <v>355</v>
      </c>
      <c r="B165" s="159" t="s">
        <v>1348</v>
      </c>
      <c r="C165" s="159" t="s">
        <v>1074</v>
      </c>
      <c r="D165" s="159" t="s">
        <v>1075</v>
      </c>
      <c r="E165" s="159" t="s">
        <v>1076</v>
      </c>
      <c r="F165" s="159" t="s">
        <v>1077</v>
      </c>
      <c r="G165" s="159" t="s">
        <v>1078</v>
      </c>
      <c r="H165" s="160" t="s">
        <v>189</v>
      </c>
      <c r="I165" s="161" t="s">
        <v>36</v>
      </c>
      <c r="J165" s="173"/>
      <c r="K165" s="174" t="s">
        <v>36</v>
      </c>
      <c r="L165" s="164"/>
      <c r="M165" s="164"/>
      <c r="N165" s="164"/>
      <c r="O165" s="164"/>
      <c r="P165" s="164"/>
      <c r="Q165" s="164"/>
      <c r="R165" s="164"/>
      <c r="S165" s="164"/>
      <c r="T165" s="164"/>
      <c r="U165" s="164"/>
      <c r="V165" s="164"/>
      <c r="W165" s="164"/>
      <c r="X165" s="164"/>
      <c r="Y165" s="164"/>
      <c r="Z165" s="164"/>
      <c r="AA165" s="164"/>
    </row>
    <row r="166">
      <c r="A166" s="159" t="s">
        <v>355</v>
      </c>
      <c r="B166" s="159" t="s">
        <v>1349</v>
      </c>
      <c r="C166" s="159" t="s">
        <v>1081</v>
      </c>
      <c r="D166" s="159" t="s">
        <v>1082</v>
      </c>
      <c r="E166" s="159" t="s">
        <v>938</v>
      </c>
      <c r="F166" s="159" t="s">
        <v>1083</v>
      </c>
      <c r="G166" s="159" t="s">
        <v>1084</v>
      </c>
      <c r="H166" s="160" t="s">
        <v>189</v>
      </c>
      <c r="I166" s="161" t="s">
        <v>111</v>
      </c>
      <c r="J166" s="173"/>
      <c r="K166" s="174" t="s">
        <v>36</v>
      </c>
      <c r="L166" s="164"/>
      <c r="M166" s="164"/>
      <c r="N166" s="164"/>
      <c r="O166" s="164"/>
      <c r="P166" s="164"/>
      <c r="Q166" s="164"/>
      <c r="R166" s="164"/>
      <c r="S166" s="164"/>
      <c r="T166" s="164"/>
      <c r="U166" s="164"/>
      <c r="V166" s="164"/>
      <c r="W166" s="164"/>
      <c r="X166" s="164"/>
      <c r="Y166" s="164"/>
      <c r="Z166" s="164"/>
      <c r="AA166" s="164"/>
    </row>
    <row r="167">
      <c r="A167" s="159" t="s">
        <v>355</v>
      </c>
      <c r="B167" s="159" t="s">
        <v>1350</v>
      </c>
      <c r="C167" s="159" t="s">
        <v>1088</v>
      </c>
      <c r="D167" s="159" t="s">
        <v>1089</v>
      </c>
      <c r="E167" s="159" t="s">
        <v>1090</v>
      </c>
      <c r="F167" s="159" t="s">
        <v>1091</v>
      </c>
      <c r="G167" s="159" t="s">
        <v>1092</v>
      </c>
      <c r="H167" s="160" t="s">
        <v>189</v>
      </c>
      <c r="I167" s="161" t="s">
        <v>36</v>
      </c>
      <c r="J167" s="173"/>
      <c r="K167" s="174" t="s">
        <v>36</v>
      </c>
      <c r="L167" s="164"/>
      <c r="M167" s="164"/>
      <c r="N167" s="164"/>
      <c r="O167" s="164"/>
      <c r="P167" s="164"/>
      <c r="Q167" s="164"/>
      <c r="R167" s="164"/>
      <c r="S167" s="164"/>
      <c r="T167" s="164"/>
      <c r="U167" s="164"/>
      <c r="V167" s="164"/>
      <c r="W167" s="164"/>
      <c r="X167" s="164"/>
      <c r="Y167" s="164"/>
      <c r="Z167" s="164"/>
      <c r="AA167" s="164"/>
    </row>
    <row r="168">
      <c r="A168" s="159" t="s">
        <v>413</v>
      </c>
      <c r="B168" s="159" t="s">
        <v>1351</v>
      </c>
      <c r="C168" s="159" t="s">
        <v>1095</v>
      </c>
      <c r="D168" s="159" t="s">
        <v>1096</v>
      </c>
      <c r="E168" s="159" t="s">
        <v>1076</v>
      </c>
      <c r="F168" s="159" t="s">
        <v>1097</v>
      </c>
      <c r="G168" s="159" t="s">
        <v>1098</v>
      </c>
      <c r="H168" s="160" t="s">
        <v>189</v>
      </c>
      <c r="I168" s="161" t="s">
        <v>111</v>
      </c>
      <c r="J168" s="173"/>
      <c r="K168" s="174" t="s">
        <v>36</v>
      </c>
      <c r="L168" s="164"/>
      <c r="M168" s="164"/>
      <c r="N168" s="164"/>
      <c r="O168" s="164"/>
      <c r="P168" s="164"/>
      <c r="Q168" s="164"/>
      <c r="R168" s="164"/>
      <c r="S168" s="164"/>
      <c r="T168" s="164"/>
      <c r="U168" s="164"/>
      <c r="V168" s="164"/>
      <c r="W168" s="164"/>
      <c r="X168" s="164"/>
      <c r="Y168" s="164"/>
      <c r="Z168" s="164"/>
      <c r="AA168" s="164"/>
    </row>
    <row r="169">
      <c r="A169" s="159" t="s">
        <v>413</v>
      </c>
      <c r="B169" s="159" t="s">
        <v>1352</v>
      </c>
      <c r="C169" s="159" t="s">
        <v>1101</v>
      </c>
      <c r="D169" s="159" t="s">
        <v>1102</v>
      </c>
      <c r="E169" s="159" t="s">
        <v>938</v>
      </c>
      <c r="F169" s="159" t="s">
        <v>1103</v>
      </c>
      <c r="G169" s="159" t="s">
        <v>1104</v>
      </c>
      <c r="H169" s="160" t="s">
        <v>189</v>
      </c>
      <c r="I169" s="161" t="s">
        <v>36</v>
      </c>
      <c r="J169" s="175" t="s">
        <v>1240</v>
      </c>
      <c r="K169" s="176" t="s">
        <v>111</v>
      </c>
      <c r="L169" s="164"/>
      <c r="M169" s="164"/>
      <c r="N169" s="164"/>
      <c r="O169" s="164"/>
      <c r="P169" s="164"/>
      <c r="Q169" s="164"/>
      <c r="R169" s="164"/>
      <c r="S169" s="164"/>
      <c r="T169" s="164"/>
      <c r="U169" s="164"/>
      <c r="V169" s="164"/>
      <c r="W169" s="164"/>
      <c r="X169" s="164"/>
      <c r="Y169" s="164"/>
      <c r="Z169" s="164"/>
      <c r="AA169" s="164"/>
    </row>
    <row r="170">
      <c r="A170" s="159" t="s">
        <v>413</v>
      </c>
      <c r="B170" s="159" t="s">
        <v>1353</v>
      </c>
      <c r="C170" s="159" t="s">
        <v>1106</v>
      </c>
      <c r="D170" s="159" t="s">
        <v>1107</v>
      </c>
      <c r="E170" s="159" t="s">
        <v>938</v>
      </c>
      <c r="F170" s="159" t="s">
        <v>1108</v>
      </c>
      <c r="G170" s="159" t="s">
        <v>1109</v>
      </c>
      <c r="H170" s="160" t="s">
        <v>189</v>
      </c>
      <c r="I170" s="161" t="s">
        <v>111</v>
      </c>
      <c r="J170" s="173"/>
      <c r="K170" s="174" t="s">
        <v>36</v>
      </c>
      <c r="L170" s="164"/>
      <c r="M170" s="164"/>
      <c r="N170" s="164"/>
      <c r="O170" s="164"/>
      <c r="P170" s="164"/>
      <c r="Q170" s="164"/>
      <c r="R170" s="164"/>
      <c r="S170" s="164"/>
      <c r="T170" s="164"/>
      <c r="U170" s="164"/>
      <c r="V170" s="164"/>
      <c r="W170" s="164"/>
      <c r="X170" s="164"/>
      <c r="Y170" s="164"/>
      <c r="Z170" s="164"/>
      <c r="AA170" s="164"/>
    </row>
    <row r="171">
      <c r="A171" s="159" t="s">
        <v>413</v>
      </c>
      <c r="B171" s="159" t="s">
        <v>1354</v>
      </c>
      <c r="C171" s="159" t="s">
        <v>1111</v>
      </c>
      <c r="D171" s="159" t="s">
        <v>1112</v>
      </c>
      <c r="E171" s="159" t="s">
        <v>938</v>
      </c>
      <c r="F171" s="159" t="s">
        <v>1113</v>
      </c>
      <c r="G171" s="159" t="s">
        <v>1114</v>
      </c>
      <c r="H171" s="160" t="s">
        <v>189</v>
      </c>
      <c r="I171" s="161" t="s">
        <v>36</v>
      </c>
      <c r="J171" s="173"/>
      <c r="K171" s="174" t="s">
        <v>36</v>
      </c>
      <c r="L171" s="164"/>
      <c r="M171" s="164"/>
      <c r="N171" s="164"/>
      <c r="O171" s="164"/>
      <c r="P171" s="164"/>
      <c r="Q171" s="164"/>
      <c r="R171" s="164"/>
      <c r="S171" s="164"/>
      <c r="T171" s="164"/>
      <c r="U171" s="164"/>
      <c r="V171" s="164"/>
      <c r="W171" s="164"/>
      <c r="X171" s="164"/>
      <c r="Y171" s="164"/>
      <c r="Z171" s="164"/>
      <c r="AA171" s="164"/>
    </row>
    <row r="172">
      <c r="A172" s="159" t="s">
        <v>413</v>
      </c>
      <c r="B172" s="159" t="s">
        <v>1355</v>
      </c>
      <c r="C172" s="159" t="s">
        <v>1116</v>
      </c>
      <c r="D172" s="159" t="s">
        <v>1117</v>
      </c>
      <c r="E172" s="159" t="s">
        <v>1118</v>
      </c>
      <c r="F172" s="159" t="s">
        <v>1119</v>
      </c>
      <c r="G172" s="159" t="s">
        <v>1120</v>
      </c>
      <c r="H172" s="160" t="s">
        <v>189</v>
      </c>
      <c r="I172" s="161" t="s">
        <v>36</v>
      </c>
      <c r="J172" s="173"/>
      <c r="K172" s="174" t="s">
        <v>36</v>
      </c>
      <c r="L172" s="164"/>
      <c r="M172" s="164"/>
      <c r="N172" s="164"/>
      <c r="O172" s="164"/>
      <c r="P172" s="164"/>
      <c r="Q172" s="164"/>
      <c r="R172" s="164"/>
      <c r="S172" s="164"/>
      <c r="T172" s="164"/>
      <c r="U172" s="164"/>
      <c r="V172" s="164"/>
      <c r="W172" s="164"/>
      <c r="X172" s="164"/>
      <c r="Y172" s="164"/>
      <c r="Z172" s="164"/>
      <c r="AA172" s="164"/>
    </row>
    <row r="173">
      <c r="A173" s="159" t="s">
        <v>413</v>
      </c>
      <c r="B173" s="159" t="s">
        <v>1356</v>
      </c>
      <c r="C173" s="159" t="s">
        <v>1123</v>
      </c>
      <c r="D173" s="159" t="s">
        <v>1124</v>
      </c>
      <c r="E173" s="159" t="s">
        <v>938</v>
      </c>
      <c r="F173" s="159" t="s">
        <v>1125</v>
      </c>
      <c r="G173" s="159" t="s">
        <v>1126</v>
      </c>
      <c r="H173" s="160" t="s">
        <v>189</v>
      </c>
      <c r="I173" s="161" t="s">
        <v>36</v>
      </c>
      <c r="J173" s="173"/>
      <c r="K173" s="174" t="s">
        <v>36</v>
      </c>
      <c r="L173" s="164"/>
      <c r="M173" s="164"/>
      <c r="N173" s="164"/>
      <c r="O173" s="164"/>
      <c r="P173" s="164"/>
      <c r="Q173" s="164"/>
      <c r="R173" s="164"/>
      <c r="S173" s="164"/>
      <c r="T173" s="164"/>
      <c r="U173" s="164"/>
      <c r="V173" s="164"/>
      <c r="W173" s="164"/>
      <c r="X173" s="164"/>
      <c r="Y173" s="164"/>
      <c r="Z173" s="164"/>
      <c r="AA173" s="164"/>
    </row>
    <row r="174">
      <c r="A174" s="159" t="s">
        <v>322</v>
      </c>
      <c r="B174" s="159" t="s">
        <v>1357</v>
      </c>
      <c r="C174" s="159" t="s">
        <v>1288</v>
      </c>
      <c r="D174" s="159" t="s">
        <v>1289</v>
      </c>
      <c r="E174" s="159" t="s">
        <v>920</v>
      </c>
      <c r="F174" s="159" t="s">
        <v>1290</v>
      </c>
      <c r="G174" s="159" t="s">
        <v>1132</v>
      </c>
      <c r="H174" s="160" t="s">
        <v>189</v>
      </c>
      <c r="I174" s="161" t="s">
        <v>111</v>
      </c>
      <c r="J174" s="173"/>
      <c r="K174" s="174" t="s">
        <v>36</v>
      </c>
      <c r="L174" s="164"/>
      <c r="M174" s="164"/>
      <c r="N174" s="164"/>
      <c r="O174" s="164"/>
      <c r="P174" s="164"/>
      <c r="Q174" s="164"/>
      <c r="R174" s="164"/>
      <c r="S174" s="164"/>
      <c r="T174" s="164"/>
      <c r="U174" s="164"/>
      <c r="V174" s="164"/>
      <c r="W174" s="164"/>
      <c r="X174" s="164"/>
      <c r="Y174" s="164"/>
      <c r="Z174" s="164"/>
      <c r="AA174" s="164"/>
    </row>
    <row r="175">
      <c r="A175" s="159" t="s">
        <v>322</v>
      </c>
      <c r="B175" s="159" t="s">
        <v>1358</v>
      </c>
      <c r="C175" s="159" t="s">
        <v>1135</v>
      </c>
      <c r="D175" s="159" t="s">
        <v>1136</v>
      </c>
      <c r="E175" s="159" t="s">
        <v>913</v>
      </c>
      <c r="F175" s="159" t="s">
        <v>1137</v>
      </c>
      <c r="G175" s="159" t="s">
        <v>1138</v>
      </c>
      <c r="H175" s="160" t="s">
        <v>189</v>
      </c>
      <c r="I175" s="161" t="s">
        <v>111</v>
      </c>
      <c r="J175" s="173"/>
      <c r="K175" s="174" t="s">
        <v>36</v>
      </c>
      <c r="L175" s="164"/>
      <c r="M175" s="164"/>
      <c r="N175" s="164"/>
      <c r="O175" s="164"/>
      <c r="P175" s="164"/>
      <c r="Q175" s="164"/>
      <c r="R175" s="164"/>
      <c r="S175" s="164"/>
      <c r="T175" s="164"/>
      <c r="U175" s="164"/>
      <c r="V175" s="164"/>
      <c r="W175" s="164"/>
      <c r="X175" s="164"/>
      <c r="Y175" s="164"/>
      <c r="Z175" s="164"/>
      <c r="AA175" s="164"/>
    </row>
    <row r="176">
      <c r="A176" s="159" t="s">
        <v>322</v>
      </c>
      <c r="B176" s="159" t="s">
        <v>1359</v>
      </c>
      <c r="C176" s="159" t="s">
        <v>1141</v>
      </c>
      <c r="D176" s="159" t="s">
        <v>1142</v>
      </c>
      <c r="E176" s="159" t="s">
        <v>882</v>
      </c>
      <c r="F176" s="159" t="s">
        <v>1143</v>
      </c>
      <c r="G176" s="159" t="s">
        <v>1144</v>
      </c>
      <c r="H176" s="160" t="s">
        <v>189</v>
      </c>
      <c r="I176" s="161" t="s">
        <v>36</v>
      </c>
      <c r="J176" s="173"/>
      <c r="K176" s="174" t="s">
        <v>36</v>
      </c>
      <c r="L176" s="164"/>
      <c r="M176" s="164"/>
      <c r="N176" s="164"/>
      <c r="O176" s="164"/>
      <c r="P176" s="164"/>
      <c r="Q176" s="164"/>
      <c r="R176" s="164"/>
      <c r="S176" s="164"/>
      <c r="T176" s="164"/>
      <c r="U176" s="164"/>
      <c r="V176" s="164"/>
      <c r="W176" s="164"/>
      <c r="X176" s="164"/>
      <c r="Y176" s="164"/>
      <c r="Z176" s="164"/>
      <c r="AA176" s="164"/>
    </row>
    <row r="177">
      <c r="A177" s="159" t="s">
        <v>322</v>
      </c>
      <c r="B177" s="159" t="s">
        <v>1360</v>
      </c>
      <c r="C177" s="159" t="s">
        <v>1147</v>
      </c>
      <c r="D177" s="159" t="s">
        <v>1148</v>
      </c>
      <c r="E177" s="159" t="s">
        <v>882</v>
      </c>
      <c r="F177" s="159" t="s">
        <v>1149</v>
      </c>
      <c r="G177" s="159" t="s">
        <v>1150</v>
      </c>
      <c r="H177" s="160" t="s">
        <v>189</v>
      </c>
      <c r="I177" s="161" t="s">
        <v>36</v>
      </c>
      <c r="J177" s="173"/>
      <c r="K177" s="174" t="s">
        <v>36</v>
      </c>
      <c r="L177" s="164"/>
      <c r="M177" s="164"/>
      <c r="N177" s="164"/>
      <c r="O177" s="164"/>
      <c r="P177" s="164"/>
      <c r="Q177" s="164"/>
      <c r="R177" s="164"/>
      <c r="S177" s="164"/>
      <c r="T177" s="164"/>
      <c r="U177" s="164"/>
      <c r="V177" s="164"/>
      <c r="W177" s="164"/>
      <c r="X177" s="164"/>
      <c r="Y177" s="164"/>
      <c r="Z177" s="164"/>
      <c r="AA177" s="164"/>
    </row>
    <row r="178">
      <c r="A178" s="159" t="s">
        <v>322</v>
      </c>
      <c r="B178" s="159" t="s">
        <v>1361</v>
      </c>
      <c r="C178" s="159" t="s">
        <v>1153</v>
      </c>
      <c r="D178" s="159" t="s">
        <v>1154</v>
      </c>
      <c r="E178" s="159" t="s">
        <v>926</v>
      </c>
      <c r="F178" s="159" t="s">
        <v>1155</v>
      </c>
      <c r="G178" s="159" t="s">
        <v>1156</v>
      </c>
      <c r="H178" s="160" t="s">
        <v>189</v>
      </c>
      <c r="I178" s="161" t="s">
        <v>111</v>
      </c>
      <c r="J178" s="175" t="s">
        <v>1295</v>
      </c>
      <c r="K178" s="177" t="s">
        <v>1259</v>
      </c>
      <c r="L178" s="164"/>
      <c r="M178" s="164"/>
      <c r="N178" s="164"/>
      <c r="O178" s="164"/>
      <c r="P178" s="164"/>
      <c r="Q178" s="164"/>
      <c r="R178" s="164"/>
      <c r="S178" s="164"/>
      <c r="T178" s="164"/>
      <c r="U178" s="164"/>
      <c r="V178" s="164"/>
      <c r="W178" s="164"/>
      <c r="X178" s="164"/>
      <c r="Y178" s="164"/>
      <c r="Z178" s="164"/>
      <c r="AA178" s="164"/>
    </row>
    <row r="179">
      <c r="A179" s="159" t="s">
        <v>322</v>
      </c>
      <c r="B179" s="159" t="s">
        <v>1362</v>
      </c>
      <c r="C179" s="159" t="s">
        <v>1159</v>
      </c>
      <c r="D179" s="159" t="s">
        <v>1160</v>
      </c>
      <c r="E179" s="159" t="s">
        <v>938</v>
      </c>
      <c r="F179" s="159" t="s">
        <v>1161</v>
      </c>
      <c r="G179" s="159" t="s">
        <v>1162</v>
      </c>
      <c r="H179" s="160" t="s">
        <v>189</v>
      </c>
      <c r="I179" s="161" t="s">
        <v>36</v>
      </c>
      <c r="J179" s="173"/>
      <c r="K179" s="174" t="s">
        <v>36</v>
      </c>
      <c r="L179" s="164"/>
      <c r="M179" s="164"/>
      <c r="N179" s="164"/>
      <c r="O179" s="164"/>
      <c r="P179" s="164"/>
      <c r="Q179" s="164"/>
      <c r="R179" s="164"/>
      <c r="S179" s="164"/>
      <c r="T179" s="164"/>
      <c r="U179" s="164"/>
      <c r="V179" s="164"/>
      <c r="W179" s="164"/>
      <c r="X179" s="164"/>
      <c r="Y179" s="164"/>
      <c r="Z179" s="164"/>
      <c r="AA179" s="164"/>
    </row>
    <row r="180">
      <c r="A180" s="159" t="s">
        <v>322</v>
      </c>
      <c r="B180" s="159" t="s">
        <v>1363</v>
      </c>
      <c r="C180" s="159" t="s">
        <v>1165</v>
      </c>
      <c r="D180" s="159" t="s">
        <v>1166</v>
      </c>
      <c r="E180" s="159" t="s">
        <v>882</v>
      </c>
      <c r="F180" s="159" t="s">
        <v>1167</v>
      </c>
      <c r="G180" s="159" t="s">
        <v>1168</v>
      </c>
      <c r="H180" s="160" t="s">
        <v>189</v>
      </c>
      <c r="I180" s="161" t="s">
        <v>111</v>
      </c>
      <c r="J180" s="173"/>
      <c r="K180" s="174" t="s">
        <v>36</v>
      </c>
      <c r="L180" s="164"/>
      <c r="M180" s="164"/>
      <c r="N180" s="164"/>
      <c r="O180" s="164"/>
      <c r="P180" s="164"/>
      <c r="Q180" s="164"/>
      <c r="R180" s="164"/>
      <c r="S180" s="164"/>
      <c r="T180" s="164"/>
      <c r="U180" s="164"/>
      <c r="V180" s="164"/>
      <c r="W180" s="164"/>
      <c r="X180" s="164"/>
      <c r="Y180" s="164"/>
      <c r="Z180" s="164"/>
      <c r="AA180" s="164"/>
    </row>
    <row r="181">
      <c r="A181" s="159" t="s">
        <v>383</v>
      </c>
      <c r="B181" s="159" t="s">
        <v>1364</v>
      </c>
      <c r="C181" s="159" t="s">
        <v>1170</v>
      </c>
      <c r="D181" s="159" t="s">
        <v>1171</v>
      </c>
      <c r="E181" s="159" t="s">
        <v>1076</v>
      </c>
      <c r="F181" s="159" t="s">
        <v>1172</v>
      </c>
      <c r="G181" s="159" t="s">
        <v>1173</v>
      </c>
      <c r="H181" s="160" t="s">
        <v>189</v>
      </c>
      <c r="I181" s="161" t="s">
        <v>36</v>
      </c>
      <c r="J181" s="173"/>
      <c r="K181" s="174" t="s">
        <v>36</v>
      </c>
      <c r="L181" s="164"/>
      <c r="M181" s="164"/>
      <c r="N181" s="164"/>
      <c r="O181" s="164"/>
      <c r="P181" s="164"/>
      <c r="Q181" s="164"/>
      <c r="R181" s="164"/>
      <c r="S181" s="164"/>
      <c r="T181" s="164"/>
      <c r="U181" s="164"/>
      <c r="V181" s="164"/>
      <c r="W181" s="164"/>
      <c r="X181" s="164"/>
      <c r="Y181" s="164"/>
      <c r="Z181" s="164"/>
      <c r="AA181" s="164"/>
    </row>
    <row r="182">
      <c r="A182" s="159" t="s">
        <v>383</v>
      </c>
      <c r="B182" s="159" t="s">
        <v>1365</v>
      </c>
      <c r="C182" s="159" t="s">
        <v>1176</v>
      </c>
      <c r="D182" s="159" t="s">
        <v>1177</v>
      </c>
      <c r="E182" s="159" t="s">
        <v>882</v>
      </c>
      <c r="F182" s="159" t="s">
        <v>1178</v>
      </c>
      <c r="G182" s="159" t="s">
        <v>1179</v>
      </c>
      <c r="H182" s="160" t="s">
        <v>189</v>
      </c>
      <c r="I182" s="161" t="s">
        <v>36</v>
      </c>
      <c r="J182" s="173"/>
      <c r="K182" s="174" t="s">
        <v>36</v>
      </c>
      <c r="L182" s="164"/>
      <c r="M182" s="164"/>
      <c r="N182" s="164"/>
      <c r="O182" s="164"/>
      <c r="P182" s="164"/>
      <c r="Q182" s="164"/>
      <c r="R182" s="164"/>
      <c r="S182" s="164"/>
      <c r="T182" s="164"/>
      <c r="U182" s="164"/>
      <c r="V182" s="164"/>
      <c r="W182" s="164"/>
      <c r="X182" s="164"/>
      <c r="Y182" s="164"/>
      <c r="Z182" s="164"/>
      <c r="AA182" s="164"/>
    </row>
    <row r="183">
      <c r="A183" s="159" t="s">
        <v>383</v>
      </c>
      <c r="B183" s="159" t="s">
        <v>1366</v>
      </c>
      <c r="C183" s="159" t="s">
        <v>1182</v>
      </c>
      <c r="D183" s="159" t="s">
        <v>1183</v>
      </c>
      <c r="E183" s="159" t="s">
        <v>920</v>
      </c>
      <c r="F183" s="159" t="s">
        <v>1184</v>
      </c>
      <c r="G183" s="159" t="s">
        <v>1185</v>
      </c>
      <c r="H183" s="160" t="s">
        <v>189</v>
      </c>
      <c r="I183" s="161" t="s">
        <v>36</v>
      </c>
      <c r="J183" s="173"/>
      <c r="K183" s="174" t="s">
        <v>36</v>
      </c>
      <c r="L183" s="164"/>
      <c r="M183" s="164"/>
      <c r="N183" s="164"/>
      <c r="O183" s="164"/>
      <c r="P183" s="164"/>
      <c r="Q183" s="164"/>
      <c r="R183" s="164"/>
      <c r="S183" s="164"/>
      <c r="T183" s="164"/>
      <c r="U183" s="164"/>
      <c r="V183" s="164"/>
      <c r="W183" s="164"/>
      <c r="X183" s="164"/>
      <c r="Y183" s="164"/>
      <c r="Z183" s="164"/>
      <c r="AA183" s="164"/>
    </row>
    <row r="184">
      <c r="A184" s="159" t="s">
        <v>383</v>
      </c>
      <c r="B184" s="159" t="s">
        <v>1367</v>
      </c>
      <c r="C184" s="159" t="s">
        <v>1188</v>
      </c>
      <c r="D184" s="159" t="s">
        <v>1189</v>
      </c>
      <c r="E184" s="159" t="s">
        <v>938</v>
      </c>
      <c r="F184" s="159" t="s">
        <v>1190</v>
      </c>
      <c r="G184" s="159" t="s">
        <v>1191</v>
      </c>
      <c r="H184" s="160" t="s">
        <v>189</v>
      </c>
      <c r="I184" s="161" t="s">
        <v>36</v>
      </c>
      <c r="J184" s="173"/>
      <c r="K184" s="174" t="s">
        <v>36</v>
      </c>
      <c r="L184" s="164"/>
      <c r="M184" s="164"/>
      <c r="N184" s="164"/>
      <c r="O184" s="164"/>
      <c r="P184" s="164"/>
      <c r="Q184" s="164"/>
      <c r="R184" s="164"/>
      <c r="S184" s="164"/>
      <c r="T184" s="164"/>
      <c r="U184" s="164"/>
      <c r="V184" s="164"/>
      <c r="W184" s="164"/>
      <c r="X184" s="164"/>
      <c r="Y184" s="164"/>
      <c r="Z184" s="164"/>
      <c r="AA184" s="164"/>
    </row>
    <row r="185">
      <c r="A185" s="159" t="s">
        <v>383</v>
      </c>
      <c r="B185" s="159" t="s">
        <v>1368</v>
      </c>
      <c r="C185" s="159" t="s">
        <v>1194</v>
      </c>
      <c r="D185" s="159" t="s">
        <v>1195</v>
      </c>
      <c r="E185" s="159" t="s">
        <v>945</v>
      </c>
      <c r="F185" s="159" t="s">
        <v>1196</v>
      </c>
      <c r="G185" s="159" t="s">
        <v>1197</v>
      </c>
      <c r="H185" s="160" t="s">
        <v>189</v>
      </c>
      <c r="I185" s="161" t="s">
        <v>111</v>
      </c>
      <c r="J185" s="173"/>
      <c r="K185" s="174" t="s">
        <v>36</v>
      </c>
      <c r="L185" s="164"/>
      <c r="M185" s="164"/>
      <c r="N185" s="164"/>
      <c r="O185" s="164"/>
      <c r="P185" s="164"/>
      <c r="Q185" s="164"/>
      <c r="R185" s="164"/>
      <c r="S185" s="164"/>
      <c r="T185" s="164"/>
      <c r="U185" s="164"/>
      <c r="V185" s="164"/>
      <c r="W185" s="164"/>
      <c r="X185" s="164"/>
      <c r="Y185" s="164"/>
      <c r="Z185" s="164"/>
      <c r="AA185" s="164"/>
    </row>
    <row r="186">
      <c r="A186" s="159" t="s">
        <v>1198</v>
      </c>
      <c r="B186" s="159" t="s">
        <v>1369</v>
      </c>
      <c r="C186" s="159" t="s">
        <v>1200</v>
      </c>
      <c r="D186" s="159" t="s">
        <v>1201</v>
      </c>
      <c r="E186" s="159" t="s">
        <v>1202</v>
      </c>
      <c r="F186" s="159" t="s">
        <v>1203</v>
      </c>
      <c r="G186" s="159" t="s">
        <v>1204</v>
      </c>
      <c r="H186" s="160" t="s">
        <v>189</v>
      </c>
      <c r="I186" s="161" t="s">
        <v>36</v>
      </c>
      <c r="J186" s="175" t="s">
        <v>1370</v>
      </c>
      <c r="K186" s="176" t="s">
        <v>111</v>
      </c>
      <c r="L186" s="164"/>
      <c r="M186" s="164"/>
      <c r="N186" s="164"/>
      <c r="O186" s="164"/>
      <c r="P186" s="164"/>
      <c r="Q186" s="164"/>
      <c r="R186" s="164"/>
      <c r="S186" s="164"/>
      <c r="T186" s="164"/>
      <c r="U186" s="164"/>
      <c r="V186" s="164"/>
      <c r="W186" s="164"/>
      <c r="X186" s="164"/>
      <c r="Y186" s="164"/>
      <c r="Z186" s="164"/>
      <c r="AA186" s="164"/>
    </row>
    <row r="187">
      <c r="A187" s="159" t="s">
        <v>1198</v>
      </c>
      <c r="B187" s="159" t="s">
        <v>1371</v>
      </c>
      <c r="C187" s="159" t="s">
        <v>1208</v>
      </c>
      <c r="D187" s="159" t="s">
        <v>1209</v>
      </c>
      <c r="E187" s="159" t="s">
        <v>1210</v>
      </c>
      <c r="F187" s="159" t="s">
        <v>1211</v>
      </c>
      <c r="G187" s="159" t="s">
        <v>1212</v>
      </c>
      <c r="H187" s="160" t="s">
        <v>189</v>
      </c>
      <c r="I187" s="161" t="s">
        <v>111</v>
      </c>
      <c r="J187" s="173"/>
      <c r="K187" s="174" t="s">
        <v>36</v>
      </c>
      <c r="L187" s="164"/>
      <c r="M187" s="164"/>
      <c r="N187" s="164"/>
      <c r="O187" s="164"/>
      <c r="P187" s="164"/>
      <c r="Q187" s="164"/>
      <c r="R187" s="164"/>
      <c r="S187" s="164"/>
      <c r="T187" s="164"/>
      <c r="U187" s="164"/>
      <c r="V187" s="164"/>
      <c r="W187" s="164"/>
      <c r="X187" s="164"/>
      <c r="Y187" s="164"/>
      <c r="Z187" s="164"/>
      <c r="AA187" s="164"/>
    </row>
    <row r="188">
      <c r="A188" s="159" t="s">
        <v>1198</v>
      </c>
      <c r="B188" s="159" t="s">
        <v>1372</v>
      </c>
      <c r="C188" s="159" t="s">
        <v>1215</v>
      </c>
      <c r="D188" s="159" t="s">
        <v>1216</v>
      </c>
      <c r="E188" s="159" t="s">
        <v>309</v>
      </c>
      <c r="F188" s="159" t="s">
        <v>1217</v>
      </c>
      <c r="G188" s="159" t="s">
        <v>1218</v>
      </c>
      <c r="H188" s="160" t="s">
        <v>189</v>
      </c>
      <c r="I188" s="161" t="s">
        <v>36</v>
      </c>
      <c r="J188" s="173"/>
      <c r="K188" s="174" t="s">
        <v>36</v>
      </c>
      <c r="L188" s="164"/>
      <c r="M188" s="164"/>
      <c r="N188" s="164"/>
      <c r="O188" s="164"/>
      <c r="P188" s="164"/>
      <c r="Q188" s="164"/>
      <c r="R188" s="164"/>
      <c r="S188" s="164"/>
      <c r="T188" s="164"/>
      <c r="U188" s="164"/>
      <c r="V188" s="164"/>
      <c r="W188" s="164"/>
      <c r="X188" s="164"/>
      <c r="Y188" s="164"/>
      <c r="Z188" s="164"/>
      <c r="AA188" s="164"/>
    </row>
    <row r="189">
      <c r="A189" s="159" t="s">
        <v>319</v>
      </c>
      <c r="B189" s="159" t="s">
        <v>1373</v>
      </c>
      <c r="C189" s="159" t="s">
        <v>1221</v>
      </c>
      <c r="D189" s="159" t="s">
        <v>1222</v>
      </c>
      <c r="E189" s="159" t="s">
        <v>1223</v>
      </c>
      <c r="F189" s="159" t="s">
        <v>1224</v>
      </c>
      <c r="G189" s="159" t="s">
        <v>1307</v>
      </c>
      <c r="H189" s="160" t="s">
        <v>189</v>
      </c>
      <c r="I189" s="161" t="s">
        <v>36</v>
      </c>
      <c r="J189" s="173"/>
      <c r="K189" s="174" t="s">
        <v>36</v>
      </c>
      <c r="L189" s="164"/>
      <c r="M189" s="164"/>
      <c r="N189" s="164"/>
      <c r="O189" s="164"/>
      <c r="P189" s="164"/>
      <c r="Q189" s="164"/>
      <c r="R189" s="164"/>
      <c r="S189" s="164"/>
      <c r="T189" s="164"/>
      <c r="U189" s="164"/>
      <c r="V189" s="164"/>
      <c r="W189" s="164"/>
      <c r="X189" s="164"/>
      <c r="Y189" s="164"/>
      <c r="Z189" s="164"/>
      <c r="AA189" s="164"/>
    </row>
    <row r="190">
      <c r="A190" s="159" t="s">
        <v>319</v>
      </c>
      <c r="B190" s="159" t="s">
        <v>1374</v>
      </c>
      <c r="C190" s="159" t="s">
        <v>1228</v>
      </c>
      <c r="D190" s="159" t="s">
        <v>1229</v>
      </c>
      <c r="E190" s="159" t="s">
        <v>1230</v>
      </c>
      <c r="F190" s="159" t="s">
        <v>1309</v>
      </c>
      <c r="G190" s="159" t="s">
        <v>1310</v>
      </c>
      <c r="H190" s="160" t="s">
        <v>189</v>
      </c>
      <c r="I190" s="161" t="s">
        <v>36</v>
      </c>
      <c r="J190" s="175" t="s">
        <v>1370</v>
      </c>
      <c r="K190" s="176" t="s">
        <v>111</v>
      </c>
      <c r="L190" s="164"/>
      <c r="M190" s="164"/>
      <c r="N190" s="164"/>
      <c r="O190" s="164"/>
      <c r="P190" s="164"/>
      <c r="Q190" s="164"/>
      <c r="R190" s="164"/>
      <c r="S190" s="164"/>
      <c r="T190" s="164"/>
      <c r="U190" s="164"/>
      <c r="V190" s="164"/>
      <c r="W190" s="164"/>
      <c r="X190" s="164"/>
      <c r="Y190" s="164"/>
      <c r="Z190" s="164"/>
      <c r="AA190" s="164"/>
    </row>
    <row r="191" ht="15.75" customHeight="1">
      <c r="A191" s="155"/>
      <c r="B191" s="156"/>
      <c r="C191" s="156"/>
      <c r="D191" s="156"/>
      <c r="E191" s="156"/>
      <c r="F191" s="155" t="s">
        <v>191</v>
      </c>
      <c r="G191" s="156"/>
      <c r="H191" s="172"/>
      <c r="I191" s="172"/>
      <c r="J191" s="172"/>
      <c r="K191" s="156"/>
      <c r="L191" s="158"/>
      <c r="M191" s="158"/>
      <c r="N191" s="158"/>
      <c r="O191" s="158"/>
      <c r="P191" s="158"/>
      <c r="Q191" s="158"/>
      <c r="R191" s="158"/>
      <c r="S191" s="158"/>
      <c r="T191" s="158"/>
      <c r="U191" s="158"/>
      <c r="V191" s="158"/>
      <c r="W191" s="158"/>
      <c r="X191" s="158"/>
      <c r="Y191" s="158"/>
      <c r="Z191" s="158"/>
      <c r="AA191" s="158"/>
    </row>
    <row r="192">
      <c r="A192" s="159" t="s">
        <v>195</v>
      </c>
      <c r="B192" s="159" t="s">
        <v>1375</v>
      </c>
      <c r="C192" s="159" t="s">
        <v>845</v>
      </c>
      <c r="D192" s="159" t="s">
        <v>846</v>
      </c>
      <c r="E192" s="159" t="s">
        <v>847</v>
      </c>
      <c r="F192" s="159" t="s">
        <v>848</v>
      </c>
      <c r="G192" s="159" t="s">
        <v>849</v>
      </c>
      <c r="H192" s="160" t="s">
        <v>191</v>
      </c>
      <c r="I192" s="161" t="s">
        <v>36</v>
      </c>
      <c r="J192" s="173"/>
      <c r="K192" s="163" t="s">
        <v>36</v>
      </c>
      <c r="L192" s="164"/>
      <c r="M192" s="164"/>
      <c r="N192" s="164"/>
      <c r="O192" s="164"/>
      <c r="P192" s="164"/>
      <c r="Q192" s="164"/>
      <c r="R192" s="164"/>
      <c r="S192" s="164"/>
      <c r="T192" s="164"/>
      <c r="U192" s="164"/>
      <c r="V192" s="164"/>
      <c r="W192" s="164"/>
      <c r="X192" s="164"/>
      <c r="Y192" s="164"/>
      <c r="Z192" s="164"/>
      <c r="AA192" s="164"/>
    </row>
    <row r="193">
      <c r="A193" s="159" t="s">
        <v>195</v>
      </c>
      <c r="B193" s="159" t="s">
        <v>1376</v>
      </c>
      <c r="C193" s="159" t="s">
        <v>852</v>
      </c>
      <c r="D193" s="159" t="s">
        <v>853</v>
      </c>
      <c r="E193" s="159" t="s">
        <v>854</v>
      </c>
      <c r="F193" s="159" t="s">
        <v>855</v>
      </c>
      <c r="G193" s="159" t="s">
        <v>856</v>
      </c>
      <c r="H193" s="160" t="s">
        <v>191</v>
      </c>
      <c r="I193" s="161" t="s">
        <v>36</v>
      </c>
      <c r="J193" s="173"/>
      <c r="K193" s="163" t="s">
        <v>36</v>
      </c>
      <c r="L193" s="164"/>
      <c r="M193" s="164"/>
      <c r="N193" s="164"/>
      <c r="O193" s="164"/>
      <c r="P193" s="164"/>
      <c r="Q193" s="164"/>
      <c r="R193" s="164"/>
      <c r="S193" s="164"/>
      <c r="T193" s="164"/>
      <c r="U193" s="164"/>
      <c r="V193" s="164"/>
      <c r="W193" s="164"/>
      <c r="X193" s="164"/>
      <c r="Y193" s="164"/>
      <c r="Z193" s="164"/>
      <c r="AA193" s="164"/>
    </row>
    <row r="194">
      <c r="A194" s="159" t="s">
        <v>195</v>
      </c>
      <c r="B194" s="159" t="s">
        <v>1377</v>
      </c>
      <c r="C194" s="159" t="s">
        <v>859</v>
      </c>
      <c r="D194" s="159" t="s">
        <v>860</v>
      </c>
      <c r="E194" s="159" t="s">
        <v>861</v>
      </c>
      <c r="F194" s="159" t="s">
        <v>862</v>
      </c>
      <c r="G194" s="159" t="s">
        <v>863</v>
      </c>
      <c r="H194" s="160" t="s">
        <v>191</v>
      </c>
      <c r="I194" s="161" t="s">
        <v>36</v>
      </c>
      <c r="J194" s="173"/>
      <c r="K194" s="163" t="s">
        <v>36</v>
      </c>
      <c r="L194" s="164"/>
      <c r="M194" s="164"/>
      <c r="N194" s="164"/>
      <c r="O194" s="164"/>
      <c r="P194" s="164"/>
      <c r="Q194" s="164"/>
      <c r="R194" s="164"/>
      <c r="S194" s="164"/>
      <c r="T194" s="164"/>
      <c r="U194" s="164"/>
      <c r="V194" s="164"/>
      <c r="W194" s="164"/>
      <c r="X194" s="164"/>
      <c r="Y194" s="164"/>
      <c r="Z194" s="164"/>
      <c r="AA194" s="164"/>
    </row>
    <row r="195">
      <c r="A195" s="159" t="s">
        <v>195</v>
      </c>
      <c r="B195" s="159" t="s">
        <v>1378</v>
      </c>
      <c r="C195" s="159" t="s">
        <v>866</v>
      </c>
      <c r="D195" s="159" t="s">
        <v>867</v>
      </c>
      <c r="E195" s="159" t="s">
        <v>868</v>
      </c>
      <c r="F195" s="159" t="s">
        <v>869</v>
      </c>
      <c r="G195" s="159" t="s">
        <v>870</v>
      </c>
      <c r="H195" s="160" t="s">
        <v>191</v>
      </c>
      <c r="I195" s="161" t="s">
        <v>36</v>
      </c>
      <c r="J195" s="173"/>
      <c r="K195" s="163" t="s">
        <v>36</v>
      </c>
      <c r="L195" s="164"/>
      <c r="M195" s="164"/>
      <c r="N195" s="164"/>
      <c r="O195" s="164"/>
      <c r="P195" s="164"/>
      <c r="Q195" s="164"/>
      <c r="R195" s="164"/>
      <c r="S195" s="164"/>
      <c r="T195" s="164"/>
      <c r="U195" s="164"/>
      <c r="V195" s="164"/>
      <c r="W195" s="164"/>
      <c r="X195" s="164"/>
      <c r="Y195" s="164"/>
      <c r="Z195" s="164"/>
      <c r="AA195" s="164"/>
    </row>
    <row r="196">
      <c r="A196" s="159" t="s">
        <v>195</v>
      </c>
      <c r="B196" s="159" t="s">
        <v>1379</v>
      </c>
      <c r="C196" s="159" t="s">
        <v>873</v>
      </c>
      <c r="D196" s="159" t="s">
        <v>874</v>
      </c>
      <c r="E196" s="159" t="s">
        <v>875</v>
      </c>
      <c r="F196" s="159" t="s">
        <v>876</v>
      </c>
      <c r="G196" s="159" t="s">
        <v>877</v>
      </c>
      <c r="H196" s="160" t="s">
        <v>191</v>
      </c>
      <c r="I196" s="161" t="s">
        <v>36</v>
      </c>
      <c r="J196" s="173"/>
      <c r="K196" s="163" t="s">
        <v>36</v>
      </c>
      <c r="L196" s="164"/>
      <c r="M196" s="164"/>
      <c r="N196" s="164"/>
      <c r="O196" s="164"/>
      <c r="P196" s="164"/>
      <c r="Q196" s="164"/>
      <c r="R196" s="164"/>
      <c r="S196" s="164"/>
      <c r="T196" s="164"/>
      <c r="U196" s="164"/>
      <c r="V196" s="164"/>
      <c r="W196" s="164"/>
      <c r="X196" s="164"/>
      <c r="Y196" s="164"/>
      <c r="Z196" s="164"/>
      <c r="AA196" s="164"/>
    </row>
    <row r="197">
      <c r="A197" s="159" t="s">
        <v>195</v>
      </c>
      <c r="B197" s="159" t="s">
        <v>1380</v>
      </c>
      <c r="C197" s="159" t="s">
        <v>880</v>
      </c>
      <c r="D197" s="159" t="s">
        <v>881</v>
      </c>
      <c r="E197" s="159" t="s">
        <v>882</v>
      </c>
      <c r="F197" s="159" t="s">
        <v>883</v>
      </c>
      <c r="G197" s="159" t="s">
        <v>884</v>
      </c>
      <c r="H197" s="160" t="s">
        <v>191</v>
      </c>
      <c r="I197" s="161" t="s">
        <v>36</v>
      </c>
      <c r="J197" s="175" t="s">
        <v>1240</v>
      </c>
      <c r="K197" s="163" t="s">
        <v>886</v>
      </c>
      <c r="L197" s="164"/>
      <c r="M197" s="164"/>
      <c r="N197" s="164"/>
      <c r="O197" s="164"/>
      <c r="P197" s="164"/>
      <c r="Q197" s="164"/>
      <c r="R197" s="164"/>
      <c r="S197" s="164"/>
      <c r="T197" s="164"/>
      <c r="U197" s="164"/>
      <c r="V197" s="164"/>
      <c r="W197" s="164"/>
      <c r="X197" s="164"/>
      <c r="Y197" s="164"/>
      <c r="Z197" s="164"/>
      <c r="AA197" s="164"/>
    </row>
    <row r="198">
      <c r="A198" s="159" t="s">
        <v>195</v>
      </c>
      <c r="B198" s="159" t="s">
        <v>1381</v>
      </c>
      <c r="C198" s="159" t="s">
        <v>888</v>
      </c>
      <c r="D198" s="159" t="s">
        <v>889</v>
      </c>
      <c r="E198" s="159" t="s">
        <v>882</v>
      </c>
      <c r="F198" s="159" t="s">
        <v>890</v>
      </c>
      <c r="G198" s="159" t="s">
        <v>891</v>
      </c>
      <c r="H198" s="160" t="s">
        <v>191</v>
      </c>
      <c r="I198" s="161" t="s">
        <v>36</v>
      </c>
      <c r="J198" s="173"/>
      <c r="K198" s="163" t="s">
        <v>36</v>
      </c>
      <c r="L198" s="164"/>
      <c r="M198" s="164"/>
      <c r="N198" s="164"/>
      <c r="O198" s="164"/>
      <c r="P198" s="164"/>
      <c r="Q198" s="164"/>
      <c r="R198" s="164"/>
      <c r="S198" s="164"/>
      <c r="T198" s="164"/>
      <c r="U198" s="164"/>
      <c r="V198" s="164"/>
      <c r="W198" s="164"/>
      <c r="X198" s="164"/>
      <c r="Y198" s="164"/>
      <c r="Z198" s="164"/>
      <c r="AA198" s="164"/>
    </row>
    <row r="199">
      <c r="A199" s="159" t="s">
        <v>195</v>
      </c>
      <c r="B199" s="159" t="s">
        <v>1382</v>
      </c>
      <c r="C199" s="159" t="s">
        <v>894</v>
      </c>
      <c r="D199" s="159" t="s">
        <v>895</v>
      </c>
      <c r="E199" s="159" t="s">
        <v>882</v>
      </c>
      <c r="F199" s="159" t="s">
        <v>896</v>
      </c>
      <c r="G199" s="159" t="s">
        <v>897</v>
      </c>
      <c r="H199" s="160" t="s">
        <v>191</v>
      </c>
      <c r="I199" s="161" t="s">
        <v>36</v>
      </c>
      <c r="J199" s="173"/>
      <c r="K199" s="163" t="s">
        <v>36</v>
      </c>
      <c r="L199" s="164"/>
      <c r="M199" s="164"/>
      <c r="N199" s="164"/>
      <c r="O199" s="164"/>
      <c r="P199" s="164"/>
      <c r="Q199" s="164"/>
      <c r="R199" s="164"/>
      <c r="S199" s="164"/>
      <c r="T199" s="164"/>
      <c r="U199" s="164"/>
      <c r="V199" s="164"/>
      <c r="W199" s="164"/>
      <c r="X199" s="164"/>
      <c r="Y199" s="164"/>
      <c r="Z199" s="164"/>
      <c r="AA199" s="164"/>
    </row>
    <row r="200">
      <c r="A200" s="159" t="s">
        <v>195</v>
      </c>
      <c r="B200" s="159" t="s">
        <v>1383</v>
      </c>
      <c r="C200" s="159" t="s">
        <v>900</v>
      </c>
      <c r="D200" s="159" t="s">
        <v>901</v>
      </c>
      <c r="E200" s="159" t="s">
        <v>882</v>
      </c>
      <c r="F200" s="159" t="s">
        <v>902</v>
      </c>
      <c r="G200" s="159" t="s">
        <v>903</v>
      </c>
      <c r="H200" s="160" t="s">
        <v>191</v>
      </c>
      <c r="I200" s="161" t="s">
        <v>36</v>
      </c>
      <c r="J200" s="173"/>
      <c r="K200" s="163" t="s">
        <v>36</v>
      </c>
      <c r="L200" s="164"/>
      <c r="M200" s="164"/>
      <c r="N200" s="164"/>
      <c r="O200" s="164"/>
      <c r="P200" s="164"/>
      <c r="Q200" s="164"/>
      <c r="R200" s="164"/>
      <c r="S200" s="164"/>
      <c r="T200" s="164"/>
      <c r="U200" s="164"/>
      <c r="V200" s="164"/>
      <c r="W200" s="164"/>
      <c r="X200" s="164"/>
      <c r="Y200" s="164"/>
      <c r="Z200" s="164"/>
      <c r="AA200" s="164"/>
    </row>
    <row r="201">
      <c r="A201" s="159" t="s">
        <v>195</v>
      </c>
      <c r="B201" s="159" t="s">
        <v>1384</v>
      </c>
      <c r="C201" s="159" t="s">
        <v>906</v>
      </c>
      <c r="D201" s="159" t="s">
        <v>907</v>
      </c>
      <c r="E201" s="159" t="s">
        <v>882</v>
      </c>
      <c r="F201" s="159" t="s">
        <v>908</v>
      </c>
      <c r="G201" s="159" t="s">
        <v>909</v>
      </c>
      <c r="H201" s="160" t="s">
        <v>191</v>
      </c>
      <c r="I201" s="161" t="s">
        <v>36</v>
      </c>
      <c r="J201" s="173"/>
      <c r="K201" s="163" t="s">
        <v>36</v>
      </c>
      <c r="L201" s="164"/>
      <c r="M201" s="164"/>
      <c r="N201" s="164"/>
      <c r="O201" s="164"/>
      <c r="P201" s="164"/>
      <c r="Q201" s="164"/>
      <c r="R201" s="164"/>
      <c r="S201" s="164"/>
      <c r="T201" s="164"/>
      <c r="U201" s="164"/>
      <c r="V201" s="164"/>
      <c r="W201" s="164"/>
      <c r="X201" s="164"/>
      <c r="Y201" s="164"/>
      <c r="Z201" s="164"/>
      <c r="AA201" s="164"/>
    </row>
    <row r="202">
      <c r="A202" s="159" t="s">
        <v>195</v>
      </c>
      <c r="B202" s="159" t="s">
        <v>1385</v>
      </c>
      <c r="C202" s="159" t="s">
        <v>911</v>
      </c>
      <c r="D202" s="159" t="s">
        <v>912</v>
      </c>
      <c r="E202" s="159" t="s">
        <v>913</v>
      </c>
      <c r="F202" s="159" t="s">
        <v>914</v>
      </c>
      <c r="G202" s="159" t="s">
        <v>915</v>
      </c>
      <c r="H202" s="160" t="s">
        <v>191</v>
      </c>
      <c r="I202" s="161" t="s">
        <v>36</v>
      </c>
      <c r="J202" s="173"/>
      <c r="K202" s="163" t="s">
        <v>36</v>
      </c>
      <c r="L202" s="164"/>
      <c r="M202" s="164"/>
      <c r="N202" s="164"/>
      <c r="O202" s="164"/>
      <c r="P202" s="164"/>
      <c r="Q202" s="164"/>
      <c r="R202" s="164"/>
      <c r="S202" s="164"/>
      <c r="T202" s="164"/>
      <c r="U202" s="164"/>
      <c r="V202" s="164"/>
      <c r="W202" s="164"/>
      <c r="X202" s="164"/>
      <c r="Y202" s="164"/>
      <c r="Z202" s="164"/>
      <c r="AA202" s="164"/>
    </row>
    <row r="203">
      <c r="A203" s="159" t="s">
        <v>195</v>
      </c>
      <c r="B203" s="159" t="s">
        <v>1386</v>
      </c>
      <c r="C203" s="159" t="s">
        <v>918</v>
      </c>
      <c r="D203" s="159" t="s">
        <v>919</v>
      </c>
      <c r="E203" s="159" t="s">
        <v>920</v>
      </c>
      <c r="F203" s="159" t="s">
        <v>921</v>
      </c>
      <c r="G203" s="159" t="s">
        <v>922</v>
      </c>
      <c r="H203" s="160" t="s">
        <v>191</v>
      </c>
      <c r="I203" s="161" t="s">
        <v>36</v>
      </c>
      <c r="J203" s="173"/>
      <c r="K203" s="163" t="s">
        <v>36</v>
      </c>
      <c r="L203" s="164"/>
      <c r="M203" s="164"/>
      <c r="N203" s="164"/>
      <c r="O203" s="164"/>
      <c r="P203" s="164"/>
      <c r="Q203" s="164"/>
      <c r="R203" s="164"/>
      <c r="S203" s="164"/>
      <c r="T203" s="164"/>
      <c r="U203" s="164"/>
      <c r="V203" s="164"/>
      <c r="W203" s="164"/>
      <c r="X203" s="164"/>
      <c r="Y203" s="164"/>
      <c r="Z203" s="164"/>
      <c r="AA203" s="164"/>
    </row>
    <row r="204">
      <c r="A204" s="159" t="s">
        <v>195</v>
      </c>
      <c r="B204" s="159" t="s">
        <v>1387</v>
      </c>
      <c r="C204" s="159" t="s">
        <v>924</v>
      </c>
      <c r="D204" s="159" t="s">
        <v>925</v>
      </c>
      <c r="E204" s="159" t="s">
        <v>926</v>
      </c>
      <c r="F204" s="159" t="s">
        <v>927</v>
      </c>
      <c r="G204" s="159" t="s">
        <v>928</v>
      </c>
      <c r="H204" s="160" t="s">
        <v>191</v>
      </c>
      <c r="I204" s="161" t="s">
        <v>36</v>
      </c>
      <c r="J204" s="173"/>
      <c r="K204" s="163" t="s">
        <v>36</v>
      </c>
      <c r="L204" s="164"/>
      <c r="M204" s="164"/>
      <c r="N204" s="164"/>
      <c r="O204" s="164"/>
      <c r="P204" s="164"/>
      <c r="Q204" s="164"/>
      <c r="R204" s="164"/>
      <c r="S204" s="164"/>
      <c r="T204" s="164"/>
      <c r="U204" s="164"/>
      <c r="V204" s="164"/>
      <c r="W204" s="164"/>
      <c r="X204" s="164"/>
      <c r="Y204" s="164"/>
      <c r="Z204" s="164"/>
      <c r="AA204" s="164"/>
    </row>
    <row r="205">
      <c r="A205" s="159" t="s">
        <v>195</v>
      </c>
      <c r="B205" s="159" t="s">
        <v>1388</v>
      </c>
      <c r="C205" s="159" t="s">
        <v>930</v>
      </c>
      <c r="D205" s="159" t="s">
        <v>931</v>
      </c>
      <c r="E205" s="159" t="s">
        <v>920</v>
      </c>
      <c r="F205" s="159" t="s">
        <v>932</v>
      </c>
      <c r="G205" s="159" t="s">
        <v>933</v>
      </c>
      <c r="H205" s="160" t="s">
        <v>191</v>
      </c>
      <c r="I205" s="161" t="s">
        <v>36</v>
      </c>
      <c r="J205" s="173"/>
      <c r="K205" s="163" t="s">
        <v>36</v>
      </c>
      <c r="L205" s="164"/>
      <c r="M205" s="164"/>
      <c r="N205" s="164"/>
      <c r="O205" s="164"/>
      <c r="P205" s="164"/>
      <c r="Q205" s="164"/>
      <c r="R205" s="164"/>
      <c r="S205" s="164"/>
      <c r="T205" s="164"/>
      <c r="U205" s="164"/>
      <c r="V205" s="164"/>
      <c r="W205" s="164"/>
      <c r="X205" s="164"/>
      <c r="Y205" s="164"/>
      <c r="Z205" s="164"/>
      <c r="AA205" s="164"/>
    </row>
    <row r="206">
      <c r="A206" s="159" t="s">
        <v>195</v>
      </c>
      <c r="B206" s="159" t="s">
        <v>1389</v>
      </c>
      <c r="C206" s="159" t="s">
        <v>936</v>
      </c>
      <c r="D206" s="159" t="s">
        <v>937</v>
      </c>
      <c r="E206" s="159" t="s">
        <v>938</v>
      </c>
      <c r="F206" s="159" t="s">
        <v>939</v>
      </c>
      <c r="G206" s="159" t="s">
        <v>940</v>
      </c>
      <c r="H206" s="160" t="s">
        <v>191</v>
      </c>
      <c r="I206" s="161" t="s">
        <v>36</v>
      </c>
      <c r="J206" s="173"/>
      <c r="K206" s="163" t="s">
        <v>36</v>
      </c>
      <c r="L206" s="164"/>
      <c r="M206" s="164"/>
      <c r="N206" s="164"/>
      <c r="O206" s="164"/>
      <c r="P206" s="164"/>
      <c r="Q206" s="164"/>
      <c r="R206" s="164"/>
      <c r="S206" s="164"/>
      <c r="T206" s="164"/>
      <c r="U206" s="164"/>
      <c r="V206" s="164"/>
      <c r="W206" s="164"/>
      <c r="X206" s="164"/>
      <c r="Y206" s="164"/>
      <c r="Z206" s="164"/>
      <c r="AA206" s="164"/>
    </row>
    <row r="207">
      <c r="A207" s="159" t="s">
        <v>195</v>
      </c>
      <c r="B207" s="159" t="s">
        <v>1390</v>
      </c>
      <c r="C207" s="159" t="s">
        <v>943</v>
      </c>
      <c r="D207" s="159" t="s">
        <v>944</v>
      </c>
      <c r="E207" s="159" t="s">
        <v>945</v>
      </c>
      <c r="F207" s="159" t="s">
        <v>946</v>
      </c>
      <c r="G207" s="159" t="s">
        <v>947</v>
      </c>
      <c r="H207" s="160" t="s">
        <v>191</v>
      </c>
      <c r="I207" s="161" t="s">
        <v>36</v>
      </c>
      <c r="J207" s="173"/>
      <c r="K207" s="163" t="s">
        <v>36</v>
      </c>
      <c r="L207" s="164"/>
      <c r="M207" s="164"/>
      <c r="N207" s="164"/>
      <c r="O207" s="164"/>
      <c r="P207" s="164"/>
      <c r="Q207" s="164"/>
      <c r="R207" s="164"/>
      <c r="S207" s="164"/>
      <c r="T207" s="164"/>
      <c r="U207" s="164"/>
      <c r="V207" s="164"/>
      <c r="W207" s="164"/>
      <c r="X207" s="164"/>
      <c r="Y207" s="164"/>
      <c r="Z207" s="164"/>
      <c r="AA207" s="164"/>
    </row>
    <row r="208">
      <c r="A208" s="159" t="s">
        <v>195</v>
      </c>
      <c r="B208" s="159" t="s">
        <v>1391</v>
      </c>
      <c r="C208" s="159" t="s">
        <v>950</v>
      </c>
      <c r="D208" s="159" t="s">
        <v>951</v>
      </c>
      <c r="E208" s="159" t="s">
        <v>938</v>
      </c>
      <c r="F208" s="159" t="s">
        <v>952</v>
      </c>
      <c r="G208" s="159" t="s">
        <v>953</v>
      </c>
      <c r="H208" s="160" t="s">
        <v>191</v>
      </c>
      <c r="I208" s="161" t="s">
        <v>36</v>
      </c>
      <c r="J208" s="173"/>
      <c r="K208" s="163" t="s">
        <v>36</v>
      </c>
      <c r="L208" s="164"/>
      <c r="M208" s="164"/>
      <c r="N208" s="164"/>
      <c r="O208" s="164"/>
      <c r="P208" s="164"/>
      <c r="Q208" s="164"/>
      <c r="R208" s="164"/>
      <c r="S208" s="164"/>
      <c r="T208" s="164"/>
      <c r="U208" s="164"/>
      <c r="V208" s="164"/>
      <c r="W208" s="164"/>
      <c r="X208" s="164"/>
      <c r="Y208" s="164"/>
      <c r="Z208" s="164"/>
      <c r="AA208" s="164"/>
    </row>
    <row r="209">
      <c r="A209" s="159" t="s">
        <v>195</v>
      </c>
      <c r="B209" s="159" t="s">
        <v>1392</v>
      </c>
      <c r="C209" s="159" t="s">
        <v>956</v>
      </c>
      <c r="D209" s="159" t="s">
        <v>957</v>
      </c>
      <c r="E209" s="159" t="s">
        <v>958</v>
      </c>
      <c r="F209" s="159" t="s">
        <v>959</v>
      </c>
      <c r="G209" s="159" t="s">
        <v>960</v>
      </c>
      <c r="H209" s="160" t="s">
        <v>191</v>
      </c>
      <c r="I209" s="161" t="s">
        <v>36</v>
      </c>
      <c r="J209" s="173"/>
      <c r="K209" s="163" t="s">
        <v>36</v>
      </c>
      <c r="L209" s="164"/>
      <c r="M209" s="164"/>
      <c r="N209" s="164"/>
      <c r="O209" s="164"/>
      <c r="P209" s="164"/>
      <c r="Q209" s="164"/>
      <c r="R209" s="164"/>
      <c r="S209" s="164"/>
      <c r="T209" s="164"/>
      <c r="U209" s="164"/>
      <c r="V209" s="164"/>
      <c r="W209" s="164"/>
      <c r="X209" s="164"/>
      <c r="Y209" s="164"/>
      <c r="Z209" s="164"/>
      <c r="AA209" s="164"/>
    </row>
    <row r="210">
      <c r="A210" s="159" t="s">
        <v>195</v>
      </c>
      <c r="B210" s="159" t="s">
        <v>1393</v>
      </c>
      <c r="C210" s="159" t="s">
        <v>962</v>
      </c>
      <c r="D210" s="159" t="s">
        <v>963</v>
      </c>
      <c r="E210" s="159" t="s">
        <v>938</v>
      </c>
      <c r="F210" s="159" t="s">
        <v>964</v>
      </c>
      <c r="G210" s="159" t="s">
        <v>965</v>
      </c>
      <c r="H210" s="160" t="s">
        <v>191</v>
      </c>
      <c r="I210" s="161" t="s">
        <v>36</v>
      </c>
      <c r="J210" s="173"/>
      <c r="K210" s="163" t="s">
        <v>36</v>
      </c>
      <c r="L210" s="164"/>
      <c r="M210" s="164"/>
      <c r="N210" s="164"/>
      <c r="O210" s="164"/>
      <c r="P210" s="164"/>
      <c r="Q210" s="164"/>
      <c r="R210" s="164"/>
      <c r="S210" s="164"/>
      <c r="T210" s="164"/>
      <c r="U210" s="164"/>
      <c r="V210" s="164"/>
      <c r="W210" s="164"/>
      <c r="X210" s="164"/>
      <c r="Y210" s="164"/>
      <c r="Z210" s="164"/>
      <c r="AA210" s="164"/>
    </row>
    <row r="211">
      <c r="A211" s="159" t="s">
        <v>195</v>
      </c>
      <c r="B211" s="159" t="s">
        <v>1394</v>
      </c>
      <c r="C211" s="159" t="s">
        <v>968</v>
      </c>
      <c r="D211" s="159" t="s">
        <v>969</v>
      </c>
      <c r="E211" s="159" t="s">
        <v>970</v>
      </c>
      <c r="F211" s="159" t="s">
        <v>971</v>
      </c>
      <c r="G211" s="159" t="s">
        <v>972</v>
      </c>
      <c r="H211" s="160" t="s">
        <v>191</v>
      </c>
      <c r="I211" s="161" t="s">
        <v>36</v>
      </c>
      <c r="J211" s="173"/>
      <c r="K211" s="163" t="s">
        <v>974</v>
      </c>
      <c r="L211" s="164"/>
      <c r="M211" s="164"/>
      <c r="N211" s="164"/>
      <c r="O211" s="164"/>
      <c r="P211" s="164"/>
      <c r="Q211" s="164"/>
      <c r="R211" s="164"/>
      <c r="S211" s="164"/>
      <c r="T211" s="164"/>
      <c r="U211" s="164"/>
      <c r="V211" s="164"/>
      <c r="W211" s="164"/>
      <c r="X211" s="164"/>
      <c r="Y211" s="164"/>
      <c r="Z211" s="164"/>
      <c r="AA211" s="164"/>
    </row>
    <row r="212">
      <c r="A212" s="159" t="s">
        <v>195</v>
      </c>
      <c r="B212" s="159" t="s">
        <v>1395</v>
      </c>
      <c r="C212" s="159" t="s">
        <v>976</v>
      </c>
      <c r="D212" s="159" t="s">
        <v>977</v>
      </c>
      <c r="E212" s="159" t="s">
        <v>970</v>
      </c>
      <c r="F212" s="159" t="s">
        <v>978</v>
      </c>
      <c r="G212" s="159" t="s">
        <v>979</v>
      </c>
      <c r="H212" s="160" t="s">
        <v>191</v>
      </c>
      <c r="I212" s="161" t="s">
        <v>36</v>
      </c>
      <c r="J212" s="173"/>
      <c r="K212" s="163" t="s">
        <v>974</v>
      </c>
      <c r="L212" s="164"/>
      <c r="M212" s="164"/>
      <c r="N212" s="164"/>
      <c r="O212" s="164"/>
      <c r="P212" s="164"/>
      <c r="Q212" s="164"/>
      <c r="R212" s="164"/>
      <c r="S212" s="164"/>
      <c r="T212" s="164"/>
      <c r="U212" s="164"/>
      <c r="V212" s="164"/>
      <c r="W212" s="164"/>
      <c r="X212" s="164"/>
      <c r="Y212" s="164"/>
      <c r="Z212" s="164"/>
      <c r="AA212" s="164"/>
    </row>
    <row r="213">
      <c r="A213" s="159" t="s">
        <v>195</v>
      </c>
      <c r="B213" s="159" t="s">
        <v>1396</v>
      </c>
      <c r="C213" s="159" t="s">
        <v>982</v>
      </c>
      <c r="D213" s="159" t="s">
        <v>983</v>
      </c>
      <c r="E213" s="159" t="s">
        <v>970</v>
      </c>
      <c r="F213" s="159" t="s">
        <v>984</v>
      </c>
      <c r="G213" s="159" t="s">
        <v>985</v>
      </c>
      <c r="H213" s="160" t="s">
        <v>191</v>
      </c>
      <c r="I213" s="161" t="s">
        <v>36</v>
      </c>
      <c r="J213" s="173"/>
      <c r="K213" s="163" t="s">
        <v>974</v>
      </c>
      <c r="L213" s="164"/>
      <c r="M213" s="164"/>
      <c r="N213" s="164"/>
      <c r="O213" s="164"/>
      <c r="P213" s="164"/>
      <c r="Q213" s="164"/>
      <c r="R213" s="164"/>
      <c r="S213" s="164"/>
      <c r="T213" s="164"/>
      <c r="U213" s="164"/>
      <c r="V213" s="164"/>
      <c r="W213" s="164"/>
      <c r="X213" s="164"/>
      <c r="Y213" s="164"/>
      <c r="Z213" s="164"/>
      <c r="AA213" s="164"/>
    </row>
    <row r="214">
      <c r="A214" s="159" t="s">
        <v>195</v>
      </c>
      <c r="B214" s="159" t="s">
        <v>1397</v>
      </c>
      <c r="C214" s="159" t="s">
        <v>988</v>
      </c>
      <c r="D214" s="159" t="s">
        <v>989</v>
      </c>
      <c r="E214" s="159" t="s">
        <v>938</v>
      </c>
      <c r="F214" s="159" t="s">
        <v>990</v>
      </c>
      <c r="G214" s="159" t="s">
        <v>991</v>
      </c>
      <c r="H214" s="160" t="s">
        <v>191</v>
      </c>
      <c r="I214" s="161" t="s">
        <v>111</v>
      </c>
      <c r="J214" s="175" t="s">
        <v>1258</v>
      </c>
      <c r="K214" s="168" t="s">
        <v>111</v>
      </c>
      <c r="L214" s="164"/>
      <c r="M214" s="164"/>
      <c r="N214" s="164"/>
      <c r="O214" s="164"/>
      <c r="P214" s="164"/>
      <c r="Q214" s="164"/>
      <c r="R214" s="164"/>
      <c r="S214" s="164"/>
      <c r="T214" s="164"/>
      <c r="U214" s="164"/>
      <c r="V214" s="164"/>
      <c r="W214" s="164"/>
      <c r="X214" s="164"/>
      <c r="Y214" s="164"/>
      <c r="Z214" s="164"/>
      <c r="AA214" s="164"/>
    </row>
    <row r="215">
      <c r="A215" s="159" t="s">
        <v>195</v>
      </c>
      <c r="B215" s="159" t="s">
        <v>1398</v>
      </c>
      <c r="C215" s="159" t="s">
        <v>994</v>
      </c>
      <c r="D215" s="159" t="s">
        <v>995</v>
      </c>
      <c r="E215" s="159" t="s">
        <v>996</v>
      </c>
      <c r="F215" s="159" t="s">
        <v>1261</v>
      </c>
      <c r="G215" s="159" t="s">
        <v>1262</v>
      </c>
      <c r="H215" s="160" t="s">
        <v>191</v>
      </c>
      <c r="I215" s="161" t="s">
        <v>111</v>
      </c>
      <c r="J215" s="173"/>
      <c r="K215" s="168" t="s">
        <v>111</v>
      </c>
      <c r="L215" s="164"/>
      <c r="M215" s="164"/>
      <c r="N215" s="164"/>
      <c r="O215" s="164"/>
      <c r="P215" s="164"/>
      <c r="Q215" s="164"/>
      <c r="R215" s="164"/>
      <c r="S215" s="164"/>
      <c r="T215" s="164"/>
      <c r="U215" s="164"/>
      <c r="V215" s="164"/>
      <c r="W215" s="164"/>
      <c r="X215" s="164"/>
      <c r="Y215" s="164"/>
      <c r="Z215" s="164"/>
      <c r="AA215" s="164"/>
    </row>
    <row r="216">
      <c r="A216" s="159" t="s">
        <v>195</v>
      </c>
      <c r="B216" s="159" t="s">
        <v>1399</v>
      </c>
      <c r="C216" s="159" t="s">
        <v>1001</v>
      </c>
      <c r="D216" s="159" t="s">
        <v>1002</v>
      </c>
      <c r="E216" s="159" t="s">
        <v>938</v>
      </c>
      <c r="F216" s="159" t="s">
        <v>1003</v>
      </c>
      <c r="G216" s="159" t="s">
        <v>1004</v>
      </c>
      <c r="H216" s="160" t="s">
        <v>191</v>
      </c>
      <c r="I216" s="161" t="s">
        <v>36</v>
      </c>
      <c r="J216" s="173"/>
      <c r="K216" s="163" t="s">
        <v>36</v>
      </c>
      <c r="L216" s="164"/>
      <c r="M216" s="164"/>
      <c r="N216" s="164"/>
      <c r="O216" s="164"/>
      <c r="P216" s="164"/>
      <c r="Q216" s="164"/>
      <c r="R216" s="164"/>
      <c r="S216" s="164"/>
      <c r="T216" s="164"/>
      <c r="U216" s="164"/>
      <c r="V216" s="164"/>
      <c r="W216" s="164"/>
      <c r="X216" s="164"/>
      <c r="Y216" s="164"/>
      <c r="Z216" s="164"/>
      <c r="AA216" s="164"/>
    </row>
    <row r="217">
      <c r="A217" s="159" t="s">
        <v>195</v>
      </c>
      <c r="B217" s="159" t="s">
        <v>1400</v>
      </c>
      <c r="C217" s="159" t="s">
        <v>1007</v>
      </c>
      <c r="D217" s="159" t="s">
        <v>1008</v>
      </c>
      <c r="E217" s="159" t="s">
        <v>882</v>
      </c>
      <c r="F217" s="159" t="s">
        <v>1009</v>
      </c>
      <c r="G217" s="159" t="s">
        <v>1010</v>
      </c>
      <c r="H217" s="160" t="s">
        <v>191</v>
      </c>
      <c r="I217" s="161" t="s">
        <v>36</v>
      </c>
      <c r="J217" s="173"/>
      <c r="K217" s="163" t="s">
        <v>36</v>
      </c>
      <c r="L217" s="164"/>
      <c r="M217" s="164"/>
      <c r="N217" s="164"/>
      <c r="O217" s="164"/>
      <c r="P217" s="164"/>
      <c r="Q217" s="164"/>
      <c r="R217" s="164"/>
      <c r="S217" s="164"/>
      <c r="T217" s="164"/>
      <c r="U217" s="164"/>
      <c r="V217" s="164"/>
      <c r="W217" s="164"/>
      <c r="X217" s="164"/>
      <c r="Y217" s="164"/>
      <c r="Z217" s="164"/>
      <c r="AA217" s="164"/>
    </row>
    <row r="218">
      <c r="A218" s="159" t="s">
        <v>195</v>
      </c>
      <c r="B218" s="159" t="s">
        <v>1401</v>
      </c>
      <c r="C218" s="159" t="s">
        <v>1012</v>
      </c>
      <c r="D218" s="159" t="s">
        <v>1013</v>
      </c>
      <c r="E218" s="159" t="s">
        <v>938</v>
      </c>
      <c r="F218" s="159" t="s">
        <v>1014</v>
      </c>
      <c r="G218" s="159" t="s">
        <v>1015</v>
      </c>
      <c r="H218" s="160" t="s">
        <v>191</v>
      </c>
      <c r="I218" s="161" t="s">
        <v>36</v>
      </c>
      <c r="J218" s="173"/>
      <c r="K218" s="163" t="s">
        <v>36</v>
      </c>
      <c r="L218" s="164"/>
      <c r="M218" s="164"/>
      <c r="N218" s="164"/>
      <c r="O218" s="164"/>
      <c r="P218" s="164"/>
      <c r="Q218" s="164"/>
      <c r="R218" s="164"/>
      <c r="S218" s="164"/>
      <c r="T218" s="164"/>
      <c r="U218" s="164"/>
      <c r="V218" s="164"/>
      <c r="W218" s="164"/>
      <c r="X218" s="164"/>
      <c r="Y218" s="164"/>
      <c r="Z218" s="164"/>
      <c r="AA218" s="164"/>
    </row>
    <row r="219">
      <c r="A219" s="159" t="s">
        <v>195</v>
      </c>
      <c r="B219" s="159" t="s">
        <v>1402</v>
      </c>
      <c r="C219" s="159" t="s">
        <v>1018</v>
      </c>
      <c r="D219" s="159" t="s">
        <v>1019</v>
      </c>
      <c r="E219" s="159" t="s">
        <v>938</v>
      </c>
      <c r="F219" s="159" t="s">
        <v>1020</v>
      </c>
      <c r="G219" s="159" t="s">
        <v>1015</v>
      </c>
      <c r="H219" s="160" t="s">
        <v>191</v>
      </c>
      <c r="I219" s="161" t="s">
        <v>36</v>
      </c>
      <c r="J219" s="173"/>
      <c r="K219" s="163" t="s">
        <v>36</v>
      </c>
      <c r="L219" s="164"/>
      <c r="M219" s="164"/>
      <c r="N219" s="164"/>
      <c r="O219" s="164"/>
      <c r="P219" s="164"/>
      <c r="Q219" s="164"/>
      <c r="R219" s="164"/>
      <c r="S219" s="164"/>
      <c r="T219" s="164"/>
      <c r="U219" s="164"/>
      <c r="V219" s="164"/>
      <c r="W219" s="164"/>
      <c r="X219" s="164"/>
      <c r="Y219" s="164"/>
      <c r="Z219" s="164"/>
      <c r="AA219" s="164"/>
    </row>
    <row r="220">
      <c r="A220" s="159" t="s">
        <v>195</v>
      </c>
      <c r="B220" s="159" t="s">
        <v>1403</v>
      </c>
      <c r="C220" s="159" t="s">
        <v>1022</v>
      </c>
      <c r="D220" s="159" t="s">
        <v>1023</v>
      </c>
      <c r="E220" s="159" t="s">
        <v>1024</v>
      </c>
      <c r="F220" s="159" t="s">
        <v>1025</v>
      </c>
      <c r="G220" s="159" t="s">
        <v>1026</v>
      </c>
      <c r="H220" s="160" t="s">
        <v>191</v>
      </c>
      <c r="I220" s="161" t="s">
        <v>36</v>
      </c>
      <c r="J220" s="173"/>
      <c r="K220" s="163" t="s">
        <v>36</v>
      </c>
      <c r="L220" s="164"/>
      <c r="M220" s="164"/>
      <c r="N220" s="164"/>
      <c r="O220" s="164"/>
      <c r="P220" s="164"/>
      <c r="Q220" s="164"/>
      <c r="R220" s="164"/>
      <c r="S220" s="164"/>
      <c r="T220" s="164"/>
      <c r="U220" s="164"/>
      <c r="V220" s="164"/>
      <c r="W220" s="164"/>
      <c r="X220" s="164"/>
      <c r="Y220" s="164"/>
      <c r="Z220" s="164"/>
      <c r="AA220" s="164"/>
    </row>
    <row r="221">
      <c r="A221" s="159" t="s">
        <v>195</v>
      </c>
      <c r="B221" s="159" t="s">
        <v>1404</v>
      </c>
      <c r="C221" s="159" t="s">
        <v>1029</v>
      </c>
      <c r="D221" s="159" t="s">
        <v>1030</v>
      </c>
      <c r="E221" s="159" t="s">
        <v>1024</v>
      </c>
      <c r="F221" s="159" t="s">
        <v>1031</v>
      </c>
      <c r="G221" s="159" t="s">
        <v>1032</v>
      </c>
      <c r="H221" s="160" t="s">
        <v>191</v>
      </c>
      <c r="I221" s="161" t="s">
        <v>36</v>
      </c>
      <c r="J221" s="173"/>
      <c r="K221" s="163" t="s">
        <v>36</v>
      </c>
      <c r="L221" s="164"/>
      <c r="M221" s="164"/>
      <c r="N221" s="164"/>
      <c r="O221" s="164"/>
      <c r="P221" s="164"/>
      <c r="Q221" s="164"/>
      <c r="R221" s="164"/>
      <c r="S221" s="164"/>
      <c r="T221" s="164"/>
      <c r="U221" s="164"/>
      <c r="V221" s="164"/>
      <c r="W221" s="164"/>
      <c r="X221" s="164"/>
      <c r="Y221" s="164"/>
      <c r="Z221" s="164"/>
      <c r="AA221" s="164"/>
    </row>
    <row r="222">
      <c r="A222" s="159" t="s">
        <v>195</v>
      </c>
      <c r="B222" s="159" t="s">
        <v>1405</v>
      </c>
      <c r="C222" s="159" t="s">
        <v>1034</v>
      </c>
      <c r="D222" s="159" t="s">
        <v>1035</v>
      </c>
      <c r="E222" s="159" t="s">
        <v>847</v>
      </c>
      <c r="F222" s="159" t="s">
        <v>1036</v>
      </c>
      <c r="G222" s="159" t="s">
        <v>1037</v>
      </c>
      <c r="H222" s="160" t="s">
        <v>191</v>
      </c>
      <c r="I222" s="161" t="s">
        <v>36</v>
      </c>
      <c r="J222" s="173"/>
      <c r="K222" s="163" t="s">
        <v>36</v>
      </c>
      <c r="L222" s="164"/>
      <c r="M222" s="164"/>
      <c r="N222" s="164"/>
      <c r="O222" s="164"/>
      <c r="P222" s="164"/>
      <c r="Q222" s="164"/>
      <c r="R222" s="164"/>
      <c r="S222" s="164"/>
      <c r="T222" s="164"/>
      <c r="U222" s="164"/>
      <c r="V222" s="164"/>
      <c r="W222" s="164"/>
      <c r="X222" s="164"/>
      <c r="Y222" s="164"/>
      <c r="Z222" s="164"/>
      <c r="AA222" s="164"/>
    </row>
    <row r="223">
      <c r="A223" s="159" t="s">
        <v>195</v>
      </c>
      <c r="B223" s="159" t="s">
        <v>1406</v>
      </c>
      <c r="C223" s="159" t="s">
        <v>1039</v>
      </c>
      <c r="D223" s="159" t="s">
        <v>1040</v>
      </c>
      <c r="E223" s="159" t="s">
        <v>1041</v>
      </c>
      <c r="F223" s="159" t="s">
        <v>1271</v>
      </c>
      <c r="G223" s="159" t="s">
        <v>1043</v>
      </c>
      <c r="H223" s="160" t="s">
        <v>191</v>
      </c>
      <c r="I223" s="161" t="s">
        <v>36</v>
      </c>
      <c r="J223" s="175" t="s">
        <v>1240</v>
      </c>
      <c r="K223" s="163" t="s">
        <v>1045</v>
      </c>
      <c r="L223" s="164"/>
      <c r="M223" s="164"/>
      <c r="N223" s="164"/>
      <c r="O223" s="164"/>
      <c r="P223" s="164"/>
      <c r="Q223" s="164"/>
      <c r="R223" s="164"/>
      <c r="S223" s="164"/>
      <c r="T223" s="164"/>
      <c r="U223" s="164"/>
      <c r="V223" s="164"/>
      <c r="W223" s="164"/>
      <c r="X223" s="164"/>
      <c r="Y223" s="164"/>
      <c r="Z223" s="164"/>
      <c r="AA223" s="164"/>
    </row>
    <row r="224">
      <c r="A224" s="159" t="s">
        <v>195</v>
      </c>
      <c r="B224" s="159" t="s">
        <v>1407</v>
      </c>
      <c r="C224" s="159" t="s">
        <v>1047</v>
      </c>
      <c r="D224" s="159" t="s">
        <v>1048</v>
      </c>
      <c r="E224" s="159" t="s">
        <v>1049</v>
      </c>
      <c r="F224" s="159" t="s">
        <v>1050</v>
      </c>
      <c r="G224" s="159" t="s">
        <v>1051</v>
      </c>
      <c r="H224" s="160" t="s">
        <v>191</v>
      </c>
      <c r="I224" s="161" t="s">
        <v>36</v>
      </c>
      <c r="J224" s="173"/>
      <c r="K224" s="163" t="s">
        <v>36</v>
      </c>
      <c r="L224" s="164"/>
      <c r="M224" s="164"/>
      <c r="N224" s="164"/>
      <c r="O224" s="164"/>
      <c r="P224" s="164"/>
      <c r="Q224" s="164"/>
      <c r="R224" s="164"/>
      <c r="S224" s="164"/>
      <c r="T224" s="164"/>
      <c r="U224" s="164"/>
      <c r="V224" s="164"/>
      <c r="W224" s="164"/>
      <c r="X224" s="164"/>
      <c r="Y224" s="164"/>
      <c r="Z224" s="164"/>
      <c r="AA224" s="164"/>
    </row>
    <row r="225">
      <c r="A225" s="159" t="s">
        <v>195</v>
      </c>
      <c r="B225" s="159" t="s">
        <v>1408</v>
      </c>
      <c r="C225" s="159" t="s">
        <v>1068</v>
      </c>
      <c r="D225" s="159" t="s">
        <v>1069</v>
      </c>
      <c r="E225" s="159" t="s">
        <v>938</v>
      </c>
      <c r="F225" s="159" t="s">
        <v>1070</v>
      </c>
      <c r="G225" s="159" t="s">
        <v>1071</v>
      </c>
      <c r="H225" s="160" t="s">
        <v>191</v>
      </c>
      <c r="I225" s="161" t="s">
        <v>36</v>
      </c>
      <c r="J225" s="173"/>
      <c r="K225" s="169" t="s">
        <v>1059</v>
      </c>
      <c r="L225" s="164"/>
      <c r="M225" s="164"/>
      <c r="N225" s="164"/>
      <c r="O225" s="164"/>
      <c r="P225" s="164"/>
      <c r="Q225" s="164"/>
      <c r="R225" s="164"/>
      <c r="S225" s="164"/>
      <c r="T225" s="164"/>
      <c r="U225" s="164"/>
      <c r="V225" s="164"/>
      <c r="W225" s="164"/>
      <c r="X225" s="164"/>
      <c r="Y225" s="164"/>
      <c r="Z225" s="164"/>
      <c r="AA225" s="164"/>
    </row>
    <row r="226">
      <c r="A226" s="159" t="s">
        <v>195</v>
      </c>
      <c r="B226" s="159" t="s">
        <v>1409</v>
      </c>
      <c r="C226" s="178" t="s">
        <v>1054</v>
      </c>
      <c r="D226" s="178" t="s">
        <v>1055</v>
      </c>
      <c r="E226" s="178" t="s">
        <v>1056</v>
      </c>
      <c r="F226" s="178" t="s">
        <v>1057</v>
      </c>
      <c r="G226" s="178" t="s">
        <v>1058</v>
      </c>
      <c r="H226" s="160" t="s">
        <v>191</v>
      </c>
      <c r="I226" s="161" t="s">
        <v>36</v>
      </c>
      <c r="J226" s="175" t="s">
        <v>1275</v>
      </c>
      <c r="K226" s="170" t="s">
        <v>1066</v>
      </c>
    </row>
    <row r="227">
      <c r="A227" s="159" t="s">
        <v>195</v>
      </c>
      <c r="B227" s="159" t="s">
        <v>1410</v>
      </c>
      <c r="C227" s="178" t="s">
        <v>1054</v>
      </c>
      <c r="D227" s="178" t="s">
        <v>1061</v>
      </c>
      <c r="E227" s="178" t="s">
        <v>1062</v>
      </c>
      <c r="F227" s="178" t="s">
        <v>1063</v>
      </c>
      <c r="G227" s="178" t="s">
        <v>1064</v>
      </c>
      <c r="H227" s="160" t="s">
        <v>191</v>
      </c>
      <c r="I227" s="161" t="s">
        <v>111</v>
      </c>
      <c r="J227" s="175" t="s">
        <v>1347</v>
      </c>
      <c r="K227" s="168" t="s">
        <v>111</v>
      </c>
    </row>
    <row r="228">
      <c r="A228" s="159" t="s">
        <v>355</v>
      </c>
      <c r="B228" s="159" t="s">
        <v>1411</v>
      </c>
      <c r="C228" s="159" t="s">
        <v>1074</v>
      </c>
      <c r="D228" s="159" t="s">
        <v>1075</v>
      </c>
      <c r="E228" s="159" t="s">
        <v>1076</v>
      </c>
      <c r="F228" s="159" t="s">
        <v>1077</v>
      </c>
      <c r="G228" s="159" t="s">
        <v>1078</v>
      </c>
      <c r="H228" s="160" t="s">
        <v>191</v>
      </c>
      <c r="I228" s="161" t="s">
        <v>36</v>
      </c>
      <c r="J228" s="173"/>
      <c r="K228" s="163" t="s">
        <v>36</v>
      </c>
      <c r="L228" s="164"/>
      <c r="M228" s="164"/>
      <c r="N228" s="164"/>
      <c r="O228" s="164"/>
      <c r="P228" s="164"/>
      <c r="Q228" s="164"/>
      <c r="R228" s="164"/>
      <c r="S228" s="164"/>
      <c r="T228" s="164"/>
      <c r="U228" s="164"/>
      <c r="V228" s="164"/>
      <c r="W228" s="164"/>
      <c r="X228" s="164"/>
      <c r="Y228" s="164"/>
      <c r="Z228" s="164"/>
      <c r="AA228" s="164"/>
    </row>
    <row r="229">
      <c r="A229" s="159" t="s">
        <v>355</v>
      </c>
      <c r="B229" s="159" t="s">
        <v>1412</v>
      </c>
      <c r="C229" s="159" t="s">
        <v>1081</v>
      </c>
      <c r="D229" s="159" t="s">
        <v>1082</v>
      </c>
      <c r="E229" s="159" t="s">
        <v>938</v>
      </c>
      <c r="F229" s="159" t="s">
        <v>1083</v>
      </c>
      <c r="G229" s="159" t="s">
        <v>1084</v>
      </c>
      <c r="H229" s="160" t="s">
        <v>191</v>
      </c>
      <c r="I229" s="161" t="s">
        <v>111</v>
      </c>
      <c r="J229" s="173"/>
      <c r="K229" s="163" t="s">
        <v>1086</v>
      </c>
      <c r="L229" s="164"/>
      <c r="M229" s="164"/>
      <c r="N229" s="164"/>
      <c r="O229" s="164"/>
      <c r="P229" s="164"/>
      <c r="Q229" s="164"/>
      <c r="R229" s="164"/>
      <c r="S229" s="164"/>
      <c r="T229" s="164"/>
      <c r="U229" s="164"/>
      <c r="V229" s="164"/>
      <c r="W229" s="164"/>
      <c r="X229" s="164"/>
      <c r="Y229" s="164"/>
      <c r="Z229" s="164"/>
      <c r="AA229" s="164"/>
    </row>
    <row r="230">
      <c r="A230" s="159" t="s">
        <v>355</v>
      </c>
      <c r="B230" s="159" t="s">
        <v>1413</v>
      </c>
      <c r="C230" s="159" t="s">
        <v>1088</v>
      </c>
      <c r="D230" s="159" t="s">
        <v>1089</v>
      </c>
      <c r="E230" s="159" t="s">
        <v>1090</v>
      </c>
      <c r="F230" s="159" t="s">
        <v>1091</v>
      </c>
      <c r="G230" s="159" t="s">
        <v>1092</v>
      </c>
      <c r="H230" s="160" t="s">
        <v>191</v>
      </c>
      <c r="I230" s="161" t="s">
        <v>36</v>
      </c>
      <c r="J230" s="173"/>
      <c r="K230" s="163" t="s">
        <v>36</v>
      </c>
      <c r="L230" s="164"/>
      <c r="M230" s="164"/>
      <c r="N230" s="164"/>
      <c r="O230" s="164"/>
      <c r="P230" s="164"/>
      <c r="Q230" s="164"/>
      <c r="R230" s="164"/>
      <c r="S230" s="164"/>
      <c r="T230" s="164"/>
      <c r="U230" s="164"/>
      <c r="V230" s="164"/>
      <c r="W230" s="164"/>
      <c r="X230" s="164"/>
      <c r="Y230" s="164"/>
      <c r="Z230" s="164"/>
      <c r="AA230" s="164"/>
    </row>
    <row r="231">
      <c r="A231" s="159" t="s">
        <v>413</v>
      </c>
      <c r="B231" s="159" t="s">
        <v>1414</v>
      </c>
      <c r="C231" s="159" t="s">
        <v>1095</v>
      </c>
      <c r="D231" s="159" t="s">
        <v>1096</v>
      </c>
      <c r="E231" s="159" t="s">
        <v>1076</v>
      </c>
      <c r="F231" s="159" t="s">
        <v>1097</v>
      </c>
      <c r="G231" s="159" t="s">
        <v>1098</v>
      </c>
      <c r="H231" s="160" t="s">
        <v>191</v>
      </c>
      <c r="I231" s="161" t="s">
        <v>111</v>
      </c>
      <c r="J231" s="173"/>
      <c r="K231" s="163" t="s">
        <v>1086</v>
      </c>
      <c r="L231" s="164"/>
      <c r="M231" s="164"/>
      <c r="N231" s="164"/>
      <c r="O231" s="164"/>
      <c r="P231" s="164"/>
      <c r="Q231" s="164"/>
      <c r="R231" s="164"/>
      <c r="S231" s="164"/>
      <c r="T231" s="164"/>
      <c r="U231" s="164"/>
      <c r="V231" s="164"/>
      <c r="W231" s="164"/>
      <c r="X231" s="164"/>
      <c r="Y231" s="164"/>
      <c r="Z231" s="164"/>
      <c r="AA231" s="164"/>
    </row>
    <row r="232">
      <c r="A232" s="159" t="s">
        <v>413</v>
      </c>
      <c r="B232" s="159" t="s">
        <v>1415</v>
      </c>
      <c r="C232" s="159" t="s">
        <v>1101</v>
      </c>
      <c r="D232" s="159" t="s">
        <v>1102</v>
      </c>
      <c r="E232" s="159" t="s">
        <v>938</v>
      </c>
      <c r="F232" s="159" t="s">
        <v>1103</v>
      </c>
      <c r="G232" s="159" t="s">
        <v>1104</v>
      </c>
      <c r="H232" s="160" t="s">
        <v>191</v>
      </c>
      <c r="I232" s="161" t="s">
        <v>36</v>
      </c>
      <c r="J232" s="175" t="s">
        <v>1240</v>
      </c>
      <c r="K232" s="163" t="s">
        <v>36</v>
      </c>
      <c r="L232" s="164"/>
      <c r="M232" s="164"/>
      <c r="N232" s="164"/>
      <c r="O232" s="164"/>
      <c r="P232" s="164"/>
      <c r="Q232" s="164"/>
      <c r="R232" s="164"/>
      <c r="S232" s="164"/>
      <c r="T232" s="164"/>
      <c r="U232" s="164"/>
      <c r="V232" s="164"/>
      <c r="W232" s="164"/>
      <c r="X232" s="164"/>
      <c r="Y232" s="164"/>
      <c r="Z232" s="164"/>
      <c r="AA232" s="164"/>
    </row>
    <row r="233">
      <c r="A233" s="159" t="s">
        <v>413</v>
      </c>
      <c r="B233" s="159" t="s">
        <v>1416</v>
      </c>
      <c r="C233" s="159" t="s">
        <v>1106</v>
      </c>
      <c r="D233" s="159" t="s">
        <v>1107</v>
      </c>
      <c r="E233" s="159" t="s">
        <v>938</v>
      </c>
      <c r="F233" s="159" t="s">
        <v>1108</v>
      </c>
      <c r="G233" s="159" t="s">
        <v>1109</v>
      </c>
      <c r="H233" s="160" t="s">
        <v>191</v>
      </c>
      <c r="I233" s="161" t="s">
        <v>111</v>
      </c>
      <c r="J233" s="173"/>
      <c r="K233" s="163" t="s">
        <v>1086</v>
      </c>
      <c r="L233" s="164"/>
      <c r="M233" s="164"/>
      <c r="N233" s="164"/>
      <c r="O233" s="164"/>
      <c r="P233" s="164"/>
      <c r="Q233" s="164"/>
      <c r="R233" s="164"/>
      <c r="S233" s="164"/>
      <c r="T233" s="164"/>
      <c r="U233" s="164"/>
      <c r="V233" s="164"/>
      <c r="W233" s="164"/>
      <c r="X233" s="164"/>
      <c r="Y233" s="164"/>
      <c r="Z233" s="164"/>
      <c r="AA233" s="164"/>
    </row>
    <row r="234">
      <c r="A234" s="159" t="s">
        <v>413</v>
      </c>
      <c r="B234" s="159" t="s">
        <v>1417</v>
      </c>
      <c r="C234" s="159" t="s">
        <v>1111</v>
      </c>
      <c r="D234" s="159" t="s">
        <v>1112</v>
      </c>
      <c r="E234" s="159" t="s">
        <v>938</v>
      </c>
      <c r="F234" s="159" t="s">
        <v>1113</v>
      </c>
      <c r="G234" s="159" t="s">
        <v>1114</v>
      </c>
      <c r="H234" s="160" t="s">
        <v>191</v>
      </c>
      <c r="I234" s="161" t="s">
        <v>36</v>
      </c>
      <c r="J234" s="173"/>
      <c r="K234" s="163" t="s">
        <v>36</v>
      </c>
      <c r="L234" s="164"/>
      <c r="M234" s="164"/>
      <c r="N234" s="164"/>
      <c r="O234" s="164"/>
      <c r="P234" s="164"/>
      <c r="Q234" s="164"/>
      <c r="R234" s="164"/>
      <c r="S234" s="164"/>
      <c r="T234" s="164"/>
      <c r="U234" s="164"/>
      <c r="V234" s="164"/>
      <c r="W234" s="164"/>
      <c r="X234" s="164"/>
      <c r="Y234" s="164"/>
      <c r="Z234" s="164"/>
      <c r="AA234" s="164"/>
    </row>
    <row r="235">
      <c r="A235" s="159" t="s">
        <v>413</v>
      </c>
      <c r="B235" s="159" t="s">
        <v>1418</v>
      </c>
      <c r="C235" s="159" t="s">
        <v>1116</v>
      </c>
      <c r="D235" s="159" t="s">
        <v>1117</v>
      </c>
      <c r="E235" s="159" t="s">
        <v>1118</v>
      </c>
      <c r="F235" s="159" t="s">
        <v>1119</v>
      </c>
      <c r="G235" s="159" t="s">
        <v>1120</v>
      </c>
      <c r="H235" s="160" t="s">
        <v>191</v>
      </c>
      <c r="I235" s="161" t="s">
        <v>36</v>
      </c>
      <c r="J235" s="173"/>
      <c r="K235" s="163" t="s">
        <v>36</v>
      </c>
      <c r="L235" s="164"/>
      <c r="M235" s="164"/>
      <c r="N235" s="164"/>
      <c r="O235" s="164"/>
      <c r="P235" s="164"/>
      <c r="Q235" s="164"/>
      <c r="R235" s="164"/>
      <c r="S235" s="164"/>
      <c r="T235" s="164"/>
      <c r="U235" s="164"/>
      <c r="V235" s="164"/>
      <c r="W235" s="164"/>
      <c r="X235" s="164"/>
      <c r="Y235" s="164"/>
      <c r="Z235" s="164"/>
      <c r="AA235" s="164"/>
    </row>
    <row r="236">
      <c r="A236" s="159" t="s">
        <v>413</v>
      </c>
      <c r="B236" s="159" t="s">
        <v>1419</v>
      </c>
      <c r="C236" s="159" t="s">
        <v>1123</v>
      </c>
      <c r="D236" s="159" t="s">
        <v>1124</v>
      </c>
      <c r="E236" s="159" t="s">
        <v>938</v>
      </c>
      <c r="F236" s="159" t="s">
        <v>1125</v>
      </c>
      <c r="G236" s="159" t="s">
        <v>1126</v>
      </c>
      <c r="H236" s="160" t="s">
        <v>191</v>
      </c>
      <c r="I236" s="161" t="s">
        <v>36</v>
      </c>
      <c r="J236" s="173"/>
      <c r="K236" s="163" t="s">
        <v>36</v>
      </c>
      <c r="L236" s="164"/>
      <c r="M236" s="164"/>
      <c r="N236" s="164"/>
      <c r="O236" s="164"/>
      <c r="P236" s="164"/>
      <c r="Q236" s="164"/>
      <c r="R236" s="164"/>
      <c r="S236" s="164"/>
      <c r="T236" s="164"/>
      <c r="U236" s="164"/>
      <c r="V236" s="164"/>
      <c r="W236" s="164"/>
      <c r="X236" s="164"/>
      <c r="Y236" s="164"/>
      <c r="Z236" s="164"/>
      <c r="AA236" s="164"/>
    </row>
    <row r="237">
      <c r="A237" s="159" t="s">
        <v>322</v>
      </c>
      <c r="B237" s="159" t="s">
        <v>1420</v>
      </c>
      <c r="C237" s="159" t="s">
        <v>1288</v>
      </c>
      <c r="D237" s="159" t="s">
        <v>1289</v>
      </c>
      <c r="E237" s="159" t="s">
        <v>920</v>
      </c>
      <c r="F237" s="159" t="s">
        <v>1290</v>
      </c>
      <c r="G237" s="159" t="s">
        <v>1132</v>
      </c>
      <c r="H237" s="160" t="s">
        <v>191</v>
      </c>
      <c r="I237" s="161" t="s">
        <v>111</v>
      </c>
      <c r="J237" s="173"/>
      <c r="K237" s="163" t="s">
        <v>1086</v>
      </c>
      <c r="L237" s="164"/>
      <c r="M237" s="164"/>
      <c r="N237" s="164"/>
      <c r="O237" s="164"/>
      <c r="P237" s="164"/>
      <c r="Q237" s="164"/>
      <c r="R237" s="164"/>
      <c r="S237" s="164"/>
      <c r="T237" s="164"/>
      <c r="U237" s="164"/>
      <c r="V237" s="164"/>
      <c r="W237" s="164"/>
      <c r="X237" s="164"/>
      <c r="Y237" s="164"/>
      <c r="Z237" s="164"/>
      <c r="AA237" s="164"/>
    </row>
    <row r="238">
      <c r="A238" s="159" t="s">
        <v>322</v>
      </c>
      <c r="B238" s="159" t="s">
        <v>1421</v>
      </c>
      <c r="C238" s="159" t="s">
        <v>1135</v>
      </c>
      <c r="D238" s="159" t="s">
        <v>1136</v>
      </c>
      <c r="E238" s="159" t="s">
        <v>913</v>
      </c>
      <c r="F238" s="159" t="s">
        <v>1137</v>
      </c>
      <c r="G238" s="159" t="s">
        <v>1138</v>
      </c>
      <c r="H238" s="160" t="s">
        <v>191</v>
      </c>
      <c r="I238" s="161" t="s">
        <v>111</v>
      </c>
      <c r="J238" s="173"/>
      <c r="K238" s="163" t="s">
        <v>1086</v>
      </c>
      <c r="L238" s="164"/>
      <c r="M238" s="164"/>
      <c r="N238" s="164"/>
      <c r="O238" s="164"/>
      <c r="P238" s="164"/>
      <c r="Q238" s="164"/>
      <c r="R238" s="164"/>
      <c r="S238" s="164"/>
      <c r="T238" s="164"/>
      <c r="U238" s="164"/>
      <c r="V238" s="164"/>
      <c r="W238" s="164"/>
      <c r="X238" s="164"/>
      <c r="Y238" s="164"/>
      <c r="Z238" s="164"/>
      <c r="AA238" s="164"/>
    </row>
    <row r="239">
      <c r="A239" s="159" t="s">
        <v>322</v>
      </c>
      <c r="B239" s="159" t="s">
        <v>1422</v>
      </c>
      <c r="C239" s="159" t="s">
        <v>1141</v>
      </c>
      <c r="D239" s="159" t="s">
        <v>1142</v>
      </c>
      <c r="E239" s="159" t="s">
        <v>882</v>
      </c>
      <c r="F239" s="159" t="s">
        <v>1143</v>
      </c>
      <c r="G239" s="159" t="s">
        <v>1144</v>
      </c>
      <c r="H239" s="160" t="s">
        <v>191</v>
      </c>
      <c r="I239" s="161" t="s">
        <v>36</v>
      </c>
      <c r="J239" s="173"/>
      <c r="K239" s="169" t="s">
        <v>36</v>
      </c>
      <c r="L239" s="164"/>
      <c r="M239" s="164"/>
      <c r="N239" s="164"/>
      <c r="O239" s="164"/>
      <c r="P239" s="164"/>
      <c r="Q239" s="164"/>
      <c r="R239" s="164"/>
      <c r="S239" s="164"/>
      <c r="T239" s="164"/>
      <c r="U239" s="164"/>
      <c r="V239" s="164"/>
      <c r="W239" s="164"/>
      <c r="X239" s="164"/>
      <c r="Y239" s="164"/>
      <c r="Z239" s="164"/>
      <c r="AA239" s="164"/>
    </row>
    <row r="240">
      <c r="A240" s="159" t="s">
        <v>322</v>
      </c>
      <c r="B240" s="159" t="s">
        <v>1423</v>
      </c>
      <c r="C240" s="159" t="s">
        <v>1147</v>
      </c>
      <c r="D240" s="159" t="s">
        <v>1148</v>
      </c>
      <c r="E240" s="159" t="s">
        <v>882</v>
      </c>
      <c r="F240" s="159" t="s">
        <v>1149</v>
      </c>
      <c r="G240" s="159" t="s">
        <v>1150</v>
      </c>
      <c r="H240" s="160" t="s">
        <v>191</v>
      </c>
      <c r="I240" s="161" t="s">
        <v>36</v>
      </c>
      <c r="J240" s="173"/>
      <c r="K240" s="163" t="s">
        <v>36</v>
      </c>
      <c r="L240" s="164"/>
      <c r="M240" s="164"/>
      <c r="N240" s="164"/>
      <c r="O240" s="164"/>
      <c r="P240" s="164"/>
      <c r="Q240" s="164"/>
      <c r="R240" s="164"/>
      <c r="S240" s="164"/>
      <c r="T240" s="164"/>
      <c r="U240" s="164"/>
      <c r="V240" s="164"/>
      <c r="W240" s="164"/>
      <c r="X240" s="164"/>
      <c r="Y240" s="164"/>
      <c r="Z240" s="164"/>
      <c r="AA240" s="164"/>
    </row>
    <row r="241">
      <c r="A241" s="159" t="s">
        <v>322</v>
      </c>
      <c r="B241" s="159" t="s">
        <v>1424</v>
      </c>
      <c r="C241" s="159" t="s">
        <v>1153</v>
      </c>
      <c r="D241" s="159" t="s">
        <v>1154</v>
      </c>
      <c r="E241" s="159" t="s">
        <v>926</v>
      </c>
      <c r="F241" s="159" t="s">
        <v>1155</v>
      </c>
      <c r="G241" s="159" t="s">
        <v>1156</v>
      </c>
      <c r="H241" s="160" t="s">
        <v>191</v>
      </c>
      <c r="I241" s="161" t="s">
        <v>111</v>
      </c>
      <c r="J241" s="175" t="s">
        <v>1295</v>
      </c>
      <c r="K241" s="168" t="s">
        <v>111</v>
      </c>
      <c r="L241" s="164"/>
      <c r="M241" s="164"/>
      <c r="N241" s="164"/>
      <c r="O241" s="164"/>
      <c r="P241" s="164"/>
      <c r="Q241" s="164"/>
      <c r="R241" s="164"/>
      <c r="S241" s="164"/>
      <c r="T241" s="164"/>
      <c r="U241" s="164"/>
      <c r="V241" s="164"/>
      <c r="W241" s="164"/>
      <c r="X241" s="164"/>
      <c r="Y241" s="164"/>
      <c r="Z241" s="164"/>
      <c r="AA241" s="164"/>
    </row>
    <row r="242">
      <c r="A242" s="159" t="s">
        <v>322</v>
      </c>
      <c r="B242" s="159" t="s">
        <v>1425</v>
      </c>
      <c r="C242" s="159" t="s">
        <v>1159</v>
      </c>
      <c r="D242" s="159" t="s">
        <v>1160</v>
      </c>
      <c r="E242" s="159" t="s">
        <v>938</v>
      </c>
      <c r="F242" s="159" t="s">
        <v>1161</v>
      </c>
      <c r="G242" s="159" t="s">
        <v>1162</v>
      </c>
      <c r="H242" s="160" t="s">
        <v>191</v>
      </c>
      <c r="I242" s="161" t="s">
        <v>36</v>
      </c>
      <c r="J242" s="173"/>
      <c r="K242" s="163" t="s">
        <v>36</v>
      </c>
      <c r="L242" s="164"/>
      <c r="M242" s="164"/>
      <c r="N242" s="164"/>
      <c r="O242" s="164"/>
      <c r="P242" s="164"/>
      <c r="Q242" s="164"/>
      <c r="R242" s="164"/>
      <c r="S242" s="164"/>
      <c r="T242" s="164"/>
      <c r="U242" s="164"/>
      <c r="V242" s="164"/>
      <c r="W242" s="164"/>
      <c r="X242" s="164"/>
      <c r="Y242" s="164"/>
      <c r="Z242" s="164"/>
      <c r="AA242" s="164"/>
    </row>
    <row r="243">
      <c r="A243" s="159" t="s">
        <v>322</v>
      </c>
      <c r="B243" s="159" t="s">
        <v>1426</v>
      </c>
      <c r="C243" s="159" t="s">
        <v>1165</v>
      </c>
      <c r="D243" s="159" t="s">
        <v>1166</v>
      </c>
      <c r="E243" s="159" t="s">
        <v>882</v>
      </c>
      <c r="F243" s="159" t="s">
        <v>1167</v>
      </c>
      <c r="G243" s="159" t="s">
        <v>1168</v>
      </c>
      <c r="H243" s="160" t="s">
        <v>191</v>
      </c>
      <c r="I243" s="161" t="s">
        <v>111</v>
      </c>
      <c r="J243" s="173"/>
      <c r="K243" s="163" t="s">
        <v>1086</v>
      </c>
      <c r="L243" s="164"/>
      <c r="M243" s="164"/>
      <c r="N243" s="164"/>
      <c r="O243" s="164"/>
      <c r="P243" s="164"/>
      <c r="Q243" s="164"/>
      <c r="R243" s="164"/>
      <c r="S243" s="164"/>
      <c r="T243" s="164"/>
      <c r="U243" s="164"/>
      <c r="V243" s="164"/>
      <c r="W243" s="164"/>
      <c r="X243" s="164"/>
      <c r="Y243" s="164"/>
      <c r="Z243" s="164"/>
      <c r="AA243" s="164"/>
    </row>
    <row r="244">
      <c r="A244" s="159" t="s">
        <v>383</v>
      </c>
      <c r="B244" s="159" t="s">
        <v>1427</v>
      </c>
      <c r="C244" s="159" t="s">
        <v>1170</v>
      </c>
      <c r="D244" s="159" t="s">
        <v>1171</v>
      </c>
      <c r="E244" s="159" t="s">
        <v>1076</v>
      </c>
      <c r="F244" s="159" t="s">
        <v>1172</v>
      </c>
      <c r="G244" s="159" t="s">
        <v>1173</v>
      </c>
      <c r="H244" s="160" t="s">
        <v>191</v>
      </c>
      <c r="I244" s="161" t="s">
        <v>36</v>
      </c>
      <c r="J244" s="173"/>
      <c r="K244" s="163" t="s">
        <v>36</v>
      </c>
      <c r="L244" s="164"/>
      <c r="M244" s="164"/>
      <c r="N244" s="164"/>
      <c r="O244" s="164"/>
      <c r="P244" s="164"/>
      <c r="Q244" s="164"/>
      <c r="R244" s="164"/>
      <c r="S244" s="164"/>
      <c r="T244" s="164"/>
      <c r="U244" s="164"/>
      <c r="V244" s="164"/>
      <c r="W244" s="164"/>
      <c r="X244" s="164"/>
      <c r="Y244" s="164"/>
      <c r="Z244" s="164"/>
      <c r="AA244" s="164"/>
    </row>
    <row r="245">
      <c r="A245" s="159" t="s">
        <v>383</v>
      </c>
      <c r="B245" s="159" t="s">
        <v>1428</v>
      </c>
      <c r="C245" s="159" t="s">
        <v>1176</v>
      </c>
      <c r="D245" s="159" t="s">
        <v>1177</v>
      </c>
      <c r="E245" s="159" t="s">
        <v>882</v>
      </c>
      <c r="F245" s="159" t="s">
        <v>1178</v>
      </c>
      <c r="G245" s="159" t="s">
        <v>1179</v>
      </c>
      <c r="H245" s="160" t="s">
        <v>191</v>
      </c>
      <c r="I245" s="161" t="s">
        <v>36</v>
      </c>
      <c r="J245" s="173"/>
      <c r="K245" s="163" t="s">
        <v>36</v>
      </c>
      <c r="L245" s="164"/>
      <c r="M245" s="164"/>
      <c r="N245" s="164"/>
      <c r="O245" s="164"/>
      <c r="P245" s="164"/>
      <c r="Q245" s="164"/>
      <c r="R245" s="164"/>
      <c r="S245" s="164"/>
      <c r="T245" s="164"/>
      <c r="U245" s="164"/>
      <c r="V245" s="164"/>
      <c r="W245" s="164"/>
      <c r="X245" s="164"/>
      <c r="Y245" s="164"/>
      <c r="Z245" s="164"/>
      <c r="AA245" s="164"/>
    </row>
    <row r="246">
      <c r="A246" s="159" t="s">
        <v>383</v>
      </c>
      <c r="B246" s="159" t="s">
        <v>1429</v>
      </c>
      <c r="C246" s="159" t="s">
        <v>1182</v>
      </c>
      <c r="D246" s="159" t="s">
        <v>1183</v>
      </c>
      <c r="E246" s="159" t="s">
        <v>920</v>
      </c>
      <c r="F246" s="159" t="s">
        <v>1184</v>
      </c>
      <c r="G246" s="159" t="s">
        <v>1185</v>
      </c>
      <c r="H246" s="160" t="s">
        <v>191</v>
      </c>
      <c r="I246" s="161" t="s">
        <v>36</v>
      </c>
      <c r="J246" s="173"/>
      <c r="K246" s="163" t="s">
        <v>36</v>
      </c>
      <c r="L246" s="164"/>
      <c r="M246" s="164"/>
      <c r="N246" s="164"/>
      <c r="O246" s="164"/>
      <c r="P246" s="164"/>
      <c r="Q246" s="164"/>
      <c r="R246" s="164"/>
      <c r="S246" s="164"/>
      <c r="T246" s="164"/>
      <c r="U246" s="164"/>
      <c r="V246" s="164"/>
      <c r="W246" s="164"/>
      <c r="X246" s="164"/>
      <c r="Y246" s="164"/>
      <c r="Z246" s="164"/>
      <c r="AA246" s="164"/>
    </row>
    <row r="247">
      <c r="A247" s="159" t="s">
        <v>383</v>
      </c>
      <c r="B247" s="159" t="s">
        <v>1430</v>
      </c>
      <c r="C247" s="159" t="s">
        <v>1188</v>
      </c>
      <c r="D247" s="159" t="s">
        <v>1189</v>
      </c>
      <c r="E247" s="159" t="s">
        <v>938</v>
      </c>
      <c r="F247" s="159" t="s">
        <v>1190</v>
      </c>
      <c r="G247" s="159" t="s">
        <v>1191</v>
      </c>
      <c r="H247" s="160" t="s">
        <v>191</v>
      </c>
      <c r="I247" s="161" t="s">
        <v>36</v>
      </c>
      <c r="J247" s="173"/>
      <c r="K247" s="163" t="s">
        <v>36</v>
      </c>
      <c r="L247" s="164"/>
      <c r="M247" s="164"/>
      <c r="N247" s="164"/>
      <c r="O247" s="164"/>
      <c r="P247" s="164"/>
      <c r="Q247" s="164"/>
      <c r="R247" s="164"/>
      <c r="S247" s="164"/>
      <c r="T247" s="164"/>
      <c r="U247" s="164"/>
      <c r="V247" s="164"/>
      <c r="W247" s="164"/>
      <c r="X247" s="164"/>
      <c r="Y247" s="164"/>
      <c r="Z247" s="164"/>
      <c r="AA247" s="164"/>
    </row>
    <row r="248">
      <c r="A248" s="159" t="s">
        <v>383</v>
      </c>
      <c r="B248" s="159" t="s">
        <v>1431</v>
      </c>
      <c r="C248" s="159" t="s">
        <v>1194</v>
      </c>
      <c r="D248" s="159" t="s">
        <v>1195</v>
      </c>
      <c r="E248" s="159" t="s">
        <v>945</v>
      </c>
      <c r="F248" s="159" t="s">
        <v>1196</v>
      </c>
      <c r="G248" s="159" t="s">
        <v>1197</v>
      </c>
      <c r="H248" s="160" t="s">
        <v>191</v>
      </c>
      <c r="I248" s="161" t="s">
        <v>111</v>
      </c>
      <c r="J248" s="173"/>
      <c r="K248" s="163" t="s">
        <v>1086</v>
      </c>
      <c r="L248" s="164"/>
      <c r="M248" s="164"/>
      <c r="N248" s="164"/>
      <c r="O248" s="164"/>
      <c r="P248" s="164"/>
      <c r="Q248" s="164"/>
      <c r="R248" s="164"/>
      <c r="S248" s="164"/>
      <c r="T248" s="164"/>
      <c r="U248" s="164"/>
      <c r="V248" s="164"/>
      <c r="W248" s="164"/>
      <c r="X248" s="164"/>
      <c r="Y248" s="164"/>
      <c r="Z248" s="164"/>
      <c r="AA248" s="164"/>
    </row>
    <row r="249">
      <c r="A249" s="159" t="s">
        <v>1198</v>
      </c>
      <c r="B249" s="159" t="s">
        <v>1432</v>
      </c>
      <c r="C249" s="159" t="s">
        <v>1200</v>
      </c>
      <c r="D249" s="159" t="s">
        <v>1201</v>
      </c>
      <c r="E249" s="159" t="s">
        <v>1202</v>
      </c>
      <c r="F249" s="159" t="s">
        <v>1203</v>
      </c>
      <c r="G249" s="159" t="s">
        <v>1204</v>
      </c>
      <c r="H249" s="160" t="s">
        <v>191</v>
      </c>
      <c r="I249" s="161" t="s">
        <v>36</v>
      </c>
      <c r="J249" s="175" t="s">
        <v>1370</v>
      </c>
      <c r="K249" s="163" t="s">
        <v>1206</v>
      </c>
      <c r="L249" s="164"/>
      <c r="M249" s="164"/>
      <c r="N249" s="164"/>
      <c r="O249" s="164"/>
      <c r="P249" s="164"/>
      <c r="Q249" s="164"/>
      <c r="R249" s="164"/>
      <c r="S249" s="164"/>
      <c r="T249" s="164"/>
      <c r="U249" s="164"/>
      <c r="V249" s="164"/>
      <c r="W249" s="164"/>
      <c r="X249" s="164"/>
      <c r="Y249" s="164"/>
      <c r="Z249" s="164"/>
      <c r="AA249" s="164"/>
    </row>
    <row r="250">
      <c r="A250" s="159" t="s">
        <v>1198</v>
      </c>
      <c r="B250" s="159" t="s">
        <v>1433</v>
      </c>
      <c r="C250" s="159" t="s">
        <v>1208</v>
      </c>
      <c r="D250" s="159" t="s">
        <v>1209</v>
      </c>
      <c r="E250" s="159" t="s">
        <v>1210</v>
      </c>
      <c r="F250" s="159" t="s">
        <v>1211</v>
      </c>
      <c r="G250" s="159" t="s">
        <v>1212</v>
      </c>
      <c r="H250" s="160" t="s">
        <v>191</v>
      </c>
      <c r="I250" s="161" t="s">
        <v>111</v>
      </c>
      <c r="J250" s="173"/>
      <c r="K250" s="171" t="s">
        <v>1213</v>
      </c>
      <c r="L250" s="164"/>
      <c r="M250" s="164"/>
      <c r="N250" s="164"/>
      <c r="O250" s="164"/>
      <c r="P250" s="164"/>
      <c r="Q250" s="164"/>
      <c r="R250" s="164"/>
      <c r="S250" s="164"/>
      <c r="T250" s="164"/>
      <c r="U250" s="164"/>
      <c r="V250" s="164"/>
      <c r="W250" s="164"/>
      <c r="X250" s="164"/>
      <c r="Y250" s="164"/>
      <c r="Z250" s="164"/>
      <c r="AA250" s="164"/>
    </row>
    <row r="251">
      <c r="A251" s="159" t="s">
        <v>1198</v>
      </c>
      <c r="B251" s="159" t="s">
        <v>1434</v>
      </c>
      <c r="C251" s="159" t="s">
        <v>1215</v>
      </c>
      <c r="D251" s="159" t="s">
        <v>1216</v>
      </c>
      <c r="E251" s="159" t="s">
        <v>309</v>
      </c>
      <c r="F251" s="159" t="s">
        <v>1217</v>
      </c>
      <c r="G251" s="159" t="s">
        <v>1218</v>
      </c>
      <c r="H251" s="160" t="s">
        <v>191</v>
      </c>
      <c r="I251" s="161" t="s">
        <v>36</v>
      </c>
      <c r="J251" s="173"/>
      <c r="K251" s="163" t="s">
        <v>1206</v>
      </c>
      <c r="L251" s="164"/>
      <c r="M251" s="164"/>
      <c r="N251" s="164"/>
      <c r="O251" s="164"/>
      <c r="P251" s="164"/>
      <c r="Q251" s="164"/>
      <c r="R251" s="164"/>
      <c r="S251" s="164"/>
      <c r="T251" s="164"/>
      <c r="U251" s="164"/>
      <c r="V251" s="164"/>
      <c r="W251" s="164"/>
      <c r="X251" s="164"/>
      <c r="Y251" s="164"/>
      <c r="Z251" s="164"/>
      <c r="AA251" s="164"/>
    </row>
    <row r="252">
      <c r="A252" s="159" t="s">
        <v>319</v>
      </c>
      <c r="B252" s="159" t="s">
        <v>1435</v>
      </c>
      <c r="C252" s="159" t="s">
        <v>1221</v>
      </c>
      <c r="D252" s="159" t="s">
        <v>1222</v>
      </c>
      <c r="E252" s="159" t="s">
        <v>1223</v>
      </c>
      <c r="F252" s="159" t="s">
        <v>1224</v>
      </c>
      <c r="G252" s="159" t="s">
        <v>1307</v>
      </c>
      <c r="H252" s="160" t="s">
        <v>191</v>
      </c>
      <c r="I252" s="161" t="s">
        <v>36</v>
      </c>
      <c r="J252" s="173"/>
      <c r="K252" s="163" t="s">
        <v>36</v>
      </c>
      <c r="L252" s="164"/>
      <c r="M252" s="164"/>
      <c r="N252" s="164"/>
      <c r="O252" s="164"/>
      <c r="P252" s="164"/>
      <c r="Q252" s="164"/>
      <c r="R252" s="164"/>
      <c r="S252" s="164"/>
      <c r="T252" s="164"/>
      <c r="U252" s="164"/>
      <c r="V252" s="164"/>
      <c r="W252" s="164"/>
      <c r="X252" s="164"/>
      <c r="Y252" s="164"/>
      <c r="Z252" s="164"/>
      <c r="AA252" s="164"/>
    </row>
    <row r="253">
      <c r="A253" s="159" t="s">
        <v>319</v>
      </c>
      <c r="B253" s="159" t="s">
        <v>1436</v>
      </c>
      <c r="C253" s="159" t="s">
        <v>1228</v>
      </c>
      <c r="D253" s="159" t="s">
        <v>1229</v>
      </c>
      <c r="E253" s="159" t="s">
        <v>1230</v>
      </c>
      <c r="F253" s="159" t="s">
        <v>1309</v>
      </c>
      <c r="G253" s="159" t="s">
        <v>1310</v>
      </c>
      <c r="H253" s="160" t="s">
        <v>191</v>
      </c>
      <c r="I253" s="161" t="s">
        <v>36</v>
      </c>
      <c r="J253" s="175" t="s">
        <v>1370</v>
      </c>
      <c r="K253" s="163" t="s">
        <v>1206</v>
      </c>
      <c r="L253" s="164"/>
      <c r="M253" s="164"/>
      <c r="N253" s="164"/>
      <c r="O253" s="164"/>
      <c r="P253" s="164"/>
      <c r="Q253" s="164"/>
      <c r="R253" s="164"/>
      <c r="S253" s="164"/>
      <c r="T253" s="164"/>
      <c r="U253" s="164"/>
      <c r="V253" s="164"/>
      <c r="W253" s="164"/>
      <c r="X253" s="164"/>
      <c r="Y253" s="164"/>
      <c r="Z253" s="164"/>
      <c r="AA253" s="164"/>
    </row>
    <row r="254">
      <c r="I254" s="179"/>
    </row>
    <row r="255">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row>
    <row r="256">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row>
    <row r="257">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row>
    <row r="258">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row>
    <row r="259">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row>
    <row r="260">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row>
    <row r="26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row>
    <row r="262">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row>
    <row r="263">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row>
    <row r="264">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row>
    <row r="265">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row>
    <row r="266">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row>
    <row r="267">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row>
    <row r="268">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row>
    <row r="269">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row>
    <row r="270">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row>
    <row r="27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row>
    <row r="272">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row>
    <row r="273">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row>
    <row r="274">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row>
    <row r="275">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row>
    <row r="276">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row>
    <row r="277">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row>
    <row r="278">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row>
    <row r="279">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row>
    <row r="280">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row>
    <row r="28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row>
    <row r="282">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row>
    <row r="283">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row>
    <row r="284">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row>
    <row r="285">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row>
    <row r="286">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row>
    <row r="287">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row>
    <row r="288">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row>
    <row r="289">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row>
    <row r="290">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row>
    <row r="29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row>
    <row r="292">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row>
    <row r="293">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row>
    <row r="294">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row>
    <row r="295">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row>
    <row r="296">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row>
    <row r="297">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row>
    <row r="298">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row>
    <row r="299">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row>
    <row r="300">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row>
    <row r="30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row>
    <row r="302">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row>
    <row r="303">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row>
    <row r="304">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row>
    <row r="305">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row>
    <row r="306">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row>
    <row r="307">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row>
    <row r="308">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row>
    <row r="309">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row>
    <row r="310">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row>
    <row r="31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row>
    <row r="312">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row>
    <row r="313">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row>
    <row r="314">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row>
    <row r="315">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row>
    <row r="316">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row>
    <row r="317">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row>
    <row r="318">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row>
    <row r="319">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row>
    <row r="320">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row>
    <row r="32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row>
    <row r="322">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row>
    <row r="323">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row>
    <row r="324">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row>
    <row r="32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row>
    <row r="326">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row>
    <row r="327">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row>
    <row r="328">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row>
    <row r="329">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row>
    <row r="330">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row>
    <row r="33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row>
    <row r="332">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row>
    <row r="333">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row>
    <row r="334">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row>
    <row r="3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row>
    <row r="336">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row>
    <row r="337">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row>
    <row r="338">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row>
    <row r="339">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row>
    <row r="340">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row>
    <row r="34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row>
    <row r="342">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row>
    <row r="343">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row>
    <row r="344">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row>
    <row r="34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row>
    <row r="346">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row>
    <row r="347">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row>
    <row r="348">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row>
    <row r="349">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row>
    <row r="350">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row>
    <row r="35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row>
    <row r="352">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row>
    <row r="353">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row>
    <row r="354">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row>
    <row r="35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row>
    <row r="356">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row>
    <row r="357">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row>
    <row r="358">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row>
    <row r="359">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row>
    <row r="360">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row>
    <row r="36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row>
    <row r="362">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row>
    <row r="363">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row>
    <row r="364">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row>
    <row r="36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row>
    <row r="366">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row>
    <row r="367">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row>
    <row r="368">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row>
    <row r="369">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row>
    <row r="370">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row>
    <row r="37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row>
    <row r="372">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row>
    <row r="373">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row>
    <row r="374">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row>
    <row r="37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row>
    <row r="376">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row>
    <row r="377">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row>
    <row r="378">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row>
    <row r="379">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row>
    <row r="380">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row>
    <row r="38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row>
    <row r="382">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row>
    <row r="383">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row>
    <row r="384">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row>
    <row r="385">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row>
    <row r="386">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row>
    <row r="387">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row>
    <row r="388">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row>
    <row r="389">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row>
    <row r="390">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row>
    <row r="39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row>
    <row r="392">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row>
    <row r="393">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row>
    <row r="394">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row>
    <row r="395">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row>
    <row r="396">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row>
    <row r="397">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row>
    <row r="398">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row>
    <row r="399">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row>
    <row r="400">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row>
    <row r="40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row>
    <row r="402">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row>
    <row r="403">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row>
    <row r="404">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row>
    <row r="405">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row>
    <row r="406">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row>
    <row r="407">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row>
    <row r="408">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row>
    <row r="409">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row>
    <row r="410">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row>
    <row r="41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row>
    <row r="412">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row>
    <row r="413">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row>
    <row r="414">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row>
    <row r="415">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row>
    <row r="416">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row>
    <row r="417">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row>
    <row r="418">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row>
    <row r="419">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row>
    <row r="420">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row>
    <row r="42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row>
    <row r="422">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row>
    <row r="423">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row>
    <row r="424">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row>
    <row r="425">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row>
    <row r="426">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row>
    <row r="427">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row>
    <row r="428">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row>
    <row r="429">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row>
    <row r="430">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row>
    <row r="43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row>
    <row r="432">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row>
    <row r="433">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row>
    <row r="434">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row>
    <row r="435">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row>
    <row r="436">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row>
    <row r="437">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row>
    <row r="438">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row>
    <row r="439">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row>
    <row r="440">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row>
    <row r="44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row>
    <row r="442">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row>
    <row r="443">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row>
    <row r="444">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row>
    <row r="445">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row>
    <row r="446">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row>
    <row r="447">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row>
    <row r="448">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row>
    <row r="449">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row>
    <row r="450">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row>
    <row r="45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row>
    <row r="452">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row>
    <row r="453">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row>
    <row r="454">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row>
    <row r="455">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row>
    <row r="456">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row>
    <row r="457">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row>
    <row r="458">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row>
    <row r="459">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row>
    <row r="460">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row>
    <row r="46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row>
    <row r="462">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row>
    <row r="463">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row>
    <row r="464">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row>
    <row r="465">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row>
    <row r="466">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row>
    <row r="467">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row>
    <row r="468">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row>
    <row r="469">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row>
    <row r="470">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row>
    <row r="47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row>
    <row r="472">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row>
    <row r="473">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row>
    <row r="474">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row>
    <row r="475">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row>
    <row r="476">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row>
    <row r="477">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row>
    <row r="478">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row>
    <row r="479">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row>
    <row r="480">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row>
    <row r="48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row>
    <row r="482">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row>
    <row r="483">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row>
    <row r="484">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row>
    <row r="485">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row>
    <row r="486">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row>
    <row r="487">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row>
    <row r="488">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row>
    <row r="489">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row>
    <row r="490">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row>
    <row r="49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row>
    <row r="492">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row>
    <row r="493">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row>
    <row r="494">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row>
    <row r="495">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row>
    <row r="496">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row>
    <row r="497">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row>
    <row r="498">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row>
    <row r="499">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row>
    <row r="500">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row>
    <row r="50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row>
    <row r="502">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row>
    <row r="503">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row>
    <row r="504">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row>
    <row r="505">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row>
    <row r="506">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row>
    <row r="507">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row>
    <row r="508">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row>
    <row r="509">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row>
    <row r="510">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row>
    <row r="51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row>
    <row r="512">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row>
    <row r="513">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row>
    <row r="514">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row>
    <row r="515">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row>
    <row r="516">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row>
    <row r="517">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row>
    <row r="518">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row>
    <row r="519">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row>
    <row r="520">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row>
    <row r="52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row>
    <row r="522">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row>
    <row r="523">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row>
    <row r="524">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row>
    <row r="525">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row>
    <row r="526">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row>
    <row r="527">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row>
    <row r="528">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row>
    <row r="529">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row>
    <row r="530">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row>
    <row r="53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row>
    <row r="532">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row>
    <row r="533">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row>
    <row r="534">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row>
    <row r="535">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row>
    <row r="536">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row>
    <row r="537">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row>
    <row r="538">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row>
    <row r="539">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row>
    <row r="540">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row>
    <row r="54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row>
    <row r="542">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row>
    <row r="543">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row>
    <row r="544">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row>
    <row r="545">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row>
    <row r="546">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row>
    <row r="547">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row>
    <row r="548">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row>
    <row r="549">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row>
    <row r="550">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row>
    <row r="55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row>
    <row r="552">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row>
    <row r="553">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row>
    <row r="554">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row>
    <row r="555">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row>
    <row r="556">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row>
    <row r="557">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row>
    <row r="558">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row>
    <row r="559">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row>
    <row r="560">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row>
    <row r="56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row>
    <row r="562">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row>
    <row r="563">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row>
    <row r="564">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row>
    <row r="565">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row>
    <row r="566">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row>
    <row r="567">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row>
    <row r="568">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row>
    <row r="569">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row>
    <row r="570">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row>
    <row r="57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row>
    <row r="572">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row>
    <row r="573">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row>
    <row r="574">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row>
    <row r="575">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row>
    <row r="576">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row>
    <row r="577">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row>
    <row r="578">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row>
    <row r="579">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row>
    <row r="580">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row>
    <row r="58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row>
    <row r="582">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row>
    <row r="583">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row>
    <row r="584">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row>
    <row r="585">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row>
    <row r="586">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row>
    <row r="587">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row>
    <row r="588">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row>
    <row r="589">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row>
    <row r="590">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row>
    <row r="59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row>
    <row r="592">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row>
    <row r="593">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row>
    <row r="594">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row>
    <row r="595">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row>
    <row r="596">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row>
    <row r="597">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row>
    <row r="598">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row>
    <row r="599">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row>
    <row r="600">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row>
    <row r="60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row>
    <row r="602">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row>
    <row r="603">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row>
    <row r="604">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row>
    <row r="605">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row>
    <row r="606">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row>
    <row r="607">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row>
    <row r="608">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row>
    <row r="609">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row>
    <row r="610">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row>
    <row r="61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row>
    <row r="612">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row>
    <row r="613">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row>
    <row r="614">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row>
    <row r="615">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row>
    <row r="616">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row>
    <row r="617">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row>
    <row r="618">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row>
    <row r="619">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row>
    <row r="620">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row>
    <row r="62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row>
    <row r="622">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row>
    <row r="623">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row>
    <row r="624">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row>
    <row r="625">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row>
    <row r="626">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row>
    <row r="627">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row>
    <row r="628">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row>
    <row r="629">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row>
    <row r="630">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row>
    <row r="63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row>
    <row r="632">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row>
    <row r="633">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row>
    <row r="634">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row>
    <row r="635">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row>
    <row r="636">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row>
    <row r="637">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row>
    <row r="638">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row>
    <row r="639">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row>
    <row r="640">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row>
    <row r="64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row>
    <row r="642">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row>
    <row r="643">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row>
    <row r="644">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row>
    <row r="645">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row>
    <row r="646">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row>
    <row r="647">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row>
    <row r="648">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row>
    <row r="649">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row>
    <row r="650">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row>
    <row r="65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row>
    <row r="652">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row>
    <row r="653">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row>
    <row r="654">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row>
    <row r="655">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row>
    <row r="656">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row>
    <row r="657">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row>
    <row r="658">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row>
    <row r="659">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row>
    <row r="660">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row>
    <row r="66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row>
    <row r="662">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row>
    <row r="663">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row>
    <row r="664">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row>
    <row r="665">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row>
    <row r="666">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row>
    <row r="667">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row>
    <row r="668">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row>
    <row r="669">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row>
    <row r="670">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row>
    <row r="67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row>
    <row r="672">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row>
    <row r="673">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row>
    <row r="674">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row>
    <row r="675">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row>
    <row r="676">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row>
    <row r="677">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row>
    <row r="678">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row>
    <row r="679">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row>
    <row r="680">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row>
    <row r="68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row>
    <row r="682">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row>
    <row r="683">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row>
    <row r="684">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row>
    <row r="685">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row>
    <row r="686">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row>
    <row r="687">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row>
    <row r="688">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row>
    <row r="689">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row>
    <row r="690">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row>
    <row r="69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row>
    <row r="692">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row>
    <row r="693">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row>
    <row r="694">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row>
    <row r="695">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row>
    <row r="696">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row>
    <row r="697">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row>
    <row r="698">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row>
    <row r="699">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row>
    <row r="700">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row>
    <row r="70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row>
    <row r="702">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row>
    <row r="703">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row>
    <row r="704">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row>
    <row r="705">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row>
    <row r="706">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row>
    <row r="707">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row>
    <row r="708">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row>
    <row r="709">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row>
    <row r="710">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row>
    <row r="71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row>
    <row r="712">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row>
    <row r="713">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row>
    <row r="714">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row>
    <row r="715">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row>
    <row r="716">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row>
    <row r="717">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row>
    <row r="718">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row>
    <row r="719">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row>
    <row r="720">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row>
    <row r="72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row>
    <row r="722">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row>
    <row r="723">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row>
    <row r="724">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row>
    <row r="725">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row>
    <row r="726">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row>
    <row r="727">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row>
    <row r="728">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row>
    <row r="729">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row>
    <row r="730">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row>
    <row r="73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row>
    <row r="732">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row>
    <row r="733">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row>
    <row r="734">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row>
    <row r="735">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row>
    <row r="736">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row>
    <row r="737">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row>
    <row r="738">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row>
    <row r="739">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row>
    <row r="740">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row>
    <row r="74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row>
    <row r="742">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row>
    <row r="743">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row>
    <row r="744">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row>
    <row r="745">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row>
    <row r="746">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row>
    <row r="747">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row>
    <row r="748">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row>
    <row r="749">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row>
    <row r="750">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row>
    <row r="75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row>
    <row r="752">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row>
    <row r="753">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row>
    <row r="754">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row>
    <row r="755">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row>
    <row r="756">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row>
    <row r="757">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row>
    <row r="758">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row>
    <row r="759">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row>
    <row r="760">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row>
    <row r="76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row>
    <row r="762">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row>
    <row r="763">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row>
    <row r="764">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row>
    <row r="765">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row>
    <row r="766">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row>
    <row r="767">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row>
    <row r="768">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row>
    <row r="769">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row>
    <row r="770">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row>
    <row r="77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row>
    <row r="772">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row>
    <row r="773">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row>
    <row r="774">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row>
    <row r="775">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row>
    <row r="776">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row>
    <row r="777">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row>
    <row r="778">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row>
    <row r="779">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row>
    <row r="780">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row>
    <row r="78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row>
    <row r="782">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row>
    <row r="783">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row>
    <row r="784">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row>
    <row r="785">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row>
    <row r="786">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row>
    <row r="787">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row>
    <row r="788">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row>
    <row r="789">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row>
    <row r="790">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row>
    <row r="79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row>
    <row r="792">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row>
    <row r="793">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row>
    <row r="794">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row>
    <row r="795">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row>
    <row r="796">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row>
    <row r="797">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row>
    <row r="798">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row>
    <row r="799">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row>
    <row r="800">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row>
    <row r="80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row>
    <row r="802">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row>
    <row r="803">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row>
    <row r="804">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row>
    <row r="805">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row>
    <row r="806">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row>
    <row r="807">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row>
    <row r="808">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row>
    <row r="809">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row>
    <row r="810">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row>
    <row r="81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row>
    <row r="812">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row>
    <row r="813">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row>
    <row r="814">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row>
    <row r="815">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row>
    <row r="816">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c r="AA816" s="164"/>
    </row>
    <row r="817">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c r="AA817" s="164"/>
    </row>
    <row r="818">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c r="AA818" s="164"/>
    </row>
    <row r="819">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c r="AA819" s="164"/>
    </row>
    <row r="820">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c r="AA820" s="164"/>
    </row>
    <row r="821">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c r="AA821" s="164"/>
    </row>
    <row r="822">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c r="AA822" s="164"/>
    </row>
    <row r="823">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c r="AA823" s="164"/>
    </row>
    <row r="824">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c r="AA824" s="164"/>
    </row>
    <row r="825">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c r="AA825" s="164"/>
    </row>
    <row r="826">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c r="AA826" s="164"/>
    </row>
    <row r="827">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c r="AA827" s="164"/>
    </row>
    <row r="828">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c r="AA828" s="164"/>
    </row>
    <row r="829">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c r="AA829" s="164"/>
    </row>
    <row r="830">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c r="AA830" s="164"/>
    </row>
    <row r="831">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c r="AA831" s="164"/>
    </row>
    <row r="832">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c r="AA832" s="164"/>
    </row>
    <row r="833">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c r="AA833" s="164"/>
    </row>
    <row r="834">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c r="AA834" s="164"/>
    </row>
    <row r="835">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c r="AA835" s="164"/>
    </row>
    <row r="836">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c r="AA836" s="164"/>
    </row>
    <row r="837">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c r="AA837" s="164"/>
    </row>
    <row r="838">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c r="AA838" s="164"/>
    </row>
    <row r="839">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c r="AA839" s="164"/>
    </row>
    <row r="840">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c r="AA840" s="164"/>
    </row>
    <row r="841">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c r="AA841" s="164"/>
    </row>
    <row r="842">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c r="AA842" s="164"/>
    </row>
    <row r="843">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c r="AA843" s="164"/>
    </row>
    <row r="844">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c r="AA844" s="164"/>
    </row>
    <row r="845">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c r="AA845" s="164"/>
    </row>
    <row r="846">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c r="AA846" s="164"/>
    </row>
    <row r="847">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c r="AA847" s="164"/>
    </row>
    <row r="848">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c r="AA848" s="164"/>
    </row>
    <row r="849">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c r="AA849" s="164"/>
    </row>
    <row r="850">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c r="AA850" s="164"/>
    </row>
    <row r="851">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c r="AA851" s="164"/>
    </row>
    <row r="852">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c r="AA852" s="164"/>
    </row>
    <row r="853">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c r="AA853" s="164"/>
    </row>
    <row r="854">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c r="AA854" s="164"/>
    </row>
    <row r="855">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c r="AA855" s="164"/>
    </row>
    <row r="856">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c r="AA856" s="164"/>
    </row>
    <row r="857">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c r="AA857" s="164"/>
    </row>
    <row r="858">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c r="AA858" s="164"/>
    </row>
    <row r="859">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c r="AA859" s="164"/>
    </row>
    <row r="860">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c r="AA860" s="164"/>
    </row>
    <row r="861">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c r="AA861" s="164"/>
    </row>
    <row r="862">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c r="AA862" s="164"/>
    </row>
    <row r="863">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c r="AA863" s="164"/>
    </row>
    <row r="864">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c r="AA864" s="164"/>
    </row>
    <row r="865">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c r="AA865" s="164"/>
    </row>
    <row r="866">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c r="AA866" s="164"/>
    </row>
    <row r="867">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c r="AA867" s="164"/>
    </row>
    <row r="868">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c r="AA868" s="164"/>
    </row>
    <row r="869">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c r="AA869" s="164"/>
    </row>
    <row r="870">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c r="AA870" s="164"/>
    </row>
    <row r="871">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c r="AA871" s="164"/>
    </row>
    <row r="872">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c r="AA872" s="164"/>
    </row>
    <row r="873">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c r="AA873" s="164"/>
    </row>
    <row r="874">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c r="AA874" s="164"/>
    </row>
    <row r="875">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c r="AA875" s="164"/>
    </row>
    <row r="876">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c r="AA876" s="164"/>
    </row>
    <row r="877">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c r="AA877" s="164"/>
    </row>
    <row r="878">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c r="AA878" s="164"/>
    </row>
    <row r="879">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c r="AA879" s="164"/>
    </row>
    <row r="880">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c r="AA880" s="164"/>
    </row>
    <row r="881">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c r="AA881" s="164"/>
    </row>
    <row r="882">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c r="AA882" s="164"/>
    </row>
    <row r="883">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c r="AA883" s="164"/>
    </row>
    <row r="884">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c r="AA884" s="164"/>
    </row>
    <row r="885">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c r="AA885" s="164"/>
    </row>
    <row r="886">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c r="AA886" s="164"/>
    </row>
    <row r="887">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c r="AA887" s="164"/>
    </row>
    <row r="888">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c r="AA888" s="164"/>
    </row>
    <row r="889">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c r="AA889" s="164"/>
    </row>
    <row r="890">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c r="AA890" s="164"/>
    </row>
    <row r="891">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c r="AA891" s="164"/>
    </row>
    <row r="892">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c r="AA892" s="164"/>
    </row>
    <row r="893">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c r="AA893" s="164"/>
    </row>
    <row r="894">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c r="AA894" s="164"/>
    </row>
    <row r="895">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c r="AA895" s="164"/>
    </row>
    <row r="896">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c r="AA896" s="164"/>
    </row>
    <row r="897">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c r="AA897" s="164"/>
    </row>
    <row r="898">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c r="AA898" s="164"/>
    </row>
    <row r="899">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c r="AA899" s="164"/>
    </row>
    <row r="900">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c r="AA900" s="164"/>
    </row>
    <row r="901">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c r="AA901" s="164"/>
    </row>
    <row r="902">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c r="AA902" s="164"/>
    </row>
    <row r="903">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c r="AA903" s="164"/>
    </row>
    <row r="904">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c r="AA904" s="164"/>
    </row>
    <row r="905">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c r="AA905" s="164"/>
    </row>
    <row r="906">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c r="AA906" s="164"/>
    </row>
    <row r="907">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c r="AA907" s="164"/>
    </row>
    <row r="908">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c r="AA908" s="164"/>
    </row>
    <row r="909">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c r="AA909" s="164"/>
    </row>
    <row r="910">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c r="AA910" s="164"/>
    </row>
    <row r="911">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c r="AA911" s="164"/>
    </row>
    <row r="912">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c r="AA912" s="164"/>
    </row>
    <row r="913">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c r="AA913" s="164"/>
    </row>
    <row r="914">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c r="AA914" s="164"/>
    </row>
    <row r="915">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c r="AA915" s="164"/>
    </row>
    <row r="916">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c r="AA916" s="164"/>
    </row>
    <row r="917">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c r="AA917" s="164"/>
    </row>
    <row r="918">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c r="AA918" s="164"/>
    </row>
    <row r="919">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c r="AA919" s="164"/>
    </row>
    <row r="920">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c r="AA920" s="164"/>
    </row>
    <row r="921">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c r="AA921" s="164"/>
    </row>
    <row r="922">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c r="AA922" s="164"/>
    </row>
    <row r="923">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c r="AA923" s="164"/>
    </row>
    <row r="924">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c r="AA924" s="164"/>
    </row>
    <row r="925">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c r="AA925" s="164"/>
    </row>
    <row r="926">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c r="AA926" s="164"/>
    </row>
    <row r="927">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c r="AA927" s="164"/>
    </row>
    <row r="928">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c r="AA928" s="164"/>
    </row>
    <row r="929">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c r="AA929" s="164"/>
    </row>
    <row r="930">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c r="AA930" s="164"/>
    </row>
    <row r="931">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c r="AA931" s="164"/>
    </row>
    <row r="932">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c r="AA932" s="164"/>
    </row>
    <row r="933">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c r="AA933" s="164"/>
    </row>
    <row r="934">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c r="AA934" s="164"/>
    </row>
    <row r="935">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c r="AA935" s="164"/>
    </row>
    <row r="936">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c r="AA936" s="164"/>
    </row>
    <row r="937">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c r="AA937" s="164"/>
    </row>
    <row r="938">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c r="AA938" s="164"/>
    </row>
    <row r="939">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c r="AA939" s="164"/>
    </row>
    <row r="940">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c r="AA940" s="164"/>
    </row>
    <row r="941">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c r="AA941" s="164"/>
    </row>
    <row r="942">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c r="AA942" s="164"/>
    </row>
    <row r="943">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c r="AA943" s="164"/>
    </row>
    <row r="944">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c r="AA944" s="164"/>
    </row>
    <row r="945">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c r="AA945" s="164"/>
    </row>
    <row r="946">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c r="AA946" s="164"/>
    </row>
    <row r="947">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c r="AA947" s="164"/>
    </row>
    <row r="948">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c r="AA948" s="164"/>
    </row>
    <row r="949">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c r="AA949" s="164"/>
    </row>
    <row r="950">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c r="AA950" s="164"/>
    </row>
    <row r="951">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c r="AA951" s="164"/>
    </row>
    <row r="952">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c r="AA952" s="164"/>
    </row>
    <row r="953">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c r="AA953" s="164"/>
    </row>
    <row r="954">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c r="AA954" s="164"/>
    </row>
    <row r="955">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c r="AA955" s="164"/>
    </row>
    <row r="956">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c r="AA956" s="164"/>
    </row>
    <row r="957">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c r="AA957" s="164"/>
    </row>
    <row r="958">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c r="AA958" s="164"/>
    </row>
    <row r="959">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c r="AA959" s="164"/>
    </row>
    <row r="960">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c r="AA960" s="164"/>
    </row>
    <row r="961">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c r="AA961" s="164"/>
    </row>
    <row r="962">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c r="AA962" s="164"/>
    </row>
    <row r="963">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c r="AA963" s="164"/>
    </row>
    <row r="964">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c r="AA964" s="164"/>
    </row>
    <row r="965">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c r="AA965" s="164"/>
    </row>
    <row r="966">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c r="AA966" s="164"/>
    </row>
    <row r="967">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c r="AA967" s="164"/>
    </row>
    <row r="968">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c r="AA968" s="164"/>
    </row>
    <row r="969">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c r="AA969" s="164"/>
    </row>
    <row r="970">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c r="AA970" s="164"/>
    </row>
    <row r="971">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c r="AA971" s="164"/>
    </row>
    <row r="972">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c r="AA972" s="164"/>
    </row>
    <row r="973">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c r="AA973" s="164"/>
    </row>
    <row r="974">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c r="AA974" s="164"/>
    </row>
    <row r="975">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c r="AA975" s="164"/>
    </row>
    <row r="976">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c r="AA976" s="164"/>
    </row>
    <row r="977">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c r="AA977" s="164"/>
    </row>
    <row r="978">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c r="AA978" s="164"/>
    </row>
    <row r="979">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c r="AA979" s="164"/>
    </row>
    <row r="980">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c r="AA980" s="164"/>
    </row>
    <row r="981">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c r="AA981" s="164"/>
    </row>
    <row r="982">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c r="AA982" s="164"/>
    </row>
    <row r="983">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c r="AA983" s="164"/>
    </row>
    <row r="984">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c r="AA984" s="164"/>
    </row>
    <row r="985">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c r="AA985" s="164"/>
    </row>
    <row r="986">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c r="AA986" s="164"/>
    </row>
    <row r="987">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c r="AA987" s="164"/>
    </row>
    <row r="988">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c r="AA988" s="164"/>
    </row>
    <row r="989">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c r="AA989" s="164"/>
    </row>
    <row r="990">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c r="AA990" s="164"/>
    </row>
    <row r="991">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c r="Y991" s="164"/>
      <c r="Z991" s="164"/>
      <c r="AA991" s="164"/>
    </row>
    <row r="992">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c r="Y992" s="164"/>
      <c r="Z992" s="164"/>
      <c r="AA992" s="164"/>
    </row>
  </sheetData>
  <conditionalFormatting sqref="I3:I64 I66:I127 I129:I190 I192:I254">
    <cfRule type="containsText" dxfId="0" priority="1" operator="containsText" text="Passed">
      <formula>NOT(ISERROR(SEARCH(("Passed"),(I3))))</formula>
    </cfRule>
  </conditionalFormatting>
  <conditionalFormatting sqref="I3:I64 I66:I127 I129:I190 I192:I254">
    <cfRule type="containsText" dxfId="1" priority="2" operator="containsText" text="Failed">
      <formula>NOT(ISERROR(SEARCH(("Failed"),(I3))))</formula>
    </cfRule>
  </conditionalFormatting>
  <conditionalFormatting sqref="I3:I64 I66:I127 I129:I190 I192:I254">
    <cfRule type="containsText" dxfId="2" priority="3" operator="containsText" text="Blocked">
      <formula>NOT(ISERROR(SEARCH(("Blocked"),(I3))))</formula>
    </cfRule>
  </conditionalFormatting>
  <conditionalFormatting sqref="I3:I64 I66:I127 I129:I190 I192:I254">
    <cfRule type="containsText" dxfId="3" priority="4" operator="containsText" text="Not Started">
      <formula>NOT(ISERROR(SEARCH(("Not Started"),(I3))))</formula>
    </cfRule>
  </conditionalFormatting>
  <conditionalFormatting sqref="I3:I64 I66:I127 I129:I190 I192:I254">
    <cfRule type="containsText" dxfId="4" priority="5" operator="containsText" text="Out of Scope">
      <formula>NOT(ISERROR(SEARCH(("Out of Scope"),(I3))))</formula>
    </cfRule>
  </conditionalFormatting>
  <conditionalFormatting sqref="I3:I64 I66:I127 I129:I190 I192:I254">
    <cfRule type="containsBlanks" dxfId="5" priority="6">
      <formula>LEN(TRIM(I3))=0</formula>
    </cfRule>
  </conditionalFormatting>
  <dataValidations>
    <dataValidation type="list" allowBlank="1" sqref="I3:I64 I66:I127 I129:I190 I192:I253">
      <formula1>"Passed,Failed,Not Started,Blocked,Out of Scope"</formula1>
    </dataValidation>
    <dataValidation type="list" allowBlank="1" sqref="H3:H64 H66:H127 H129:H190 H192:H253">
      <formula1>"Chrome,Opera,Firefox,Edge,N/A"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13.63"/>
    <col customWidth="1" min="3" max="4" width="26.38"/>
    <col customWidth="1" min="5" max="5" width="21.88"/>
    <col customWidth="1" min="6" max="7" width="26.38"/>
    <col customWidth="1" min="8" max="8" width="12.13"/>
    <col customWidth="1" min="9" max="9" width="11.75"/>
    <col customWidth="1" min="10" max="11" width="26.38"/>
  </cols>
  <sheetData>
    <row r="1">
      <c r="A1" s="154" t="s">
        <v>194</v>
      </c>
      <c r="B1" s="31" t="s">
        <v>18</v>
      </c>
      <c r="C1" s="31" t="s">
        <v>19</v>
      </c>
      <c r="D1" s="31" t="s">
        <v>20</v>
      </c>
      <c r="E1" s="31" t="s">
        <v>21</v>
      </c>
      <c r="F1" s="31" t="s">
        <v>22</v>
      </c>
      <c r="G1" s="31" t="s">
        <v>23</v>
      </c>
      <c r="H1" s="31" t="s">
        <v>24</v>
      </c>
      <c r="I1" s="31" t="s">
        <v>25</v>
      </c>
      <c r="J1" s="31" t="s">
        <v>26</v>
      </c>
      <c r="K1" s="31" t="s">
        <v>27</v>
      </c>
    </row>
    <row r="2" ht="34.5" customHeight="1">
      <c r="A2" s="180" t="s">
        <v>190</v>
      </c>
      <c r="B2" s="181"/>
      <c r="C2" s="181"/>
      <c r="D2" s="181"/>
      <c r="E2" s="181"/>
      <c r="F2" s="181"/>
      <c r="G2" s="181"/>
      <c r="H2" s="181"/>
      <c r="I2" s="181"/>
      <c r="J2" s="181"/>
      <c r="K2" s="182"/>
    </row>
    <row r="3">
      <c r="A3" s="183" t="s">
        <v>195</v>
      </c>
      <c r="B3" s="35" t="s">
        <v>1437</v>
      </c>
      <c r="C3" s="35" t="s">
        <v>1438</v>
      </c>
      <c r="D3" s="35" t="s">
        <v>1439</v>
      </c>
      <c r="E3" s="184" t="s">
        <v>1440</v>
      </c>
      <c r="F3" s="183" t="s">
        <v>1441</v>
      </c>
      <c r="G3" s="35" t="s">
        <v>1442</v>
      </c>
      <c r="H3" s="185" t="s">
        <v>1443</v>
      </c>
      <c r="I3" s="186" t="s">
        <v>36</v>
      </c>
      <c r="J3" s="35" t="s">
        <v>1444</v>
      </c>
      <c r="K3" s="35" t="s">
        <v>36</v>
      </c>
    </row>
    <row r="4">
      <c r="A4" s="183" t="s">
        <v>195</v>
      </c>
      <c r="B4" s="35" t="s">
        <v>1445</v>
      </c>
      <c r="C4" s="187" t="s">
        <v>1446</v>
      </c>
      <c r="D4" s="187" t="s">
        <v>1447</v>
      </c>
      <c r="E4" s="187" t="s">
        <v>1448</v>
      </c>
      <c r="F4" s="187" t="s">
        <v>1449</v>
      </c>
      <c r="G4" s="187" t="s">
        <v>1450</v>
      </c>
      <c r="H4" s="185" t="s">
        <v>1443</v>
      </c>
      <c r="I4" s="186" t="s">
        <v>36</v>
      </c>
      <c r="J4" s="35" t="s">
        <v>1451</v>
      </c>
      <c r="K4" s="35" t="s">
        <v>36</v>
      </c>
    </row>
    <row r="5">
      <c r="A5" s="183" t="s">
        <v>195</v>
      </c>
      <c r="B5" s="35" t="s">
        <v>1452</v>
      </c>
      <c r="C5" s="187" t="s">
        <v>1453</v>
      </c>
      <c r="D5" s="187" t="s">
        <v>1454</v>
      </c>
      <c r="E5" s="187" t="s">
        <v>1448</v>
      </c>
      <c r="F5" s="187" t="s">
        <v>1455</v>
      </c>
      <c r="G5" s="187" t="s">
        <v>1456</v>
      </c>
      <c r="H5" s="185" t="s">
        <v>1443</v>
      </c>
      <c r="I5" s="186" t="s">
        <v>36</v>
      </c>
      <c r="J5" s="35" t="s">
        <v>1457</v>
      </c>
      <c r="K5" s="35" t="s">
        <v>36</v>
      </c>
    </row>
    <row r="6">
      <c r="A6" s="183" t="s">
        <v>195</v>
      </c>
      <c r="B6" s="35" t="s">
        <v>1458</v>
      </c>
      <c r="C6" s="187" t="s">
        <v>1459</v>
      </c>
      <c r="D6" s="187" t="s">
        <v>1460</v>
      </c>
      <c r="E6" s="187" t="s">
        <v>1448</v>
      </c>
      <c r="F6" s="187" t="s">
        <v>1461</v>
      </c>
      <c r="G6" s="187" t="s">
        <v>1462</v>
      </c>
      <c r="H6" s="185" t="s">
        <v>1443</v>
      </c>
      <c r="I6" s="186" t="s">
        <v>36</v>
      </c>
      <c r="J6" s="35" t="s">
        <v>1463</v>
      </c>
      <c r="K6" s="35" t="s">
        <v>36</v>
      </c>
    </row>
    <row r="7">
      <c r="A7" s="183" t="s">
        <v>195</v>
      </c>
      <c r="B7" s="35" t="s">
        <v>1464</v>
      </c>
      <c r="C7" s="183" t="s">
        <v>1465</v>
      </c>
      <c r="D7" s="183" t="s">
        <v>1466</v>
      </c>
      <c r="E7" s="187" t="s">
        <v>1448</v>
      </c>
      <c r="F7" s="183" t="s">
        <v>1467</v>
      </c>
      <c r="G7" s="183" t="s">
        <v>1468</v>
      </c>
      <c r="H7" s="185" t="s">
        <v>1443</v>
      </c>
      <c r="I7" s="188" t="s">
        <v>111</v>
      </c>
      <c r="J7" s="35" t="s">
        <v>1469</v>
      </c>
      <c r="K7" s="35" t="s">
        <v>111</v>
      </c>
    </row>
    <row r="8">
      <c r="A8" s="183" t="s">
        <v>195</v>
      </c>
      <c r="B8" s="35" t="s">
        <v>1470</v>
      </c>
      <c r="C8" s="183" t="s">
        <v>1471</v>
      </c>
      <c r="D8" s="183" t="s">
        <v>1472</v>
      </c>
      <c r="E8" s="187" t="s">
        <v>1448</v>
      </c>
      <c r="F8" s="183" t="s">
        <v>1473</v>
      </c>
      <c r="G8" s="183" t="s">
        <v>1474</v>
      </c>
      <c r="H8" s="185" t="s">
        <v>1443</v>
      </c>
      <c r="I8" s="188" t="s">
        <v>111</v>
      </c>
      <c r="J8" s="35" t="s">
        <v>1475</v>
      </c>
      <c r="K8" s="35" t="s">
        <v>111</v>
      </c>
    </row>
    <row r="9">
      <c r="A9" s="183" t="s">
        <v>195</v>
      </c>
      <c r="B9" s="35" t="s">
        <v>1476</v>
      </c>
      <c r="C9" s="183" t="s">
        <v>1477</v>
      </c>
      <c r="D9" s="183" t="s">
        <v>1478</v>
      </c>
      <c r="E9" s="187" t="s">
        <v>1448</v>
      </c>
      <c r="F9" s="183" t="s">
        <v>1479</v>
      </c>
      <c r="G9" s="183" t="s">
        <v>1468</v>
      </c>
      <c r="H9" s="185" t="s">
        <v>1443</v>
      </c>
      <c r="I9" s="188" t="s">
        <v>111</v>
      </c>
      <c r="J9" s="35" t="s">
        <v>1469</v>
      </c>
      <c r="K9" s="35" t="s">
        <v>111</v>
      </c>
    </row>
    <row r="10">
      <c r="A10" s="183" t="s">
        <v>195</v>
      </c>
      <c r="B10" s="35" t="s">
        <v>1480</v>
      </c>
      <c r="C10" s="183" t="s">
        <v>1481</v>
      </c>
      <c r="D10" s="183" t="s">
        <v>1472</v>
      </c>
      <c r="E10" s="187" t="s">
        <v>1448</v>
      </c>
      <c r="F10" s="183" t="s">
        <v>1482</v>
      </c>
      <c r="G10" s="183" t="s">
        <v>1474</v>
      </c>
      <c r="H10" s="185" t="s">
        <v>1443</v>
      </c>
      <c r="I10" s="188" t="s">
        <v>111</v>
      </c>
      <c r="J10" s="183" t="s">
        <v>1475</v>
      </c>
      <c r="K10" s="35" t="s">
        <v>111</v>
      </c>
    </row>
    <row r="11">
      <c r="A11" s="183" t="s">
        <v>195</v>
      </c>
      <c r="B11" s="35" t="s">
        <v>1483</v>
      </c>
      <c r="C11" s="183" t="s">
        <v>1484</v>
      </c>
      <c r="D11" s="183" t="s">
        <v>1472</v>
      </c>
      <c r="E11" s="187" t="s">
        <v>1448</v>
      </c>
      <c r="F11" s="183" t="s">
        <v>1485</v>
      </c>
      <c r="G11" s="183" t="s">
        <v>1486</v>
      </c>
      <c r="H11" s="185" t="s">
        <v>1443</v>
      </c>
      <c r="I11" s="188" t="s">
        <v>111</v>
      </c>
      <c r="J11" s="183" t="s">
        <v>1475</v>
      </c>
      <c r="K11" s="35" t="s">
        <v>111</v>
      </c>
    </row>
    <row r="12">
      <c r="A12" s="183" t="s">
        <v>195</v>
      </c>
      <c r="B12" s="35" t="s">
        <v>1487</v>
      </c>
      <c r="C12" s="187" t="s">
        <v>1488</v>
      </c>
      <c r="D12" s="187" t="s">
        <v>1489</v>
      </c>
      <c r="E12" s="187" t="s">
        <v>1490</v>
      </c>
      <c r="F12" s="187" t="s">
        <v>1491</v>
      </c>
      <c r="G12" s="187" t="s">
        <v>1492</v>
      </c>
      <c r="H12" s="185" t="s">
        <v>1443</v>
      </c>
      <c r="I12" s="186" t="s">
        <v>36</v>
      </c>
      <c r="J12" s="56"/>
      <c r="K12" s="35" t="s">
        <v>36</v>
      </c>
    </row>
    <row r="13">
      <c r="A13" s="183" t="s">
        <v>195</v>
      </c>
      <c r="B13" s="35" t="s">
        <v>1493</v>
      </c>
      <c r="C13" s="187" t="s">
        <v>1494</v>
      </c>
      <c r="D13" s="183" t="s">
        <v>1495</v>
      </c>
      <c r="E13" s="187" t="s">
        <v>1496</v>
      </c>
      <c r="F13" s="187" t="s">
        <v>1497</v>
      </c>
      <c r="G13" s="187" t="s">
        <v>1498</v>
      </c>
      <c r="H13" s="185" t="s">
        <v>1443</v>
      </c>
      <c r="I13" s="186" t="s">
        <v>111</v>
      </c>
      <c r="J13" s="35" t="s">
        <v>1499</v>
      </c>
      <c r="K13" s="35" t="s">
        <v>111</v>
      </c>
    </row>
    <row r="14">
      <c r="A14" s="183" t="s">
        <v>195</v>
      </c>
      <c r="B14" s="35" t="s">
        <v>1500</v>
      </c>
      <c r="C14" s="187" t="s">
        <v>1501</v>
      </c>
      <c r="D14" s="187" t="s">
        <v>1502</v>
      </c>
      <c r="E14" s="187" t="s">
        <v>1503</v>
      </c>
      <c r="F14" s="187" t="s">
        <v>1491</v>
      </c>
      <c r="G14" s="187" t="s">
        <v>1504</v>
      </c>
      <c r="H14" s="185" t="s">
        <v>1443</v>
      </c>
      <c r="I14" s="186" t="s">
        <v>36</v>
      </c>
      <c r="J14" s="56"/>
      <c r="K14" s="35" t="s">
        <v>36</v>
      </c>
    </row>
    <row r="15">
      <c r="A15" s="183" t="s">
        <v>195</v>
      </c>
      <c r="B15" s="35" t="s">
        <v>1505</v>
      </c>
      <c r="C15" s="187" t="s">
        <v>1506</v>
      </c>
      <c r="D15" s="187" t="s">
        <v>1507</v>
      </c>
      <c r="E15" s="187" t="s">
        <v>1508</v>
      </c>
      <c r="F15" s="187" t="s">
        <v>1491</v>
      </c>
      <c r="G15" s="187" t="s">
        <v>1509</v>
      </c>
      <c r="H15" s="185" t="s">
        <v>1443</v>
      </c>
      <c r="I15" s="186" t="s">
        <v>36</v>
      </c>
      <c r="J15" s="56"/>
      <c r="K15" s="35" t="s">
        <v>36</v>
      </c>
    </row>
    <row r="16">
      <c r="A16" s="183" t="s">
        <v>195</v>
      </c>
      <c r="B16" s="35" t="s">
        <v>1510</v>
      </c>
      <c r="C16" s="187" t="s">
        <v>1511</v>
      </c>
      <c r="D16" s="187" t="s">
        <v>1512</v>
      </c>
      <c r="E16" s="187" t="s">
        <v>1513</v>
      </c>
      <c r="F16" s="187" t="s">
        <v>1491</v>
      </c>
      <c r="G16" s="187" t="s">
        <v>1514</v>
      </c>
      <c r="H16" s="185" t="s">
        <v>1443</v>
      </c>
      <c r="I16" s="186" t="s">
        <v>36</v>
      </c>
      <c r="J16" s="56"/>
      <c r="K16" s="35" t="s">
        <v>36</v>
      </c>
    </row>
    <row r="17">
      <c r="A17" s="183" t="s">
        <v>195</v>
      </c>
      <c r="B17" s="35" t="s">
        <v>1515</v>
      </c>
      <c r="C17" s="187" t="s">
        <v>1516</v>
      </c>
      <c r="D17" s="187" t="s">
        <v>1517</v>
      </c>
      <c r="E17" s="187" t="s">
        <v>1518</v>
      </c>
      <c r="F17" s="187" t="s">
        <v>1519</v>
      </c>
      <c r="G17" s="187" t="s">
        <v>1520</v>
      </c>
      <c r="H17" s="185" t="s">
        <v>1443</v>
      </c>
      <c r="I17" s="186" t="s">
        <v>111</v>
      </c>
      <c r="J17" s="35" t="s">
        <v>1521</v>
      </c>
      <c r="K17" s="35" t="s">
        <v>111</v>
      </c>
    </row>
    <row r="18">
      <c r="A18" s="183" t="s">
        <v>195</v>
      </c>
      <c r="B18" s="35" t="s">
        <v>1522</v>
      </c>
      <c r="C18" s="187" t="s">
        <v>1523</v>
      </c>
      <c r="D18" s="187" t="s">
        <v>1524</v>
      </c>
      <c r="E18" s="187" t="s">
        <v>1525</v>
      </c>
      <c r="F18" s="187" t="s">
        <v>1526</v>
      </c>
      <c r="G18" s="187" t="s">
        <v>1527</v>
      </c>
      <c r="H18" s="185" t="s">
        <v>1443</v>
      </c>
      <c r="I18" s="186" t="s">
        <v>111</v>
      </c>
      <c r="J18" s="35" t="s">
        <v>1521</v>
      </c>
      <c r="K18" s="35" t="s">
        <v>111</v>
      </c>
    </row>
    <row r="19">
      <c r="A19" s="183" t="s">
        <v>195</v>
      </c>
      <c r="B19" s="35" t="s">
        <v>1528</v>
      </c>
      <c r="C19" s="187" t="s">
        <v>1529</v>
      </c>
      <c r="D19" s="187" t="s">
        <v>1530</v>
      </c>
      <c r="E19" s="187" t="s">
        <v>1531</v>
      </c>
      <c r="F19" s="187" t="s">
        <v>1532</v>
      </c>
      <c r="G19" s="187" t="s">
        <v>1533</v>
      </c>
      <c r="H19" s="185" t="s">
        <v>1443</v>
      </c>
      <c r="I19" s="186" t="s">
        <v>111</v>
      </c>
      <c r="J19" s="35" t="s">
        <v>1521</v>
      </c>
      <c r="K19" s="35" t="s">
        <v>111</v>
      </c>
    </row>
    <row r="20">
      <c r="A20" s="183" t="s">
        <v>195</v>
      </c>
      <c r="B20" s="35" t="s">
        <v>1534</v>
      </c>
      <c r="C20" s="187" t="s">
        <v>1535</v>
      </c>
      <c r="D20" s="187" t="s">
        <v>1536</v>
      </c>
      <c r="E20" s="187" t="s">
        <v>1537</v>
      </c>
      <c r="F20" s="187" t="s">
        <v>1538</v>
      </c>
      <c r="G20" s="187" t="s">
        <v>1539</v>
      </c>
      <c r="H20" s="185" t="s">
        <v>1443</v>
      </c>
      <c r="I20" s="186" t="s">
        <v>111</v>
      </c>
      <c r="J20" s="35" t="s">
        <v>1521</v>
      </c>
      <c r="K20" s="35" t="s">
        <v>111</v>
      </c>
    </row>
    <row r="21">
      <c r="A21" s="183" t="s">
        <v>195</v>
      </c>
      <c r="B21" s="35" t="s">
        <v>1540</v>
      </c>
      <c r="C21" s="187" t="s">
        <v>1541</v>
      </c>
      <c r="D21" s="187" t="s">
        <v>1542</v>
      </c>
      <c r="E21" s="187" t="s">
        <v>1543</v>
      </c>
      <c r="F21" s="187" t="s">
        <v>1544</v>
      </c>
      <c r="G21" s="187" t="s">
        <v>1545</v>
      </c>
      <c r="H21" s="185" t="s">
        <v>1443</v>
      </c>
      <c r="I21" s="186" t="s">
        <v>36</v>
      </c>
      <c r="J21" s="56"/>
      <c r="K21" s="35" t="s">
        <v>36</v>
      </c>
    </row>
    <row r="22">
      <c r="A22" s="183" t="s">
        <v>195</v>
      </c>
      <c r="B22" s="35" t="s">
        <v>1546</v>
      </c>
      <c r="C22" s="187" t="s">
        <v>1547</v>
      </c>
      <c r="D22" s="187" t="s">
        <v>1548</v>
      </c>
      <c r="E22" s="187" t="s">
        <v>1448</v>
      </c>
      <c r="F22" s="187" t="s">
        <v>1549</v>
      </c>
      <c r="G22" s="187" t="s">
        <v>1550</v>
      </c>
      <c r="H22" s="185" t="s">
        <v>1443</v>
      </c>
      <c r="I22" s="186" t="s">
        <v>36</v>
      </c>
      <c r="J22" s="56"/>
      <c r="K22" s="35" t="s">
        <v>36</v>
      </c>
    </row>
    <row r="23">
      <c r="A23" s="183" t="s">
        <v>195</v>
      </c>
      <c r="B23" s="35" t="s">
        <v>1551</v>
      </c>
      <c r="C23" s="187" t="s">
        <v>1552</v>
      </c>
      <c r="D23" s="187" t="s">
        <v>1553</v>
      </c>
      <c r="E23" s="187" t="s">
        <v>1448</v>
      </c>
      <c r="F23" s="187" t="s">
        <v>1554</v>
      </c>
      <c r="G23" s="187" t="s">
        <v>1555</v>
      </c>
      <c r="H23" s="185" t="s">
        <v>1443</v>
      </c>
      <c r="I23" s="186" t="s">
        <v>111</v>
      </c>
      <c r="J23" s="35" t="s">
        <v>1556</v>
      </c>
      <c r="K23" s="35" t="s">
        <v>111</v>
      </c>
    </row>
    <row r="24">
      <c r="A24" s="183" t="s">
        <v>195</v>
      </c>
      <c r="B24" s="35" t="s">
        <v>1557</v>
      </c>
      <c r="C24" s="187" t="s">
        <v>1558</v>
      </c>
      <c r="D24" s="187" t="s">
        <v>1559</v>
      </c>
      <c r="E24" s="187" t="s">
        <v>1448</v>
      </c>
      <c r="F24" s="187" t="s">
        <v>1560</v>
      </c>
      <c r="G24" s="187" t="s">
        <v>1561</v>
      </c>
      <c r="H24" s="185" t="s">
        <v>1443</v>
      </c>
      <c r="I24" s="186" t="s">
        <v>36</v>
      </c>
      <c r="J24" s="35"/>
      <c r="K24" s="35" t="s">
        <v>36</v>
      </c>
    </row>
    <row r="25">
      <c r="A25" s="183" t="s">
        <v>195</v>
      </c>
      <c r="B25" s="35" t="s">
        <v>1562</v>
      </c>
      <c r="C25" s="187" t="s">
        <v>1563</v>
      </c>
      <c r="D25" s="187" t="s">
        <v>1564</v>
      </c>
      <c r="E25" s="187" t="s">
        <v>1448</v>
      </c>
      <c r="F25" s="187" t="s">
        <v>1565</v>
      </c>
      <c r="G25" s="187" t="s">
        <v>1566</v>
      </c>
      <c r="H25" s="185" t="s">
        <v>1443</v>
      </c>
      <c r="I25" s="186" t="s">
        <v>36</v>
      </c>
      <c r="J25" s="35"/>
      <c r="K25" s="35" t="s">
        <v>36</v>
      </c>
    </row>
    <row r="26">
      <c r="A26" s="183" t="s">
        <v>195</v>
      </c>
      <c r="B26" s="35" t="s">
        <v>1567</v>
      </c>
      <c r="C26" s="187" t="s">
        <v>1568</v>
      </c>
      <c r="D26" s="187" t="s">
        <v>1569</v>
      </c>
      <c r="E26" s="187" t="s">
        <v>1448</v>
      </c>
      <c r="F26" s="187" t="s">
        <v>1570</v>
      </c>
      <c r="G26" s="187" t="s">
        <v>1571</v>
      </c>
      <c r="H26" s="185" t="s">
        <v>1443</v>
      </c>
      <c r="I26" s="186" t="s">
        <v>36</v>
      </c>
      <c r="J26" s="56"/>
      <c r="K26" s="35" t="s">
        <v>36</v>
      </c>
    </row>
    <row r="27">
      <c r="A27" s="183" t="s">
        <v>195</v>
      </c>
      <c r="B27" s="35" t="s">
        <v>1572</v>
      </c>
      <c r="C27" s="187" t="s">
        <v>1573</v>
      </c>
      <c r="D27" s="187" t="s">
        <v>1574</v>
      </c>
      <c r="E27" s="187" t="s">
        <v>1448</v>
      </c>
      <c r="F27" s="187" t="s">
        <v>1575</v>
      </c>
      <c r="G27" s="187" t="s">
        <v>1576</v>
      </c>
      <c r="H27" s="185" t="s">
        <v>1443</v>
      </c>
      <c r="I27" s="186" t="s">
        <v>111</v>
      </c>
      <c r="J27" s="35" t="s">
        <v>1577</v>
      </c>
      <c r="K27" s="35" t="s">
        <v>111</v>
      </c>
    </row>
    <row r="28">
      <c r="A28" s="183" t="s">
        <v>195</v>
      </c>
      <c r="B28" s="35" t="s">
        <v>1578</v>
      </c>
      <c r="C28" s="187" t="s">
        <v>1579</v>
      </c>
      <c r="D28" s="187" t="s">
        <v>1580</v>
      </c>
      <c r="E28" s="187" t="s">
        <v>1448</v>
      </c>
      <c r="F28" s="187" t="s">
        <v>1581</v>
      </c>
      <c r="G28" s="187" t="s">
        <v>1582</v>
      </c>
      <c r="H28" s="185" t="s">
        <v>1443</v>
      </c>
      <c r="I28" s="186" t="s">
        <v>36</v>
      </c>
      <c r="J28" s="56"/>
      <c r="K28" s="35" t="s">
        <v>36</v>
      </c>
    </row>
    <row r="29">
      <c r="A29" s="183" t="s">
        <v>195</v>
      </c>
      <c r="B29" s="35" t="s">
        <v>1583</v>
      </c>
      <c r="C29" s="187" t="s">
        <v>1584</v>
      </c>
      <c r="D29" s="187" t="s">
        <v>1585</v>
      </c>
      <c r="E29" s="187" t="s">
        <v>1586</v>
      </c>
      <c r="F29" s="187" t="s">
        <v>1587</v>
      </c>
      <c r="G29" s="187" t="s">
        <v>1588</v>
      </c>
      <c r="H29" s="185" t="s">
        <v>1443</v>
      </c>
      <c r="I29" s="188" t="s">
        <v>36</v>
      </c>
      <c r="J29" s="56"/>
      <c r="K29" s="35" t="s">
        <v>36</v>
      </c>
    </row>
    <row r="30">
      <c r="A30" s="183" t="s">
        <v>195</v>
      </c>
      <c r="B30" s="35" t="s">
        <v>1589</v>
      </c>
      <c r="C30" s="187" t="s">
        <v>1590</v>
      </c>
      <c r="D30" s="187" t="s">
        <v>1591</v>
      </c>
      <c r="E30" s="187" t="s">
        <v>1592</v>
      </c>
      <c r="F30" s="187" t="s">
        <v>1593</v>
      </c>
      <c r="G30" s="187" t="s">
        <v>1594</v>
      </c>
      <c r="H30" s="185" t="s">
        <v>1443</v>
      </c>
      <c r="I30" s="188" t="s">
        <v>111</v>
      </c>
      <c r="J30" s="35" t="s">
        <v>1595</v>
      </c>
      <c r="K30" s="35" t="s">
        <v>111</v>
      </c>
    </row>
    <row r="31">
      <c r="A31" s="183" t="s">
        <v>195</v>
      </c>
      <c r="B31" s="35" t="s">
        <v>1596</v>
      </c>
      <c r="C31" s="187" t="s">
        <v>1597</v>
      </c>
      <c r="D31" s="187" t="s">
        <v>1598</v>
      </c>
      <c r="E31" s="187" t="s">
        <v>1599</v>
      </c>
      <c r="F31" s="187" t="s">
        <v>1600</v>
      </c>
      <c r="G31" s="187" t="s">
        <v>1601</v>
      </c>
      <c r="H31" s="185" t="s">
        <v>1443</v>
      </c>
      <c r="I31" s="188" t="s">
        <v>36</v>
      </c>
      <c r="J31" s="56"/>
      <c r="K31" s="35" t="s">
        <v>36</v>
      </c>
    </row>
    <row r="32">
      <c r="A32" s="183" t="s">
        <v>195</v>
      </c>
      <c r="B32" s="35" t="s">
        <v>1602</v>
      </c>
      <c r="C32" s="187" t="s">
        <v>1603</v>
      </c>
      <c r="D32" s="187" t="s">
        <v>1604</v>
      </c>
      <c r="E32" s="187" t="s">
        <v>1605</v>
      </c>
      <c r="F32" s="187" t="s">
        <v>1606</v>
      </c>
      <c r="G32" s="187" t="s">
        <v>1607</v>
      </c>
      <c r="H32" s="185" t="s">
        <v>1443</v>
      </c>
      <c r="I32" s="188" t="s">
        <v>36</v>
      </c>
      <c r="J32" s="56"/>
      <c r="K32" s="35" t="s">
        <v>36</v>
      </c>
    </row>
    <row r="33">
      <c r="A33" s="183" t="s">
        <v>195</v>
      </c>
      <c r="B33" s="35" t="s">
        <v>1608</v>
      </c>
      <c r="C33" s="187" t="s">
        <v>1609</v>
      </c>
      <c r="D33" s="187" t="s">
        <v>1610</v>
      </c>
      <c r="E33" s="187" t="s">
        <v>1611</v>
      </c>
      <c r="F33" s="187" t="s">
        <v>1612</v>
      </c>
      <c r="G33" s="187" t="s">
        <v>1613</v>
      </c>
      <c r="H33" s="185" t="s">
        <v>1443</v>
      </c>
      <c r="I33" s="188" t="s">
        <v>36</v>
      </c>
      <c r="J33" s="56"/>
      <c r="K33" s="35" t="s">
        <v>36</v>
      </c>
    </row>
    <row r="34">
      <c r="A34" s="183" t="s">
        <v>195</v>
      </c>
      <c r="B34" s="35" t="s">
        <v>1614</v>
      </c>
      <c r="C34" s="187" t="s">
        <v>1615</v>
      </c>
      <c r="D34" s="187" t="s">
        <v>1616</v>
      </c>
      <c r="E34" s="187" t="s">
        <v>1611</v>
      </c>
      <c r="F34" s="187" t="s">
        <v>1617</v>
      </c>
      <c r="G34" s="187" t="s">
        <v>1618</v>
      </c>
      <c r="H34" s="185" t="s">
        <v>1443</v>
      </c>
      <c r="I34" s="188" t="s">
        <v>36</v>
      </c>
      <c r="J34" s="56"/>
      <c r="K34" s="35" t="s">
        <v>36</v>
      </c>
    </row>
    <row r="35">
      <c r="A35" s="183" t="s">
        <v>195</v>
      </c>
      <c r="B35" s="35" t="s">
        <v>1619</v>
      </c>
      <c r="C35" s="187" t="s">
        <v>1620</v>
      </c>
      <c r="D35" s="187" t="s">
        <v>1621</v>
      </c>
      <c r="E35" s="187" t="s">
        <v>1622</v>
      </c>
      <c r="F35" s="187" t="s">
        <v>1623</v>
      </c>
      <c r="G35" s="187" t="s">
        <v>1624</v>
      </c>
      <c r="H35" s="185" t="s">
        <v>1443</v>
      </c>
      <c r="I35" s="186" t="s">
        <v>36</v>
      </c>
      <c r="J35" s="56"/>
      <c r="K35" s="35" t="s">
        <v>36</v>
      </c>
    </row>
    <row r="36">
      <c r="A36" s="183" t="s">
        <v>195</v>
      </c>
      <c r="B36" s="35" t="s">
        <v>1625</v>
      </c>
      <c r="C36" s="187" t="s">
        <v>1626</v>
      </c>
      <c r="D36" s="187" t="s">
        <v>1627</v>
      </c>
      <c r="E36" s="187" t="s">
        <v>1622</v>
      </c>
      <c r="F36" s="187" t="s">
        <v>1549</v>
      </c>
      <c r="G36" s="187" t="s">
        <v>1628</v>
      </c>
      <c r="H36" s="185" t="s">
        <v>1443</v>
      </c>
      <c r="I36" s="186" t="s">
        <v>36</v>
      </c>
      <c r="J36" s="56"/>
      <c r="K36" s="35" t="s">
        <v>36</v>
      </c>
    </row>
    <row r="37">
      <c r="A37" s="183" t="s">
        <v>195</v>
      </c>
      <c r="B37" s="35" t="s">
        <v>1629</v>
      </c>
      <c r="C37" s="187" t="s">
        <v>1630</v>
      </c>
      <c r="D37" s="187" t="s">
        <v>1631</v>
      </c>
      <c r="E37" s="187" t="s">
        <v>1632</v>
      </c>
      <c r="F37" s="187" t="s">
        <v>1633</v>
      </c>
      <c r="G37" s="187" t="s">
        <v>1634</v>
      </c>
      <c r="H37" s="185" t="s">
        <v>1443</v>
      </c>
      <c r="I37" s="186" t="s">
        <v>36</v>
      </c>
      <c r="J37" s="56"/>
      <c r="K37" s="35" t="s">
        <v>36</v>
      </c>
    </row>
    <row r="38">
      <c r="A38" s="183" t="s">
        <v>195</v>
      </c>
      <c r="B38" s="35" t="s">
        <v>1635</v>
      </c>
      <c r="C38" s="187" t="s">
        <v>1636</v>
      </c>
      <c r="D38" s="187" t="s">
        <v>1637</v>
      </c>
      <c r="E38" s="187" t="s">
        <v>1638</v>
      </c>
      <c r="F38" s="187" t="s">
        <v>1639</v>
      </c>
      <c r="G38" s="187" t="s">
        <v>1588</v>
      </c>
      <c r="H38" s="185" t="s">
        <v>1443</v>
      </c>
      <c r="I38" s="186" t="s">
        <v>36</v>
      </c>
      <c r="J38" s="56"/>
      <c r="K38" s="35" t="s">
        <v>36</v>
      </c>
    </row>
    <row r="39">
      <c r="A39" s="183" t="s">
        <v>195</v>
      </c>
      <c r="B39" s="35" t="s">
        <v>1640</v>
      </c>
      <c r="C39" s="187" t="s">
        <v>1641</v>
      </c>
      <c r="D39" s="187" t="s">
        <v>1642</v>
      </c>
      <c r="E39" s="187" t="s">
        <v>1638</v>
      </c>
      <c r="F39" s="187" t="s">
        <v>1643</v>
      </c>
      <c r="G39" s="187" t="s">
        <v>1594</v>
      </c>
      <c r="H39" s="185" t="s">
        <v>1443</v>
      </c>
      <c r="I39" s="186" t="s">
        <v>36</v>
      </c>
      <c r="J39" s="56"/>
      <c r="K39" s="35" t="s">
        <v>36</v>
      </c>
    </row>
    <row r="40">
      <c r="A40" s="183" t="s">
        <v>195</v>
      </c>
      <c r="B40" s="35" t="s">
        <v>1644</v>
      </c>
      <c r="C40" s="187" t="s">
        <v>1645</v>
      </c>
      <c r="D40" s="187" t="s">
        <v>1646</v>
      </c>
      <c r="E40" s="187" t="s">
        <v>1638</v>
      </c>
      <c r="F40" s="187" t="s">
        <v>1647</v>
      </c>
      <c r="G40" s="187" t="s">
        <v>1601</v>
      </c>
      <c r="H40" s="185" t="s">
        <v>1443</v>
      </c>
      <c r="I40" s="186" t="s">
        <v>36</v>
      </c>
      <c r="J40" s="56"/>
      <c r="K40" s="35" t="s">
        <v>36</v>
      </c>
    </row>
    <row r="41">
      <c r="A41" s="183" t="s">
        <v>195</v>
      </c>
      <c r="B41" s="35" t="s">
        <v>1648</v>
      </c>
      <c r="C41" s="187" t="s">
        <v>1649</v>
      </c>
      <c r="D41" s="187" t="s">
        <v>1650</v>
      </c>
      <c r="E41" s="187" t="s">
        <v>1638</v>
      </c>
      <c r="F41" s="187" t="s">
        <v>1554</v>
      </c>
      <c r="G41" s="187" t="s">
        <v>1651</v>
      </c>
      <c r="H41" s="185" t="s">
        <v>1443</v>
      </c>
      <c r="I41" s="186" t="s">
        <v>111</v>
      </c>
      <c r="J41" s="56"/>
      <c r="K41" s="35" t="s">
        <v>111</v>
      </c>
    </row>
    <row r="42">
      <c r="A42" s="183" t="s">
        <v>195</v>
      </c>
      <c r="B42" s="35" t="s">
        <v>1652</v>
      </c>
      <c r="C42" s="187" t="s">
        <v>1653</v>
      </c>
      <c r="D42" s="187" t="s">
        <v>1654</v>
      </c>
      <c r="E42" s="187" t="s">
        <v>1638</v>
      </c>
      <c r="F42" s="187" t="s">
        <v>1560</v>
      </c>
      <c r="G42" s="187" t="s">
        <v>1561</v>
      </c>
      <c r="H42" s="185" t="s">
        <v>1443</v>
      </c>
      <c r="I42" s="186" t="s">
        <v>36</v>
      </c>
      <c r="J42" s="56"/>
      <c r="K42" s="35" t="s">
        <v>36</v>
      </c>
    </row>
    <row r="43">
      <c r="A43" s="183" t="s">
        <v>195</v>
      </c>
      <c r="B43" s="35" t="s">
        <v>1655</v>
      </c>
      <c r="C43" s="187" t="s">
        <v>1656</v>
      </c>
      <c r="D43" s="187" t="s">
        <v>1564</v>
      </c>
      <c r="E43" s="187" t="s">
        <v>1638</v>
      </c>
      <c r="F43" s="187" t="s">
        <v>1657</v>
      </c>
      <c r="G43" s="187" t="s">
        <v>1566</v>
      </c>
      <c r="H43" s="185" t="s">
        <v>1443</v>
      </c>
      <c r="I43" s="186" t="s">
        <v>36</v>
      </c>
      <c r="J43" s="56"/>
      <c r="K43" s="35" t="s">
        <v>36</v>
      </c>
    </row>
    <row r="44">
      <c r="A44" s="183" t="s">
        <v>195</v>
      </c>
      <c r="B44" s="35" t="s">
        <v>1658</v>
      </c>
      <c r="C44" s="187" t="s">
        <v>1659</v>
      </c>
      <c r="D44" s="187" t="s">
        <v>1569</v>
      </c>
      <c r="E44" s="187" t="s">
        <v>1638</v>
      </c>
      <c r="F44" s="187" t="s">
        <v>1570</v>
      </c>
      <c r="G44" s="187" t="s">
        <v>1571</v>
      </c>
      <c r="H44" s="185" t="s">
        <v>1443</v>
      </c>
      <c r="I44" s="186" t="s">
        <v>36</v>
      </c>
      <c r="J44" s="56"/>
      <c r="K44" s="35" t="s">
        <v>36</v>
      </c>
    </row>
    <row r="45">
      <c r="A45" s="183" t="s">
        <v>195</v>
      </c>
      <c r="B45" s="35" t="s">
        <v>1660</v>
      </c>
      <c r="C45" s="187" t="s">
        <v>1661</v>
      </c>
      <c r="D45" s="187" t="s">
        <v>1574</v>
      </c>
      <c r="E45" s="187" t="s">
        <v>1638</v>
      </c>
      <c r="F45" s="187" t="s">
        <v>1575</v>
      </c>
      <c r="G45" s="187" t="s">
        <v>1576</v>
      </c>
      <c r="H45" s="185" t="s">
        <v>1443</v>
      </c>
      <c r="I45" s="186" t="s">
        <v>111</v>
      </c>
      <c r="J45" s="35" t="s">
        <v>1577</v>
      </c>
      <c r="K45" s="35" t="s">
        <v>111</v>
      </c>
    </row>
    <row r="46">
      <c r="A46" s="183" t="s">
        <v>195</v>
      </c>
      <c r="B46" s="35" t="s">
        <v>1662</v>
      </c>
      <c r="C46" s="187" t="s">
        <v>1663</v>
      </c>
      <c r="D46" s="187" t="s">
        <v>1580</v>
      </c>
      <c r="E46" s="187" t="s">
        <v>1638</v>
      </c>
      <c r="F46" s="187" t="s">
        <v>1581</v>
      </c>
      <c r="G46" s="187" t="s">
        <v>1582</v>
      </c>
      <c r="H46" s="185" t="s">
        <v>1443</v>
      </c>
      <c r="I46" s="186" t="s">
        <v>111</v>
      </c>
      <c r="J46" s="35" t="s">
        <v>1664</v>
      </c>
      <c r="K46" s="35" t="s">
        <v>111</v>
      </c>
    </row>
    <row r="47">
      <c r="A47" s="183" t="s">
        <v>195</v>
      </c>
      <c r="B47" s="35" t="s">
        <v>1665</v>
      </c>
      <c r="C47" s="187" t="s">
        <v>1666</v>
      </c>
      <c r="D47" s="187" t="s">
        <v>1667</v>
      </c>
      <c r="E47" s="187" t="s">
        <v>1668</v>
      </c>
      <c r="F47" s="187" t="s">
        <v>1669</v>
      </c>
      <c r="G47" s="187" t="s">
        <v>1670</v>
      </c>
      <c r="H47" s="185" t="s">
        <v>1443</v>
      </c>
      <c r="I47" s="186" t="s">
        <v>36</v>
      </c>
      <c r="J47" s="56"/>
      <c r="K47" s="35" t="s">
        <v>36</v>
      </c>
    </row>
    <row r="48">
      <c r="A48" s="183" t="s">
        <v>195</v>
      </c>
      <c r="B48" s="35" t="s">
        <v>1671</v>
      </c>
      <c r="C48" s="187" t="s">
        <v>1672</v>
      </c>
      <c r="D48" s="187" t="s">
        <v>1673</v>
      </c>
      <c r="E48" s="187" t="s">
        <v>1674</v>
      </c>
      <c r="F48" s="187" t="s">
        <v>1675</v>
      </c>
      <c r="G48" s="187" t="s">
        <v>1676</v>
      </c>
      <c r="H48" s="185" t="s">
        <v>1443</v>
      </c>
      <c r="I48" s="186" t="s">
        <v>36</v>
      </c>
      <c r="J48" s="56"/>
      <c r="K48" s="35" t="s">
        <v>36</v>
      </c>
    </row>
    <row r="49">
      <c r="A49" s="183" t="s">
        <v>195</v>
      </c>
      <c r="B49" s="35" t="s">
        <v>1677</v>
      </c>
      <c r="C49" s="187" t="s">
        <v>1678</v>
      </c>
      <c r="D49" s="187" t="s">
        <v>1679</v>
      </c>
      <c r="E49" s="187" t="s">
        <v>1680</v>
      </c>
      <c r="F49" s="187" t="s">
        <v>1681</v>
      </c>
      <c r="G49" s="187" t="s">
        <v>1682</v>
      </c>
      <c r="H49" s="185" t="s">
        <v>1443</v>
      </c>
      <c r="I49" s="186" t="s">
        <v>36</v>
      </c>
      <c r="J49" s="56"/>
      <c r="K49" s="35" t="s">
        <v>36</v>
      </c>
    </row>
    <row r="50">
      <c r="A50" s="183" t="s">
        <v>195</v>
      </c>
      <c r="B50" s="35" t="s">
        <v>1683</v>
      </c>
      <c r="C50" s="187" t="s">
        <v>1684</v>
      </c>
      <c r="D50" s="187" t="s">
        <v>1679</v>
      </c>
      <c r="E50" s="187" t="s">
        <v>1680</v>
      </c>
      <c r="F50" s="187" t="s">
        <v>1681</v>
      </c>
      <c r="G50" s="187" t="s">
        <v>1682</v>
      </c>
      <c r="H50" s="185" t="s">
        <v>1443</v>
      </c>
      <c r="I50" s="186" t="s">
        <v>36</v>
      </c>
      <c r="J50" s="56"/>
      <c r="K50" s="35" t="s">
        <v>36</v>
      </c>
    </row>
    <row r="51">
      <c r="A51" s="183" t="s">
        <v>195</v>
      </c>
      <c r="B51" s="35" t="s">
        <v>1685</v>
      </c>
      <c r="C51" s="187" t="s">
        <v>1686</v>
      </c>
      <c r="D51" s="187" t="s">
        <v>1687</v>
      </c>
      <c r="E51" s="187" t="s">
        <v>1688</v>
      </c>
      <c r="F51" s="187" t="s">
        <v>1689</v>
      </c>
      <c r="G51" s="187" t="s">
        <v>1690</v>
      </c>
      <c r="H51" s="185" t="s">
        <v>1443</v>
      </c>
      <c r="I51" s="186" t="s">
        <v>36</v>
      </c>
      <c r="J51" s="56"/>
      <c r="K51" s="35" t="s">
        <v>36</v>
      </c>
    </row>
    <row r="52">
      <c r="A52" s="183" t="s">
        <v>195</v>
      </c>
      <c r="B52" s="35" t="s">
        <v>1691</v>
      </c>
      <c r="C52" s="187" t="s">
        <v>1692</v>
      </c>
      <c r="D52" s="187" t="s">
        <v>1693</v>
      </c>
      <c r="E52" s="187" t="s">
        <v>1694</v>
      </c>
      <c r="F52" s="187" t="s">
        <v>1554</v>
      </c>
      <c r="G52" s="187" t="s">
        <v>1555</v>
      </c>
      <c r="H52" s="185" t="s">
        <v>1443</v>
      </c>
      <c r="I52" s="186" t="s">
        <v>111</v>
      </c>
      <c r="J52" s="35" t="s">
        <v>1556</v>
      </c>
      <c r="K52" s="35" t="s">
        <v>111</v>
      </c>
    </row>
    <row r="53">
      <c r="A53" s="183" t="s">
        <v>195</v>
      </c>
      <c r="B53" s="35" t="s">
        <v>1695</v>
      </c>
      <c r="C53" s="187" t="s">
        <v>1696</v>
      </c>
      <c r="D53" s="187" t="s">
        <v>1564</v>
      </c>
      <c r="E53" s="187" t="s">
        <v>1697</v>
      </c>
      <c r="F53" s="187" t="s">
        <v>1657</v>
      </c>
      <c r="G53" s="187" t="s">
        <v>1566</v>
      </c>
      <c r="H53" s="185" t="s">
        <v>1443</v>
      </c>
      <c r="I53" s="188" t="s">
        <v>36</v>
      </c>
      <c r="J53" s="56"/>
      <c r="K53" s="35" t="s">
        <v>36</v>
      </c>
    </row>
    <row r="54">
      <c r="A54" s="183" t="s">
        <v>195</v>
      </c>
      <c r="B54" s="35" t="s">
        <v>1698</v>
      </c>
      <c r="C54" s="187" t="s">
        <v>1699</v>
      </c>
      <c r="D54" s="187" t="s">
        <v>1700</v>
      </c>
      <c r="E54" s="187" t="s">
        <v>1701</v>
      </c>
      <c r="F54" s="187" t="s">
        <v>1560</v>
      </c>
      <c r="G54" s="187" t="s">
        <v>1561</v>
      </c>
      <c r="H54" s="185" t="s">
        <v>1443</v>
      </c>
      <c r="I54" s="186" t="s">
        <v>36</v>
      </c>
      <c r="J54" s="35"/>
      <c r="K54" s="35" t="s">
        <v>36</v>
      </c>
    </row>
    <row r="55">
      <c r="A55" s="183" t="s">
        <v>195</v>
      </c>
      <c r="B55" s="35" t="s">
        <v>1702</v>
      </c>
      <c r="C55" s="187" t="s">
        <v>1703</v>
      </c>
      <c r="D55" s="187" t="s">
        <v>1569</v>
      </c>
      <c r="E55" s="187" t="s">
        <v>1622</v>
      </c>
      <c r="F55" s="187" t="s">
        <v>1570</v>
      </c>
      <c r="G55" s="187" t="s">
        <v>1571</v>
      </c>
      <c r="H55" s="185" t="s">
        <v>1443</v>
      </c>
      <c r="I55" s="186" t="s">
        <v>36</v>
      </c>
      <c r="J55" s="56"/>
      <c r="K55" s="35" t="s">
        <v>36</v>
      </c>
    </row>
    <row r="56">
      <c r="A56" s="183" t="s">
        <v>195</v>
      </c>
      <c r="B56" s="35" t="s">
        <v>1704</v>
      </c>
      <c r="C56" s="187" t="s">
        <v>1705</v>
      </c>
      <c r="D56" s="187" t="s">
        <v>1574</v>
      </c>
      <c r="E56" s="187" t="s">
        <v>1622</v>
      </c>
      <c r="F56" s="187" t="s">
        <v>1575</v>
      </c>
      <c r="G56" s="187" t="s">
        <v>1576</v>
      </c>
      <c r="H56" s="185" t="s">
        <v>1443</v>
      </c>
      <c r="I56" s="186" t="s">
        <v>111</v>
      </c>
      <c r="J56" s="35" t="s">
        <v>1577</v>
      </c>
      <c r="K56" s="35" t="s">
        <v>111</v>
      </c>
    </row>
    <row r="57">
      <c r="A57" s="183" t="s">
        <v>195</v>
      </c>
      <c r="B57" s="35" t="s">
        <v>1706</v>
      </c>
      <c r="C57" s="187" t="s">
        <v>1707</v>
      </c>
      <c r="D57" s="187" t="s">
        <v>1580</v>
      </c>
      <c r="E57" s="187" t="s">
        <v>1622</v>
      </c>
      <c r="F57" s="187" t="s">
        <v>1581</v>
      </c>
      <c r="G57" s="187" t="s">
        <v>1582</v>
      </c>
      <c r="H57" s="185" t="s">
        <v>1443</v>
      </c>
      <c r="I57" s="186" t="s">
        <v>36</v>
      </c>
      <c r="J57" s="56"/>
      <c r="K57" s="35" t="s">
        <v>36</v>
      </c>
    </row>
    <row r="58">
      <c r="A58" s="183" t="s">
        <v>195</v>
      </c>
      <c r="B58" s="35" t="s">
        <v>1708</v>
      </c>
      <c r="C58" s="187" t="s">
        <v>1709</v>
      </c>
      <c r="D58" s="187" t="s">
        <v>1710</v>
      </c>
      <c r="E58" s="187" t="s">
        <v>1622</v>
      </c>
      <c r="F58" s="187" t="s">
        <v>1711</v>
      </c>
      <c r="G58" s="187" t="s">
        <v>1712</v>
      </c>
      <c r="H58" s="185" t="s">
        <v>1443</v>
      </c>
      <c r="I58" s="186" t="s">
        <v>36</v>
      </c>
      <c r="J58" s="56"/>
      <c r="K58" s="35" t="s">
        <v>36</v>
      </c>
    </row>
    <row r="59">
      <c r="A59" s="183" t="s">
        <v>195</v>
      </c>
      <c r="B59" s="35" t="s">
        <v>1713</v>
      </c>
      <c r="C59" s="187" t="s">
        <v>1714</v>
      </c>
      <c r="D59" s="187" t="s">
        <v>1715</v>
      </c>
      <c r="E59" s="187" t="s">
        <v>1716</v>
      </c>
      <c r="F59" s="187" t="s">
        <v>1717</v>
      </c>
      <c r="G59" s="187" t="s">
        <v>1718</v>
      </c>
      <c r="H59" s="185" t="s">
        <v>1443</v>
      </c>
      <c r="I59" s="186" t="s">
        <v>36</v>
      </c>
      <c r="J59" s="56"/>
      <c r="K59" s="35" t="s">
        <v>36</v>
      </c>
    </row>
    <row r="60">
      <c r="A60" s="183" t="s">
        <v>195</v>
      </c>
      <c r="B60" s="35" t="s">
        <v>1719</v>
      </c>
      <c r="C60" s="187" t="s">
        <v>1720</v>
      </c>
      <c r="D60" s="187" t="s">
        <v>1721</v>
      </c>
      <c r="E60" s="187" t="s">
        <v>1722</v>
      </c>
      <c r="F60" s="187" t="s">
        <v>1723</v>
      </c>
      <c r="G60" s="187" t="s">
        <v>1628</v>
      </c>
      <c r="H60" s="185" t="s">
        <v>1443</v>
      </c>
      <c r="I60" s="186" t="s">
        <v>36</v>
      </c>
      <c r="J60" s="56"/>
      <c r="K60" s="35" t="s">
        <v>36</v>
      </c>
    </row>
    <row r="61">
      <c r="A61" s="189" t="s">
        <v>319</v>
      </c>
      <c r="B61" s="35" t="s">
        <v>1724</v>
      </c>
      <c r="C61" s="35" t="s">
        <v>1725</v>
      </c>
      <c r="D61" s="35" t="s">
        <v>1726</v>
      </c>
      <c r="E61" s="35" t="s">
        <v>1727</v>
      </c>
      <c r="F61" s="35" t="s">
        <v>1728</v>
      </c>
      <c r="G61" s="35" t="s">
        <v>1729</v>
      </c>
      <c r="H61" s="185" t="s">
        <v>1443</v>
      </c>
      <c r="I61" s="186" t="s">
        <v>36</v>
      </c>
      <c r="J61" s="56"/>
      <c r="K61" s="35" t="s">
        <v>36</v>
      </c>
    </row>
    <row r="62">
      <c r="A62" s="190" t="s">
        <v>322</v>
      </c>
      <c r="B62" s="35" t="s">
        <v>1730</v>
      </c>
      <c r="C62" s="35" t="s">
        <v>1438</v>
      </c>
      <c r="D62" s="35" t="s">
        <v>1439</v>
      </c>
      <c r="E62" s="184" t="s">
        <v>1440</v>
      </c>
      <c r="F62" s="183" t="s">
        <v>1441</v>
      </c>
      <c r="G62" s="35" t="s">
        <v>1442</v>
      </c>
      <c r="H62" s="185" t="s">
        <v>1443</v>
      </c>
      <c r="I62" s="186" t="s">
        <v>36</v>
      </c>
      <c r="J62" s="56"/>
      <c r="K62" s="35" t="s">
        <v>36</v>
      </c>
    </row>
    <row r="63">
      <c r="A63" s="183" t="s">
        <v>322</v>
      </c>
      <c r="B63" s="35" t="s">
        <v>1731</v>
      </c>
      <c r="C63" s="187" t="s">
        <v>1446</v>
      </c>
      <c r="D63" s="187" t="s">
        <v>1447</v>
      </c>
      <c r="E63" s="187" t="s">
        <v>1448</v>
      </c>
      <c r="F63" s="187" t="s">
        <v>1449</v>
      </c>
      <c r="G63" s="187" t="s">
        <v>1450</v>
      </c>
      <c r="H63" s="185" t="s">
        <v>1443</v>
      </c>
      <c r="I63" s="186" t="s">
        <v>36</v>
      </c>
      <c r="J63" s="56"/>
      <c r="K63" s="35" t="s">
        <v>36</v>
      </c>
    </row>
    <row r="64">
      <c r="A64" s="183" t="s">
        <v>322</v>
      </c>
      <c r="B64" s="35" t="s">
        <v>1732</v>
      </c>
      <c r="C64" s="187" t="s">
        <v>1453</v>
      </c>
      <c r="D64" s="187" t="s">
        <v>1454</v>
      </c>
      <c r="E64" s="187" t="s">
        <v>1448</v>
      </c>
      <c r="F64" s="187" t="s">
        <v>1455</v>
      </c>
      <c r="G64" s="187" t="s">
        <v>1456</v>
      </c>
      <c r="H64" s="185" t="s">
        <v>1443</v>
      </c>
      <c r="I64" s="186" t="s">
        <v>111</v>
      </c>
      <c r="J64" s="35" t="s">
        <v>1733</v>
      </c>
      <c r="K64" s="35" t="s">
        <v>111</v>
      </c>
    </row>
    <row r="65">
      <c r="A65" s="183" t="s">
        <v>322</v>
      </c>
      <c r="B65" s="35" t="s">
        <v>1734</v>
      </c>
      <c r="C65" s="187" t="s">
        <v>1459</v>
      </c>
      <c r="D65" s="187" t="s">
        <v>1460</v>
      </c>
      <c r="E65" s="187" t="s">
        <v>1448</v>
      </c>
      <c r="F65" s="187" t="s">
        <v>1461</v>
      </c>
      <c r="G65" s="187" t="s">
        <v>1462</v>
      </c>
      <c r="H65" s="185" t="s">
        <v>1443</v>
      </c>
      <c r="I65" s="186" t="s">
        <v>36</v>
      </c>
      <c r="J65" s="56"/>
      <c r="K65" s="35" t="s">
        <v>36</v>
      </c>
    </row>
    <row r="66">
      <c r="A66" s="183" t="s">
        <v>322</v>
      </c>
      <c r="B66" s="35" t="s">
        <v>1735</v>
      </c>
      <c r="C66" s="183" t="s">
        <v>1465</v>
      </c>
      <c r="D66" s="183" t="s">
        <v>1466</v>
      </c>
      <c r="E66" s="187" t="s">
        <v>1448</v>
      </c>
      <c r="F66" s="183" t="s">
        <v>1467</v>
      </c>
      <c r="G66" s="183" t="s">
        <v>1468</v>
      </c>
      <c r="H66" s="185" t="s">
        <v>1443</v>
      </c>
      <c r="I66" s="186" t="s">
        <v>111</v>
      </c>
      <c r="J66" s="35" t="s">
        <v>1469</v>
      </c>
      <c r="K66" s="35" t="s">
        <v>111</v>
      </c>
    </row>
    <row r="67">
      <c r="A67" s="183" t="s">
        <v>322</v>
      </c>
      <c r="B67" s="35" t="s">
        <v>1736</v>
      </c>
      <c r="C67" s="183" t="s">
        <v>1471</v>
      </c>
      <c r="D67" s="183" t="s">
        <v>1472</v>
      </c>
      <c r="E67" s="187" t="s">
        <v>1448</v>
      </c>
      <c r="F67" s="183" t="s">
        <v>1473</v>
      </c>
      <c r="G67" s="183" t="s">
        <v>1474</v>
      </c>
      <c r="H67" s="185" t="s">
        <v>1443</v>
      </c>
      <c r="I67" s="186" t="s">
        <v>111</v>
      </c>
      <c r="J67" s="183" t="s">
        <v>1475</v>
      </c>
      <c r="K67" s="35" t="s">
        <v>111</v>
      </c>
    </row>
    <row r="68">
      <c r="A68" s="183" t="s">
        <v>322</v>
      </c>
      <c r="B68" s="35" t="s">
        <v>1737</v>
      </c>
      <c r="C68" s="183" t="s">
        <v>1477</v>
      </c>
      <c r="D68" s="183" t="s">
        <v>1478</v>
      </c>
      <c r="E68" s="187" t="s">
        <v>1448</v>
      </c>
      <c r="F68" s="183" t="s">
        <v>1479</v>
      </c>
      <c r="G68" s="183" t="s">
        <v>1468</v>
      </c>
      <c r="H68" s="185" t="s">
        <v>1443</v>
      </c>
      <c r="I68" s="186" t="s">
        <v>111</v>
      </c>
      <c r="J68" s="35" t="s">
        <v>1733</v>
      </c>
      <c r="K68" s="35" t="s">
        <v>111</v>
      </c>
    </row>
    <row r="69">
      <c r="A69" s="183" t="s">
        <v>322</v>
      </c>
      <c r="B69" s="35" t="s">
        <v>1738</v>
      </c>
      <c r="C69" s="183" t="s">
        <v>1481</v>
      </c>
      <c r="D69" s="183" t="s">
        <v>1472</v>
      </c>
      <c r="E69" s="187" t="s">
        <v>1448</v>
      </c>
      <c r="F69" s="183" t="s">
        <v>1482</v>
      </c>
      <c r="G69" s="183" t="s">
        <v>1474</v>
      </c>
      <c r="H69" s="185" t="s">
        <v>1443</v>
      </c>
      <c r="I69" s="186" t="s">
        <v>111</v>
      </c>
      <c r="J69" s="35" t="s">
        <v>1733</v>
      </c>
      <c r="K69" s="35" t="s">
        <v>111</v>
      </c>
    </row>
    <row r="70">
      <c r="A70" s="183" t="s">
        <v>322</v>
      </c>
      <c r="B70" s="35" t="s">
        <v>1739</v>
      </c>
      <c r="C70" s="183" t="s">
        <v>1484</v>
      </c>
      <c r="D70" s="183" t="s">
        <v>1472</v>
      </c>
      <c r="E70" s="187" t="s">
        <v>1448</v>
      </c>
      <c r="F70" s="183" t="s">
        <v>1485</v>
      </c>
      <c r="G70" s="183" t="s">
        <v>1486</v>
      </c>
      <c r="H70" s="185" t="s">
        <v>1443</v>
      </c>
      <c r="I70" s="186" t="s">
        <v>111</v>
      </c>
      <c r="J70" s="183" t="s">
        <v>1475</v>
      </c>
      <c r="K70" s="35" t="s">
        <v>111</v>
      </c>
    </row>
    <row r="71">
      <c r="A71" s="183" t="s">
        <v>322</v>
      </c>
      <c r="B71" s="35" t="s">
        <v>1740</v>
      </c>
      <c r="C71" s="187" t="s">
        <v>1488</v>
      </c>
      <c r="D71" s="187" t="s">
        <v>1489</v>
      </c>
      <c r="E71" s="187" t="s">
        <v>1490</v>
      </c>
      <c r="F71" s="187" t="s">
        <v>1491</v>
      </c>
      <c r="G71" s="187" t="s">
        <v>1492</v>
      </c>
      <c r="H71" s="185" t="s">
        <v>1443</v>
      </c>
      <c r="I71" s="186" t="s">
        <v>111</v>
      </c>
      <c r="J71" s="35" t="s">
        <v>1741</v>
      </c>
      <c r="K71" s="35" t="s">
        <v>111</v>
      </c>
    </row>
    <row r="72">
      <c r="A72" s="183" t="s">
        <v>322</v>
      </c>
      <c r="B72" s="35" t="s">
        <v>1742</v>
      </c>
      <c r="C72" s="187" t="s">
        <v>1494</v>
      </c>
      <c r="D72" s="183" t="s">
        <v>1495</v>
      </c>
      <c r="E72" s="187" t="s">
        <v>1496</v>
      </c>
      <c r="F72" s="187" t="s">
        <v>1497</v>
      </c>
      <c r="G72" s="187" t="s">
        <v>1498</v>
      </c>
      <c r="H72" s="185" t="s">
        <v>1443</v>
      </c>
      <c r="I72" s="186" t="s">
        <v>111</v>
      </c>
      <c r="J72" s="185" t="s">
        <v>1741</v>
      </c>
      <c r="K72" s="35" t="s">
        <v>111</v>
      </c>
    </row>
    <row r="73">
      <c r="A73" s="183" t="s">
        <v>322</v>
      </c>
      <c r="B73" s="35" t="s">
        <v>1743</v>
      </c>
      <c r="C73" s="187" t="s">
        <v>1501</v>
      </c>
      <c r="D73" s="187" t="s">
        <v>1502</v>
      </c>
      <c r="E73" s="187" t="s">
        <v>1503</v>
      </c>
      <c r="F73" s="187" t="s">
        <v>1491</v>
      </c>
      <c r="G73" s="187" t="s">
        <v>1504</v>
      </c>
      <c r="H73" s="185" t="s">
        <v>1443</v>
      </c>
      <c r="I73" s="186" t="s">
        <v>36</v>
      </c>
      <c r="J73" s="56"/>
      <c r="K73" s="35" t="s">
        <v>36</v>
      </c>
    </row>
    <row r="74">
      <c r="A74" s="183" t="s">
        <v>322</v>
      </c>
      <c r="B74" s="35" t="s">
        <v>1744</v>
      </c>
      <c r="C74" s="187" t="s">
        <v>1506</v>
      </c>
      <c r="D74" s="187" t="s">
        <v>1507</v>
      </c>
      <c r="E74" s="187" t="s">
        <v>1508</v>
      </c>
      <c r="F74" s="187" t="s">
        <v>1491</v>
      </c>
      <c r="G74" s="187" t="s">
        <v>1509</v>
      </c>
      <c r="H74" s="185" t="s">
        <v>1443</v>
      </c>
      <c r="I74" s="186" t="s">
        <v>36</v>
      </c>
      <c r="J74" s="56"/>
      <c r="K74" s="35" t="s">
        <v>36</v>
      </c>
    </row>
    <row r="75">
      <c r="A75" s="183" t="s">
        <v>322</v>
      </c>
      <c r="B75" s="35" t="s">
        <v>1745</v>
      </c>
      <c r="C75" s="187" t="s">
        <v>1511</v>
      </c>
      <c r="D75" s="187" t="s">
        <v>1512</v>
      </c>
      <c r="E75" s="187" t="s">
        <v>1513</v>
      </c>
      <c r="F75" s="187" t="s">
        <v>1491</v>
      </c>
      <c r="G75" s="187" t="s">
        <v>1514</v>
      </c>
      <c r="H75" s="185" t="s">
        <v>1443</v>
      </c>
      <c r="I75" s="186" t="s">
        <v>111</v>
      </c>
      <c r="J75" s="185" t="s">
        <v>1741</v>
      </c>
      <c r="K75" s="35" t="s">
        <v>111</v>
      </c>
    </row>
    <row r="76">
      <c r="A76" s="183" t="s">
        <v>322</v>
      </c>
      <c r="B76" s="35" t="s">
        <v>1746</v>
      </c>
      <c r="C76" s="187" t="s">
        <v>1516</v>
      </c>
      <c r="D76" s="187" t="s">
        <v>1517</v>
      </c>
      <c r="E76" s="187" t="s">
        <v>1518</v>
      </c>
      <c r="F76" s="187" t="s">
        <v>1519</v>
      </c>
      <c r="G76" s="187" t="s">
        <v>1520</v>
      </c>
      <c r="H76" s="185" t="s">
        <v>1443</v>
      </c>
      <c r="I76" s="186" t="s">
        <v>111</v>
      </c>
      <c r="J76" s="185" t="s">
        <v>1741</v>
      </c>
      <c r="K76" s="35" t="s">
        <v>111</v>
      </c>
    </row>
    <row r="77">
      <c r="A77" s="183" t="s">
        <v>322</v>
      </c>
      <c r="B77" s="35" t="s">
        <v>1747</v>
      </c>
      <c r="C77" s="187" t="s">
        <v>1523</v>
      </c>
      <c r="D77" s="187" t="s">
        <v>1524</v>
      </c>
      <c r="E77" s="187" t="s">
        <v>1525</v>
      </c>
      <c r="F77" s="187" t="s">
        <v>1526</v>
      </c>
      <c r="G77" s="187" t="s">
        <v>1527</v>
      </c>
      <c r="H77" s="185" t="s">
        <v>1443</v>
      </c>
      <c r="I77" s="186" t="s">
        <v>111</v>
      </c>
      <c r="J77" s="185" t="s">
        <v>1741</v>
      </c>
      <c r="K77" s="35" t="s">
        <v>111</v>
      </c>
    </row>
    <row r="78">
      <c r="A78" s="183" t="s">
        <v>322</v>
      </c>
      <c r="B78" s="35" t="s">
        <v>1748</v>
      </c>
      <c r="C78" s="187" t="s">
        <v>1529</v>
      </c>
      <c r="D78" s="187" t="s">
        <v>1530</v>
      </c>
      <c r="E78" s="187" t="s">
        <v>1531</v>
      </c>
      <c r="F78" s="187" t="s">
        <v>1532</v>
      </c>
      <c r="G78" s="187" t="s">
        <v>1533</v>
      </c>
      <c r="H78" s="185" t="s">
        <v>1443</v>
      </c>
      <c r="I78" s="186" t="s">
        <v>111</v>
      </c>
      <c r="J78" s="185" t="s">
        <v>1741</v>
      </c>
      <c r="K78" s="35" t="s">
        <v>111</v>
      </c>
    </row>
    <row r="79">
      <c r="A79" s="183" t="s">
        <v>322</v>
      </c>
      <c r="B79" s="35" t="s">
        <v>1749</v>
      </c>
      <c r="C79" s="187" t="s">
        <v>1535</v>
      </c>
      <c r="D79" s="187" t="s">
        <v>1536</v>
      </c>
      <c r="E79" s="187" t="s">
        <v>1537</v>
      </c>
      <c r="F79" s="187" t="s">
        <v>1538</v>
      </c>
      <c r="G79" s="187" t="s">
        <v>1539</v>
      </c>
      <c r="H79" s="185" t="s">
        <v>1443</v>
      </c>
      <c r="I79" s="186" t="s">
        <v>111</v>
      </c>
      <c r="J79" s="185" t="s">
        <v>1741</v>
      </c>
      <c r="K79" s="35" t="s">
        <v>111</v>
      </c>
    </row>
    <row r="80">
      <c r="A80" s="183" t="s">
        <v>322</v>
      </c>
      <c r="B80" s="35" t="s">
        <v>1750</v>
      </c>
      <c r="C80" s="187" t="s">
        <v>1541</v>
      </c>
      <c r="D80" s="187" t="s">
        <v>1542</v>
      </c>
      <c r="E80" s="187" t="s">
        <v>1543</v>
      </c>
      <c r="F80" s="187" t="s">
        <v>1544</v>
      </c>
      <c r="G80" s="187" t="s">
        <v>1545</v>
      </c>
      <c r="H80" s="185" t="s">
        <v>1443</v>
      </c>
      <c r="I80" s="186" t="s">
        <v>36</v>
      </c>
      <c r="J80" s="56"/>
      <c r="K80" s="35" t="s">
        <v>36</v>
      </c>
    </row>
    <row r="81">
      <c r="A81" s="183" t="s">
        <v>322</v>
      </c>
      <c r="B81" s="35" t="s">
        <v>1751</v>
      </c>
      <c r="C81" s="187" t="s">
        <v>1547</v>
      </c>
      <c r="D81" s="187" t="s">
        <v>1548</v>
      </c>
      <c r="E81" s="187" t="s">
        <v>1448</v>
      </c>
      <c r="F81" s="187" t="s">
        <v>1549</v>
      </c>
      <c r="G81" s="187" t="s">
        <v>1550</v>
      </c>
      <c r="H81" s="185" t="s">
        <v>1443</v>
      </c>
      <c r="I81" s="186" t="s">
        <v>36</v>
      </c>
      <c r="J81" s="56"/>
      <c r="K81" s="35" t="s">
        <v>36</v>
      </c>
    </row>
    <row r="82">
      <c r="A82" s="183" t="s">
        <v>322</v>
      </c>
      <c r="B82" s="35" t="s">
        <v>1752</v>
      </c>
      <c r="C82" s="187" t="s">
        <v>1552</v>
      </c>
      <c r="D82" s="187" t="s">
        <v>1553</v>
      </c>
      <c r="E82" s="187" t="s">
        <v>1448</v>
      </c>
      <c r="F82" s="187" t="s">
        <v>1554</v>
      </c>
      <c r="G82" s="187" t="s">
        <v>1555</v>
      </c>
      <c r="H82" s="185" t="s">
        <v>1443</v>
      </c>
      <c r="I82" s="186" t="s">
        <v>111</v>
      </c>
      <c r="J82" s="35" t="s">
        <v>1753</v>
      </c>
      <c r="K82" s="35" t="s">
        <v>111</v>
      </c>
    </row>
    <row r="83">
      <c r="A83" s="183" t="s">
        <v>322</v>
      </c>
      <c r="B83" s="35" t="s">
        <v>1754</v>
      </c>
      <c r="C83" s="187" t="s">
        <v>1558</v>
      </c>
      <c r="D83" s="187" t="s">
        <v>1559</v>
      </c>
      <c r="E83" s="187" t="s">
        <v>1448</v>
      </c>
      <c r="F83" s="187" t="s">
        <v>1560</v>
      </c>
      <c r="G83" s="187" t="s">
        <v>1561</v>
      </c>
      <c r="H83" s="185" t="s">
        <v>1443</v>
      </c>
      <c r="I83" s="186" t="s">
        <v>36</v>
      </c>
      <c r="J83" s="35"/>
      <c r="K83" s="35" t="s">
        <v>36</v>
      </c>
    </row>
    <row r="84">
      <c r="A84" s="183" t="s">
        <v>322</v>
      </c>
      <c r="B84" s="35" t="s">
        <v>1755</v>
      </c>
      <c r="C84" s="187" t="s">
        <v>1563</v>
      </c>
      <c r="D84" s="187" t="s">
        <v>1564</v>
      </c>
      <c r="E84" s="187" t="s">
        <v>1448</v>
      </c>
      <c r="F84" s="187" t="s">
        <v>1565</v>
      </c>
      <c r="G84" s="187" t="s">
        <v>1566</v>
      </c>
      <c r="H84" s="185" t="s">
        <v>1443</v>
      </c>
      <c r="I84" s="186" t="s">
        <v>36</v>
      </c>
      <c r="J84" s="35"/>
      <c r="K84" s="35" t="s">
        <v>36</v>
      </c>
    </row>
    <row r="85">
      <c r="A85" s="183" t="s">
        <v>322</v>
      </c>
      <c r="B85" s="35" t="s">
        <v>1756</v>
      </c>
      <c r="C85" s="187" t="s">
        <v>1568</v>
      </c>
      <c r="D85" s="187" t="s">
        <v>1569</v>
      </c>
      <c r="E85" s="187" t="s">
        <v>1448</v>
      </c>
      <c r="F85" s="187" t="s">
        <v>1570</v>
      </c>
      <c r="G85" s="187" t="s">
        <v>1571</v>
      </c>
      <c r="H85" s="185" t="s">
        <v>1443</v>
      </c>
      <c r="I85" s="186" t="s">
        <v>36</v>
      </c>
      <c r="J85" s="56"/>
      <c r="K85" s="35" t="s">
        <v>36</v>
      </c>
    </row>
    <row r="86">
      <c r="A86" s="183" t="s">
        <v>322</v>
      </c>
      <c r="B86" s="35" t="s">
        <v>1757</v>
      </c>
      <c r="C86" s="187" t="s">
        <v>1573</v>
      </c>
      <c r="D86" s="187" t="s">
        <v>1574</v>
      </c>
      <c r="E86" s="187" t="s">
        <v>1448</v>
      </c>
      <c r="F86" s="187" t="s">
        <v>1575</v>
      </c>
      <c r="G86" s="187" t="s">
        <v>1576</v>
      </c>
      <c r="H86" s="185" t="s">
        <v>1443</v>
      </c>
      <c r="I86" s="186" t="s">
        <v>111</v>
      </c>
      <c r="J86" s="35" t="s">
        <v>1577</v>
      </c>
      <c r="K86" s="35" t="s">
        <v>111</v>
      </c>
    </row>
    <row r="87">
      <c r="A87" s="183" t="s">
        <v>322</v>
      </c>
      <c r="B87" s="35" t="s">
        <v>1758</v>
      </c>
      <c r="C87" s="187" t="s">
        <v>1579</v>
      </c>
      <c r="D87" s="187" t="s">
        <v>1580</v>
      </c>
      <c r="E87" s="187" t="s">
        <v>1448</v>
      </c>
      <c r="F87" s="187" t="s">
        <v>1581</v>
      </c>
      <c r="G87" s="187" t="s">
        <v>1582</v>
      </c>
      <c r="H87" s="185" t="s">
        <v>1443</v>
      </c>
      <c r="I87" s="186" t="s">
        <v>36</v>
      </c>
      <c r="J87" s="56"/>
      <c r="K87" s="35" t="s">
        <v>36</v>
      </c>
    </row>
    <row r="88">
      <c r="A88" s="183" t="s">
        <v>322</v>
      </c>
      <c r="B88" s="35" t="s">
        <v>1759</v>
      </c>
      <c r="C88" s="187" t="s">
        <v>1584</v>
      </c>
      <c r="D88" s="187" t="s">
        <v>1585</v>
      </c>
      <c r="E88" s="187" t="s">
        <v>1586</v>
      </c>
      <c r="F88" s="187" t="s">
        <v>1587</v>
      </c>
      <c r="G88" s="187" t="s">
        <v>1588</v>
      </c>
      <c r="H88" s="185" t="s">
        <v>1443</v>
      </c>
      <c r="I88" s="186" t="s">
        <v>111</v>
      </c>
      <c r="J88" s="185" t="s">
        <v>1741</v>
      </c>
      <c r="K88" s="35" t="s">
        <v>111</v>
      </c>
    </row>
    <row r="89">
      <c r="A89" s="183" t="s">
        <v>322</v>
      </c>
      <c r="B89" s="35" t="s">
        <v>1760</v>
      </c>
      <c r="C89" s="187" t="s">
        <v>1590</v>
      </c>
      <c r="D89" s="187" t="s">
        <v>1591</v>
      </c>
      <c r="E89" s="187" t="s">
        <v>1592</v>
      </c>
      <c r="F89" s="187" t="s">
        <v>1593</v>
      </c>
      <c r="G89" s="187" t="s">
        <v>1594</v>
      </c>
      <c r="H89" s="185" t="s">
        <v>1443</v>
      </c>
      <c r="I89" s="186" t="s">
        <v>111</v>
      </c>
      <c r="J89" s="185" t="s">
        <v>1741</v>
      </c>
      <c r="K89" s="35" t="s">
        <v>111</v>
      </c>
    </row>
    <row r="90">
      <c r="A90" s="183" t="s">
        <v>322</v>
      </c>
      <c r="B90" s="35" t="s">
        <v>1761</v>
      </c>
      <c r="C90" s="187" t="s">
        <v>1597</v>
      </c>
      <c r="D90" s="187" t="s">
        <v>1598</v>
      </c>
      <c r="E90" s="187" t="s">
        <v>1599</v>
      </c>
      <c r="F90" s="187" t="s">
        <v>1600</v>
      </c>
      <c r="G90" s="187" t="s">
        <v>1601</v>
      </c>
      <c r="H90" s="185" t="s">
        <v>1443</v>
      </c>
      <c r="I90" s="186" t="s">
        <v>111</v>
      </c>
      <c r="J90" s="185" t="s">
        <v>1741</v>
      </c>
      <c r="K90" s="35" t="s">
        <v>111</v>
      </c>
    </row>
    <row r="91">
      <c r="A91" s="183" t="s">
        <v>322</v>
      </c>
      <c r="B91" s="35" t="s">
        <v>1762</v>
      </c>
      <c r="C91" s="187" t="s">
        <v>1603</v>
      </c>
      <c r="D91" s="187" t="s">
        <v>1604</v>
      </c>
      <c r="E91" s="187" t="s">
        <v>1605</v>
      </c>
      <c r="F91" s="187" t="s">
        <v>1606</v>
      </c>
      <c r="G91" s="187" t="s">
        <v>1607</v>
      </c>
      <c r="H91" s="185" t="s">
        <v>1443</v>
      </c>
      <c r="I91" s="186" t="s">
        <v>111</v>
      </c>
      <c r="J91" s="185" t="s">
        <v>1741</v>
      </c>
      <c r="K91" s="35" t="s">
        <v>111</v>
      </c>
    </row>
    <row r="92">
      <c r="A92" s="183" t="s">
        <v>322</v>
      </c>
      <c r="B92" s="35" t="s">
        <v>1763</v>
      </c>
      <c r="C92" s="187" t="s">
        <v>1609</v>
      </c>
      <c r="D92" s="187" t="s">
        <v>1610</v>
      </c>
      <c r="E92" s="187" t="s">
        <v>1611</v>
      </c>
      <c r="F92" s="187" t="s">
        <v>1612</v>
      </c>
      <c r="G92" s="187" t="s">
        <v>1613</v>
      </c>
      <c r="H92" s="185" t="s">
        <v>1443</v>
      </c>
      <c r="I92" s="186" t="s">
        <v>111</v>
      </c>
      <c r="J92" s="185" t="s">
        <v>1741</v>
      </c>
      <c r="K92" s="35" t="s">
        <v>111</v>
      </c>
    </row>
    <row r="93">
      <c r="A93" s="183" t="s">
        <v>322</v>
      </c>
      <c r="B93" s="35" t="s">
        <v>1764</v>
      </c>
      <c r="C93" s="187" t="s">
        <v>1615</v>
      </c>
      <c r="D93" s="187" t="s">
        <v>1616</v>
      </c>
      <c r="E93" s="187" t="s">
        <v>1611</v>
      </c>
      <c r="F93" s="187" t="s">
        <v>1617</v>
      </c>
      <c r="G93" s="187" t="s">
        <v>1618</v>
      </c>
      <c r="H93" s="185" t="s">
        <v>1443</v>
      </c>
      <c r="I93" s="186" t="s">
        <v>111</v>
      </c>
      <c r="J93" s="185" t="s">
        <v>1741</v>
      </c>
      <c r="K93" s="35" t="s">
        <v>111</v>
      </c>
    </row>
    <row r="94">
      <c r="A94" s="183" t="s">
        <v>322</v>
      </c>
      <c r="B94" s="35" t="s">
        <v>1765</v>
      </c>
      <c r="C94" s="187" t="s">
        <v>1620</v>
      </c>
      <c r="D94" s="187" t="s">
        <v>1621</v>
      </c>
      <c r="E94" s="187" t="s">
        <v>1622</v>
      </c>
      <c r="F94" s="187" t="s">
        <v>1623</v>
      </c>
      <c r="G94" s="187" t="s">
        <v>1624</v>
      </c>
      <c r="H94" s="185" t="s">
        <v>1443</v>
      </c>
      <c r="I94" s="186" t="s">
        <v>111</v>
      </c>
      <c r="J94" s="185" t="s">
        <v>1741</v>
      </c>
      <c r="K94" s="35" t="s">
        <v>111</v>
      </c>
    </row>
    <row r="95">
      <c r="A95" s="183" t="s">
        <v>322</v>
      </c>
      <c r="B95" s="35" t="s">
        <v>1766</v>
      </c>
      <c r="C95" s="187" t="s">
        <v>1626</v>
      </c>
      <c r="D95" s="187" t="s">
        <v>1627</v>
      </c>
      <c r="E95" s="187" t="s">
        <v>1622</v>
      </c>
      <c r="F95" s="187" t="s">
        <v>1549</v>
      </c>
      <c r="G95" s="187" t="s">
        <v>1628</v>
      </c>
      <c r="H95" s="185" t="s">
        <v>1443</v>
      </c>
      <c r="I95" s="186" t="s">
        <v>111</v>
      </c>
      <c r="J95" s="185" t="s">
        <v>1741</v>
      </c>
      <c r="K95" s="35" t="s">
        <v>111</v>
      </c>
    </row>
    <row r="96">
      <c r="A96" s="183" t="s">
        <v>322</v>
      </c>
      <c r="B96" s="35" t="s">
        <v>1767</v>
      </c>
      <c r="C96" s="187" t="s">
        <v>1630</v>
      </c>
      <c r="D96" s="187" t="s">
        <v>1631</v>
      </c>
      <c r="E96" s="187" t="s">
        <v>1632</v>
      </c>
      <c r="F96" s="187" t="s">
        <v>1633</v>
      </c>
      <c r="G96" s="187" t="s">
        <v>1634</v>
      </c>
      <c r="H96" s="185" t="s">
        <v>1443</v>
      </c>
      <c r="I96" s="186" t="s">
        <v>111</v>
      </c>
      <c r="J96" s="185" t="s">
        <v>1741</v>
      </c>
      <c r="K96" s="35" t="s">
        <v>111</v>
      </c>
    </row>
    <row r="97">
      <c r="A97" s="183" t="s">
        <v>322</v>
      </c>
      <c r="B97" s="35" t="s">
        <v>1768</v>
      </c>
      <c r="C97" s="187" t="s">
        <v>1636</v>
      </c>
      <c r="D97" s="187" t="s">
        <v>1637</v>
      </c>
      <c r="E97" s="187" t="s">
        <v>1638</v>
      </c>
      <c r="F97" s="187" t="s">
        <v>1639</v>
      </c>
      <c r="G97" s="187" t="s">
        <v>1588</v>
      </c>
      <c r="H97" s="185" t="s">
        <v>1443</v>
      </c>
      <c r="I97" s="186" t="s">
        <v>111</v>
      </c>
      <c r="J97" s="185" t="s">
        <v>1741</v>
      </c>
      <c r="K97" s="35" t="s">
        <v>111</v>
      </c>
    </row>
    <row r="98">
      <c r="A98" s="183" t="s">
        <v>322</v>
      </c>
      <c r="B98" s="35" t="s">
        <v>1769</v>
      </c>
      <c r="C98" s="187" t="s">
        <v>1641</v>
      </c>
      <c r="D98" s="187" t="s">
        <v>1642</v>
      </c>
      <c r="E98" s="187" t="s">
        <v>1638</v>
      </c>
      <c r="F98" s="187" t="s">
        <v>1643</v>
      </c>
      <c r="G98" s="187" t="s">
        <v>1594</v>
      </c>
      <c r="H98" s="185" t="s">
        <v>1443</v>
      </c>
      <c r="I98" s="186" t="s">
        <v>111</v>
      </c>
      <c r="J98" s="185" t="s">
        <v>1741</v>
      </c>
      <c r="K98" s="35" t="s">
        <v>111</v>
      </c>
    </row>
    <row r="99">
      <c r="A99" s="183" t="s">
        <v>322</v>
      </c>
      <c r="B99" s="35" t="s">
        <v>1770</v>
      </c>
      <c r="C99" s="187" t="s">
        <v>1645</v>
      </c>
      <c r="D99" s="187" t="s">
        <v>1646</v>
      </c>
      <c r="E99" s="187" t="s">
        <v>1638</v>
      </c>
      <c r="F99" s="187" t="s">
        <v>1647</v>
      </c>
      <c r="G99" s="187" t="s">
        <v>1601</v>
      </c>
      <c r="H99" s="185" t="s">
        <v>1443</v>
      </c>
      <c r="I99" s="186" t="s">
        <v>111</v>
      </c>
      <c r="J99" s="185" t="s">
        <v>1741</v>
      </c>
      <c r="K99" s="35" t="s">
        <v>111</v>
      </c>
    </row>
    <row r="100">
      <c r="A100" s="183" t="s">
        <v>322</v>
      </c>
      <c r="B100" s="35" t="s">
        <v>1771</v>
      </c>
      <c r="C100" s="187" t="s">
        <v>1649</v>
      </c>
      <c r="D100" s="187" t="s">
        <v>1650</v>
      </c>
      <c r="E100" s="187" t="s">
        <v>1638</v>
      </c>
      <c r="F100" s="187" t="s">
        <v>1554</v>
      </c>
      <c r="G100" s="187" t="s">
        <v>1651</v>
      </c>
      <c r="H100" s="185" t="s">
        <v>1443</v>
      </c>
      <c r="I100" s="186" t="s">
        <v>111</v>
      </c>
      <c r="J100" s="185" t="s">
        <v>1741</v>
      </c>
      <c r="K100" s="35" t="s">
        <v>111</v>
      </c>
    </row>
    <row r="101">
      <c r="A101" s="183" t="s">
        <v>322</v>
      </c>
      <c r="B101" s="35" t="s">
        <v>1772</v>
      </c>
      <c r="C101" s="187" t="s">
        <v>1653</v>
      </c>
      <c r="D101" s="187" t="s">
        <v>1654</v>
      </c>
      <c r="E101" s="187" t="s">
        <v>1638</v>
      </c>
      <c r="F101" s="187" t="s">
        <v>1560</v>
      </c>
      <c r="G101" s="187" t="s">
        <v>1561</v>
      </c>
      <c r="H101" s="185" t="s">
        <v>1443</v>
      </c>
      <c r="I101" s="186" t="s">
        <v>111</v>
      </c>
      <c r="J101" s="185" t="s">
        <v>1741</v>
      </c>
      <c r="K101" s="35" t="s">
        <v>111</v>
      </c>
    </row>
    <row r="102">
      <c r="A102" s="183" t="s">
        <v>322</v>
      </c>
      <c r="B102" s="35" t="s">
        <v>1773</v>
      </c>
      <c r="C102" s="187" t="s">
        <v>1656</v>
      </c>
      <c r="D102" s="187" t="s">
        <v>1564</v>
      </c>
      <c r="E102" s="187" t="s">
        <v>1638</v>
      </c>
      <c r="F102" s="187" t="s">
        <v>1657</v>
      </c>
      <c r="G102" s="187" t="s">
        <v>1566</v>
      </c>
      <c r="H102" s="185" t="s">
        <v>1443</v>
      </c>
      <c r="I102" s="186" t="s">
        <v>111</v>
      </c>
      <c r="J102" s="185" t="s">
        <v>1741</v>
      </c>
      <c r="K102" s="35" t="s">
        <v>111</v>
      </c>
    </row>
    <row r="103">
      <c r="A103" s="183" t="s">
        <v>322</v>
      </c>
      <c r="B103" s="35" t="s">
        <v>1774</v>
      </c>
      <c r="C103" s="187" t="s">
        <v>1659</v>
      </c>
      <c r="D103" s="187" t="s">
        <v>1569</v>
      </c>
      <c r="E103" s="187" t="s">
        <v>1638</v>
      </c>
      <c r="F103" s="187" t="s">
        <v>1570</v>
      </c>
      <c r="G103" s="187" t="s">
        <v>1571</v>
      </c>
      <c r="H103" s="185" t="s">
        <v>1443</v>
      </c>
      <c r="I103" s="186" t="s">
        <v>111</v>
      </c>
      <c r="J103" s="185" t="s">
        <v>1741</v>
      </c>
      <c r="K103" s="35" t="s">
        <v>111</v>
      </c>
    </row>
    <row r="104">
      <c r="A104" s="183" t="s">
        <v>322</v>
      </c>
      <c r="B104" s="35" t="s">
        <v>1775</v>
      </c>
      <c r="C104" s="187" t="s">
        <v>1661</v>
      </c>
      <c r="D104" s="187" t="s">
        <v>1574</v>
      </c>
      <c r="E104" s="187" t="s">
        <v>1638</v>
      </c>
      <c r="F104" s="187" t="s">
        <v>1575</v>
      </c>
      <c r="G104" s="187" t="s">
        <v>1576</v>
      </c>
      <c r="H104" s="185" t="s">
        <v>1443</v>
      </c>
      <c r="I104" s="186" t="s">
        <v>111</v>
      </c>
      <c r="J104" s="185" t="s">
        <v>1741</v>
      </c>
      <c r="K104" s="35" t="s">
        <v>111</v>
      </c>
    </row>
    <row r="105">
      <c r="A105" s="183" t="s">
        <v>322</v>
      </c>
      <c r="B105" s="35" t="s">
        <v>1776</v>
      </c>
      <c r="C105" s="187" t="s">
        <v>1663</v>
      </c>
      <c r="D105" s="187" t="s">
        <v>1580</v>
      </c>
      <c r="E105" s="187" t="s">
        <v>1638</v>
      </c>
      <c r="F105" s="187" t="s">
        <v>1581</v>
      </c>
      <c r="G105" s="187" t="s">
        <v>1582</v>
      </c>
      <c r="H105" s="185" t="s">
        <v>1443</v>
      </c>
      <c r="I105" s="186" t="s">
        <v>111</v>
      </c>
      <c r="J105" s="185" t="s">
        <v>1741</v>
      </c>
      <c r="K105" s="35" t="s">
        <v>111</v>
      </c>
    </row>
    <row r="106">
      <c r="A106" s="183" t="s">
        <v>322</v>
      </c>
      <c r="B106" s="35" t="s">
        <v>1777</v>
      </c>
      <c r="C106" s="187" t="s">
        <v>1666</v>
      </c>
      <c r="D106" s="187" t="s">
        <v>1667</v>
      </c>
      <c r="E106" s="187" t="s">
        <v>1668</v>
      </c>
      <c r="F106" s="187" t="s">
        <v>1669</v>
      </c>
      <c r="G106" s="187" t="s">
        <v>1670</v>
      </c>
      <c r="H106" s="185" t="s">
        <v>1443</v>
      </c>
      <c r="I106" s="186" t="s">
        <v>111</v>
      </c>
      <c r="J106" s="185" t="s">
        <v>1741</v>
      </c>
      <c r="K106" s="35" t="s">
        <v>111</v>
      </c>
    </row>
    <row r="107">
      <c r="A107" s="183" t="s">
        <v>322</v>
      </c>
      <c r="B107" s="35" t="s">
        <v>1778</v>
      </c>
      <c r="C107" s="187" t="s">
        <v>1672</v>
      </c>
      <c r="D107" s="187" t="s">
        <v>1673</v>
      </c>
      <c r="E107" s="187" t="s">
        <v>1674</v>
      </c>
      <c r="F107" s="187" t="s">
        <v>1675</v>
      </c>
      <c r="G107" s="187" t="s">
        <v>1676</v>
      </c>
      <c r="H107" s="185" t="s">
        <v>1443</v>
      </c>
      <c r="I107" s="186" t="s">
        <v>111</v>
      </c>
      <c r="J107" s="185" t="s">
        <v>1741</v>
      </c>
      <c r="K107" s="35" t="s">
        <v>111</v>
      </c>
    </row>
    <row r="108">
      <c r="A108" s="183" t="s">
        <v>322</v>
      </c>
      <c r="B108" s="35" t="s">
        <v>1779</v>
      </c>
      <c r="C108" s="187" t="s">
        <v>1678</v>
      </c>
      <c r="D108" s="187" t="s">
        <v>1679</v>
      </c>
      <c r="E108" s="187" t="s">
        <v>1680</v>
      </c>
      <c r="F108" s="187" t="s">
        <v>1681</v>
      </c>
      <c r="G108" s="187" t="s">
        <v>1682</v>
      </c>
      <c r="H108" s="185" t="s">
        <v>1443</v>
      </c>
      <c r="I108" s="186" t="s">
        <v>111</v>
      </c>
      <c r="J108" s="185" t="s">
        <v>1741</v>
      </c>
      <c r="K108" s="35" t="s">
        <v>111</v>
      </c>
    </row>
    <row r="109">
      <c r="A109" s="183" t="s">
        <v>322</v>
      </c>
      <c r="B109" s="35" t="s">
        <v>1780</v>
      </c>
      <c r="C109" s="187" t="s">
        <v>1684</v>
      </c>
      <c r="D109" s="187" t="s">
        <v>1679</v>
      </c>
      <c r="E109" s="187" t="s">
        <v>1680</v>
      </c>
      <c r="F109" s="187" t="s">
        <v>1681</v>
      </c>
      <c r="G109" s="187" t="s">
        <v>1682</v>
      </c>
      <c r="H109" s="185" t="s">
        <v>1443</v>
      </c>
      <c r="I109" s="186" t="s">
        <v>111</v>
      </c>
      <c r="J109" s="185" t="s">
        <v>1741</v>
      </c>
      <c r="K109" s="35" t="s">
        <v>111</v>
      </c>
    </row>
    <row r="110">
      <c r="A110" s="183" t="s">
        <v>322</v>
      </c>
      <c r="B110" s="35" t="s">
        <v>1781</v>
      </c>
      <c r="C110" s="187" t="s">
        <v>1686</v>
      </c>
      <c r="D110" s="187" t="s">
        <v>1687</v>
      </c>
      <c r="E110" s="187" t="s">
        <v>1688</v>
      </c>
      <c r="F110" s="187" t="s">
        <v>1689</v>
      </c>
      <c r="G110" s="187" t="s">
        <v>1690</v>
      </c>
      <c r="H110" s="185" t="s">
        <v>1443</v>
      </c>
      <c r="I110" s="186" t="s">
        <v>111</v>
      </c>
      <c r="J110" s="185" t="s">
        <v>1741</v>
      </c>
      <c r="K110" s="35" t="s">
        <v>111</v>
      </c>
    </row>
    <row r="111">
      <c r="A111" s="183" t="s">
        <v>322</v>
      </c>
      <c r="B111" s="35" t="s">
        <v>1782</v>
      </c>
      <c r="C111" s="187" t="s">
        <v>1692</v>
      </c>
      <c r="D111" s="187" t="s">
        <v>1693</v>
      </c>
      <c r="E111" s="187" t="s">
        <v>1694</v>
      </c>
      <c r="F111" s="187" t="s">
        <v>1554</v>
      </c>
      <c r="G111" s="187" t="s">
        <v>1555</v>
      </c>
      <c r="H111" s="185" t="s">
        <v>1443</v>
      </c>
      <c r="I111" s="186" t="s">
        <v>111</v>
      </c>
      <c r="J111" s="185" t="s">
        <v>1741</v>
      </c>
      <c r="K111" s="35" t="s">
        <v>111</v>
      </c>
    </row>
    <row r="112">
      <c r="A112" s="183" t="s">
        <v>322</v>
      </c>
      <c r="B112" s="35" t="s">
        <v>1783</v>
      </c>
      <c r="C112" s="187" t="s">
        <v>1696</v>
      </c>
      <c r="D112" s="187" t="s">
        <v>1564</v>
      </c>
      <c r="E112" s="187" t="s">
        <v>1697</v>
      </c>
      <c r="F112" s="187" t="s">
        <v>1657</v>
      </c>
      <c r="G112" s="187" t="s">
        <v>1566</v>
      </c>
      <c r="H112" s="185" t="s">
        <v>1443</v>
      </c>
      <c r="I112" s="186" t="s">
        <v>111</v>
      </c>
      <c r="J112" s="185" t="s">
        <v>1741</v>
      </c>
      <c r="K112" s="35" t="s">
        <v>111</v>
      </c>
    </row>
    <row r="113">
      <c r="A113" s="183" t="s">
        <v>322</v>
      </c>
      <c r="B113" s="35" t="s">
        <v>1784</v>
      </c>
      <c r="C113" s="187" t="s">
        <v>1699</v>
      </c>
      <c r="D113" s="187" t="s">
        <v>1700</v>
      </c>
      <c r="E113" s="187" t="s">
        <v>1701</v>
      </c>
      <c r="F113" s="187" t="s">
        <v>1560</v>
      </c>
      <c r="G113" s="187" t="s">
        <v>1561</v>
      </c>
      <c r="H113" s="185" t="s">
        <v>1443</v>
      </c>
      <c r="I113" s="186" t="s">
        <v>111</v>
      </c>
      <c r="J113" s="185" t="s">
        <v>1741</v>
      </c>
      <c r="K113" s="35" t="s">
        <v>111</v>
      </c>
    </row>
    <row r="114">
      <c r="A114" s="183" t="s">
        <v>322</v>
      </c>
      <c r="B114" s="35" t="s">
        <v>1785</v>
      </c>
      <c r="C114" s="187" t="s">
        <v>1703</v>
      </c>
      <c r="D114" s="187" t="s">
        <v>1569</v>
      </c>
      <c r="E114" s="187" t="s">
        <v>1622</v>
      </c>
      <c r="F114" s="187" t="s">
        <v>1570</v>
      </c>
      <c r="G114" s="187" t="s">
        <v>1571</v>
      </c>
      <c r="H114" s="185" t="s">
        <v>1443</v>
      </c>
      <c r="I114" s="186" t="s">
        <v>111</v>
      </c>
      <c r="J114" s="185" t="s">
        <v>1741</v>
      </c>
      <c r="K114" s="35" t="s">
        <v>111</v>
      </c>
    </row>
    <row r="115">
      <c r="A115" s="183" t="s">
        <v>322</v>
      </c>
      <c r="B115" s="35" t="s">
        <v>1786</v>
      </c>
      <c r="C115" s="187" t="s">
        <v>1705</v>
      </c>
      <c r="D115" s="187" t="s">
        <v>1574</v>
      </c>
      <c r="E115" s="187" t="s">
        <v>1622</v>
      </c>
      <c r="F115" s="187" t="s">
        <v>1575</v>
      </c>
      <c r="G115" s="187" t="s">
        <v>1576</v>
      </c>
      <c r="H115" s="185" t="s">
        <v>1443</v>
      </c>
      <c r="I115" s="186" t="s">
        <v>111</v>
      </c>
      <c r="J115" s="185" t="s">
        <v>1741</v>
      </c>
      <c r="K115" s="35" t="s">
        <v>111</v>
      </c>
    </row>
    <row r="116">
      <c r="A116" s="183" t="s">
        <v>322</v>
      </c>
      <c r="B116" s="35" t="s">
        <v>1787</v>
      </c>
      <c r="C116" s="187" t="s">
        <v>1707</v>
      </c>
      <c r="D116" s="187" t="s">
        <v>1580</v>
      </c>
      <c r="E116" s="187" t="s">
        <v>1622</v>
      </c>
      <c r="F116" s="187" t="s">
        <v>1581</v>
      </c>
      <c r="G116" s="187" t="s">
        <v>1582</v>
      </c>
      <c r="H116" s="185" t="s">
        <v>1443</v>
      </c>
      <c r="I116" s="186" t="s">
        <v>111</v>
      </c>
      <c r="J116" s="185" t="s">
        <v>1741</v>
      </c>
      <c r="K116" s="35" t="s">
        <v>111</v>
      </c>
    </row>
    <row r="117">
      <c r="A117" s="183" t="s">
        <v>322</v>
      </c>
      <c r="B117" s="35" t="s">
        <v>1788</v>
      </c>
      <c r="C117" s="187" t="s">
        <v>1709</v>
      </c>
      <c r="D117" s="187" t="s">
        <v>1710</v>
      </c>
      <c r="E117" s="187" t="s">
        <v>1622</v>
      </c>
      <c r="F117" s="187" t="s">
        <v>1711</v>
      </c>
      <c r="G117" s="187" t="s">
        <v>1712</v>
      </c>
      <c r="H117" s="185" t="s">
        <v>1443</v>
      </c>
      <c r="I117" s="186" t="s">
        <v>111</v>
      </c>
      <c r="J117" s="185" t="s">
        <v>1741</v>
      </c>
      <c r="K117" s="35" t="s">
        <v>111</v>
      </c>
    </row>
    <row r="118">
      <c r="A118" s="183" t="s">
        <v>322</v>
      </c>
      <c r="B118" s="35" t="s">
        <v>1789</v>
      </c>
      <c r="C118" s="187" t="s">
        <v>1714</v>
      </c>
      <c r="D118" s="187" t="s">
        <v>1715</v>
      </c>
      <c r="E118" s="187" t="s">
        <v>1716</v>
      </c>
      <c r="F118" s="187" t="s">
        <v>1717</v>
      </c>
      <c r="G118" s="187" t="s">
        <v>1718</v>
      </c>
      <c r="H118" s="185" t="s">
        <v>1443</v>
      </c>
      <c r="I118" s="186" t="s">
        <v>111</v>
      </c>
      <c r="J118" s="185" t="s">
        <v>1741</v>
      </c>
      <c r="K118" s="35" t="s">
        <v>111</v>
      </c>
    </row>
    <row r="119">
      <c r="A119" s="183" t="s">
        <v>322</v>
      </c>
      <c r="B119" s="35" t="s">
        <v>1790</v>
      </c>
      <c r="C119" s="187" t="s">
        <v>1720</v>
      </c>
      <c r="D119" s="187" t="s">
        <v>1721</v>
      </c>
      <c r="E119" s="187" t="s">
        <v>1722</v>
      </c>
      <c r="F119" s="187" t="s">
        <v>1723</v>
      </c>
      <c r="G119" s="187" t="s">
        <v>1628</v>
      </c>
      <c r="H119" s="185" t="s">
        <v>1443</v>
      </c>
      <c r="I119" s="186" t="s">
        <v>111</v>
      </c>
      <c r="J119" s="185" t="s">
        <v>1741</v>
      </c>
      <c r="K119" s="35" t="s">
        <v>111</v>
      </c>
    </row>
    <row r="120">
      <c r="A120" s="183" t="s">
        <v>322</v>
      </c>
      <c r="B120" s="35" t="s">
        <v>1791</v>
      </c>
      <c r="C120" s="35" t="s">
        <v>1725</v>
      </c>
      <c r="D120" s="35" t="s">
        <v>1726</v>
      </c>
      <c r="E120" s="35" t="s">
        <v>1727</v>
      </c>
      <c r="F120" s="35" t="s">
        <v>1728</v>
      </c>
      <c r="G120" s="35" t="s">
        <v>1729</v>
      </c>
      <c r="H120" s="185" t="s">
        <v>1443</v>
      </c>
      <c r="I120" s="186" t="s">
        <v>111</v>
      </c>
      <c r="J120" s="185" t="s">
        <v>1741</v>
      </c>
      <c r="K120" s="35" t="s">
        <v>111</v>
      </c>
    </row>
    <row r="121">
      <c r="A121" s="183" t="s">
        <v>355</v>
      </c>
      <c r="B121" s="35" t="s">
        <v>1792</v>
      </c>
      <c r="C121" s="35" t="s">
        <v>1438</v>
      </c>
      <c r="D121" s="35" t="s">
        <v>1439</v>
      </c>
      <c r="E121" s="184" t="s">
        <v>1440</v>
      </c>
      <c r="F121" s="183" t="s">
        <v>1441</v>
      </c>
      <c r="G121" s="35" t="s">
        <v>1442</v>
      </c>
      <c r="H121" s="185" t="s">
        <v>1443</v>
      </c>
      <c r="I121" s="186" t="s">
        <v>36</v>
      </c>
      <c r="J121" s="56"/>
      <c r="K121" s="35" t="s">
        <v>36</v>
      </c>
    </row>
    <row r="122">
      <c r="A122" s="183" t="s">
        <v>355</v>
      </c>
      <c r="B122" s="35" t="s">
        <v>1793</v>
      </c>
      <c r="C122" s="187" t="s">
        <v>1446</v>
      </c>
      <c r="D122" s="187" t="s">
        <v>1447</v>
      </c>
      <c r="E122" s="187" t="s">
        <v>1448</v>
      </c>
      <c r="F122" s="187" t="s">
        <v>1449</v>
      </c>
      <c r="G122" s="187" t="s">
        <v>1450</v>
      </c>
      <c r="H122" s="185" t="s">
        <v>1443</v>
      </c>
      <c r="I122" s="186" t="s">
        <v>36</v>
      </c>
      <c r="J122" s="56"/>
      <c r="K122" s="35" t="s">
        <v>36</v>
      </c>
    </row>
    <row r="123">
      <c r="A123" s="183" t="s">
        <v>355</v>
      </c>
      <c r="B123" s="35" t="s">
        <v>1794</v>
      </c>
      <c r="C123" s="187" t="s">
        <v>1453</v>
      </c>
      <c r="D123" s="187" t="s">
        <v>1454</v>
      </c>
      <c r="E123" s="187" t="s">
        <v>1448</v>
      </c>
      <c r="F123" s="187" t="s">
        <v>1455</v>
      </c>
      <c r="G123" s="187" t="s">
        <v>1456</v>
      </c>
      <c r="H123" s="185" t="s">
        <v>1443</v>
      </c>
      <c r="I123" s="186" t="s">
        <v>36</v>
      </c>
      <c r="J123" s="56"/>
      <c r="K123" s="35" t="s">
        <v>36</v>
      </c>
    </row>
    <row r="124">
      <c r="A124" s="183" t="s">
        <v>355</v>
      </c>
      <c r="B124" s="35" t="s">
        <v>1795</v>
      </c>
      <c r="C124" s="187" t="s">
        <v>1459</v>
      </c>
      <c r="D124" s="187" t="s">
        <v>1460</v>
      </c>
      <c r="E124" s="187" t="s">
        <v>1448</v>
      </c>
      <c r="F124" s="187" t="s">
        <v>1461</v>
      </c>
      <c r="G124" s="187" t="s">
        <v>1462</v>
      </c>
      <c r="H124" s="185" t="s">
        <v>1443</v>
      </c>
      <c r="I124" s="186" t="s">
        <v>36</v>
      </c>
      <c r="J124" s="56"/>
      <c r="K124" s="35" t="s">
        <v>36</v>
      </c>
    </row>
    <row r="125">
      <c r="A125" s="183" t="s">
        <v>355</v>
      </c>
      <c r="B125" s="35" t="s">
        <v>1796</v>
      </c>
      <c r="C125" s="183" t="s">
        <v>1465</v>
      </c>
      <c r="D125" s="183" t="s">
        <v>1466</v>
      </c>
      <c r="E125" s="187" t="s">
        <v>1448</v>
      </c>
      <c r="F125" s="183" t="s">
        <v>1467</v>
      </c>
      <c r="G125" s="183" t="s">
        <v>1468</v>
      </c>
      <c r="H125" s="185" t="s">
        <v>1443</v>
      </c>
      <c r="I125" s="186" t="s">
        <v>111</v>
      </c>
      <c r="J125" s="35" t="s">
        <v>1469</v>
      </c>
      <c r="K125" s="35" t="s">
        <v>111</v>
      </c>
    </row>
    <row r="126">
      <c r="A126" s="183" t="s">
        <v>355</v>
      </c>
      <c r="B126" s="35" t="s">
        <v>1797</v>
      </c>
      <c r="C126" s="183" t="s">
        <v>1471</v>
      </c>
      <c r="D126" s="183" t="s">
        <v>1472</v>
      </c>
      <c r="E126" s="187" t="s">
        <v>1448</v>
      </c>
      <c r="F126" s="183" t="s">
        <v>1473</v>
      </c>
      <c r="G126" s="183" t="s">
        <v>1474</v>
      </c>
      <c r="H126" s="185" t="s">
        <v>1443</v>
      </c>
      <c r="I126" s="186" t="s">
        <v>111</v>
      </c>
      <c r="J126" s="35" t="s">
        <v>1475</v>
      </c>
      <c r="K126" s="35" t="s">
        <v>111</v>
      </c>
    </row>
    <row r="127">
      <c r="A127" s="183" t="s">
        <v>355</v>
      </c>
      <c r="B127" s="35" t="s">
        <v>1798</v>
      </c>
      <c r="C127" s="183" t="s">
        <v>1477</v>
      </c>
      <c r="D127" s="183" t="s">
        <v>1478</v>
      </c>
      <c r="E127" s="187" t="s">
        <v>1448</v>
      </c>
      <c r="F127" s="183" t="s">
        <v>1479</v>
      </c>
      <c r="G127" s="183" t="s">
        <v>1468</v>
      </c>
      <c r="H127" s="185" t="s">
        <v>1443</v>
      </c>
      <c r="I127" s="186" t="s">
        <v>111</v>
      </c>
      <c r="J127" s="35" t="s">
        <v>1469</v>
      </c>
      <c r="K127" s="35" t="s">
        <v>111</v>
      </c>
    </row>
    <row r="128">
      <c r="A128" s="183" t="s">
        <v>355</v>
      </c>
      <c r="B128" s="35" t="s">
        <v>1799</v>
      </c>
      <c r="C128" s="183" t="s">
        <v>1481</v>
      </c>
      <c r="D128" s="183" t="s">
        <v>1472</v>
      </c>
      <c r="E128" s="187" t="s">
        <v>1448</v>
      </c>
      <c r="F128" s="183" t="s">
        <v>1482</v>
      </c>
      <c r="G128" s="183" t="s">
        <v>1474</v>
      </c>
      <c r="H128" s="185" t="s">
        <v>1443</v>
      </c>
      <c r="I128" s="186" t="s">
        <v>111</v>
      </c>
      <c r="J128" s="183" t="s">
        <v>1475</v>
      </c>
      <c r="K128" s="35" t="s">
        <v>111</v>
      </c>
    </row>
    <row r="129">
      <c r="A129" s="183" t="s">
        <v>355</v>
      </c>
      <c r="B129" s="35" t="s">
        <v>1800</v>
      </c>
      <c r="C129" s="183" t="s">
        <v>1484</v>
      </c>
      <c r="D129" s="183" t="s">
        <v>1472</v>
      </c>
      <c r="E129" s="187" t="s">
        <v>1448</v>
      </c>
      <c r="F129" s="183" t="s">
        <v>1485</v>
      </c>
      <c r="G129" s="183" t="s">
        <v>1486</v>
      </c>
      <c r="H129" s="185" t="s">
        <v>1443</v>
      </c>
      <c r="I129" s="186" t="s">
        <v>111</v>
      </c>
      <c r="J129" s="183" t="s">
        <v>1475</v>
      </c>
      <c r="K129" s="35" t="s">
        <v>111</v>
      </c>
    </row>
    <row r="130">
      <c r="A130" s="183" t="s">
        <v>355</v>
      </c>
      <c r="B130" s="35" t="s">
        <v>1801</v>
      </c>
      <c r="C130" s="187" t="s">
        <v>1488</v>
      </c>
      <c r="D130" s="187" t="s">
        <v>1489</v>
      </c>
      <c r="E130" s="187" t="s">
        <v>1490</v>
      </c>
      <c r="F130" s="187" t="s">
        <v>1491</v>
      </c>
      <c r="G130" s="187" t="s">
        <v>1492</v>
      </c>
      <c r="H130" s="185" t="s">
        <v>1443</v>
      </c>
      <c r="I130" s="186" t="s">
        <v>36</v>
      </c>
      <c r="J130" s="56"/>
      <c r="K130" s="35" t="s">
        <v>36</v>
      </c>
    </row>
    <row r="131">
      <c r="A131" s="183" t="s">
        <v>355</v>
      </c>
      <c r="B131" s="35" t="s">
        <v>1802</v>
      </c>
      <c r="C131" s="187" t="s">
        <v>1494</v>
      </c>
      <c r="D131" s="183" t="s">
        <v>1495</v>
      </c>
      <c r="E131" s="187" t="s">
        <v>1496</v>
      </c>
      <c r="F131" s="187" t="s">
        <v>1497</v>
      </c>
      <c r="G131" s="187" t="s">
        <v>1498</v>
      </c>
      <c r="H131" s="185" t="s">
        <v>1443</v>
      </c>
      <c r="I131" s="186" t="s">
        <v>111</v>
      </c>
      <c r="J131" s="35" t="s">
        <v>1499</v>
      </c>
      <c r="K131" s="35" t="s">
        <v>111</v>
      </c>
    </row>
    <row r="132">
      <c r="A132" s="183" t="s">
        <v>355</v>
      </c>
      <c r="B132" s="35" t="s">
        <v>1803</v>
      </c>
      <c r="C132" s="187" t="s">
        <v>1501</v>
      </c>
      <c r="D132" s="187" t="s">
        <v>1502</v>
      </c>
      <c r="E132" s="187" t="s">
        <v>1503</v>
      </c>
      <c r="F132" s="187" t="s">
        <v>1491</v>
      </c>
      <c r="G132" s="187" t="s">
        <v>1504</v>
      </c>
      <c r="H132" s="185" t="s">
        <v>1443</v>
      </c>
      <c r="I132" s="186" t="s">
        <v>36</v>
      </c>
      <c r="J132" s="56"/>
      <c r="K132" s="35" t="s">
        <v>36</v>
      </c>
    </row>
    <row r="133">
      <c r="A133" s="183" t="s">
        <v>355</v>
      </c>
      <c r="B133" s="35" t="s">
        <v>1804</v>
      </c>
      <c r="C133" s="187" t="s">
        <v>1506</v>
      </c>
      <c r="D133" s="187" t="s">
        <v>1507</v>
      </c>
      <c r="E133" s="187" t="s">
        <v>1508</v>
      </c>
      <c r="F133" s="187" t="s">
        <v>1491</v>
      </c>
      <c r="G133" s="187" t="s">
        <v>1509</v>
      </c>
      <c r="H133" s="185" t="s">
        <v>1443</v>
      </c>
      <c r="I133" s="186" t="s">
        <v>36</v>
      </c>
      <c r="J133" s="56"/>
      <c r="K133" s="35" t="s">
        <v>36</v>
      </c>
    </row>
    <row r="134">
      <c r="A134" s="183" t="s">
        <v>355</v>
      </c>
      <c r="B134" s="35" t="s">
        <v>1805</v>
      </c>
      <c r="C134" s="187" t="s">
        <v>1511</v>
      </c>
      <c r="D134" s="187" t="s">
        <v>1512</v>
      </c>
      <c r="E134" s="187" t="s">
        <v>1513</v>
      </c>
      <c r="F134" s="187" t="s">
        <v>1491</v>
      </c>
      <c r="G134" s="187" t="s">
        <v>1514</v>
      </c>
      <c r="H134" s="185" t="s">
        <v>1443</v>
      </c>
      <c r="I134" s="186" t="s">
        <v>36</v>
      </c>
      <c r="J134" s="56"/>
      <c r="K134" s="35" t="s">
        <v>36</v>
      </c>
    </row>
    <row r="135">
      <c r="A135" s="183" t="s">
        <v>355</v>
      </c>
      <c r="B135" s="35" t="s">
        <v>1806</v>
      </c>
      <c r="C135" s="187" t="s">
        <v>1516</v>
      </c>
      <c r="D135" s="187" t="s">
        <v>1517</v>
      </c>
      <c r="E135" s="187" t="s">
        <v>1518</v>
      </c>
      <c r="F135" s="187" t="s">
        <v>1519</v>
      </c>
      <c r="G135" s="187" t="s">
        <v>1520</v>
      </c>
      <c r="H135" s="185" t="s">
        <v>1443</v>
      </c>
      <c r="I135" s="186" t="s">
        <v>111</v>
      </c>
      <c r="J135" s="35" t="s">
        <v>1521</v>
      </c>
      <c r="K135" s="35" t="s">
        <v>111</v>
      </c>
    </row>
    <row r="136">
      <c r="A136" s="183" t="s">
        <v>355</v>
      </c>
      <c r="B136" s="35" t="s">
        <v>1807</v>
      </c>
      <c r="C136" s="187" t="s">
        <v>1523</v>
      </c>
      <c r="D136" s="187" t="s">
        <v>1524</v>
      </c>
      <c r="E136" s="187" t="s">
        <v>1525</v>
      </c>
      <c r="F136" s="187" t="s">
        <v>1526</v>
      </c>
      <c r="G136" s="187" t="s">
        <v>1527</v>
      </c>
      <c r="H136" s="185" t="s">
        <v>1443</v>
      </c>
      <c r="I136" s="186" t="s">
        <v>111</v>
      </c>
      <c r="J136" s="35" t="s">
        <v>1521</v>
      </c>
      <c r="K136" s="35" t="s">
        <v>111</v>
      </c>
    </row>
    <row r="137">
      <c r="A137" s="183" t="s">
        <v>355</v>
      </c>
      <c r="B137" s="35" t="s">
        <v>1808</v>
      </c>
      <c r="C137" s="187" t="s">
        <v>1529</v>
      </c>
      <c r="D137" s="187" t="s">
        <v>1530</v>
      </c>
      <c r="E137" s="187" t="s">
        <v>1531</v>
      </c>
      <c r="F137" s="187" t="s">
        <v>1532</v>
      </c>
      <c r="G137" s="187" t="s">
        <v>1533</v>
      </c>
      <c r="H137" s="185" t="s">
        <v>1443</v>
      </c>
      <c r="I137" s="186" t="s">
        <v>111</v>
      </c>
      <c r="J137" s="35" t="s">
        <v>1521</v>
      </c>
      <c r="K137" s="35" t="s">
        <v>111</v>
      </c>
    </row>
    <row r="138">
      <c r="A138" s="183" t="s">
        <v>355</v>
      </c>
      <c r="B138" s="35" t="s">
        <v>1809</v>
      </c>
      <c r="C138" s="187" t="s">
        <v>1535</v>
      </c>
      <c r="D138" s="187" t="s">
        <v>1536</v>
      </c>
      <c r="E138" s="187" t="s">
        <v>1537</v>
      </c>
      <c r="F138" s="187" t="s">
        <v>1538</v>
      </c>
      <c r="G138" s="187" t="s">
        <v>1539</v>
      </c>
      <c r="H138" s="185" t="s">
        <v>1443</v>
      </c>
      <c r="I138" s="186" t="s">
        <v>111</v>
      </c>
      <c r="J138" s="35" t="s">
        <v>1521</v>
      </c>
      <c r="K138" s="35" t="s">
        <v>111</v>
      </c>
    </row>
    <row r="139">
      <c r="A139" s="183" t="s">
        <v>355</v>
      </c>
      <c r="B139" s="35" t="s">
        <v>1810</v>
      </c>
      <c r="C139" s="187" t="s">
        <v>1541</v>
      </c>
      <c r="D139" s="187" t="s">
        <v>1542</v>
      </c>
      <c r="E139" s="187" t="s">
        <v>1543</v>
      </c>
      <c r="F139" s="187" t="s">
        <v>1544</v>
      </c>
      <c r="G139" s="187" t="s">
        <v>1545</v>
      </c>
      <c r="H139" s="185" t="s">
        <v>1443</v>
      </c>
      <c r="I139" s="186" t="s">
        <v>36</v>
      </c>
      <c r="J139" s="56"/>
      <c r="K139" s="35" t="s">
        <v>36</v>
      </c>
    </row>
    <row r="140">
      <c r="A140" s="183" t="s">
        <v>355</v>
      </c>
      <c r="B140" s="35" t="s">
        <v>1811</v>
      </c>
      <c r="C140" s="187" t="s">
        <v>1547</v>
      </c>
      <c r="D140" s="187" t="s">
        <v>1548</v>
      </c>
      <c r="E140" s="187" t="s">
        <v>1448</v>
      </c>
      <c r="F140" s="187" t="s">
        <v>1549</v>
      </c>
      <c r="G140" s="187" t="s">
        <v>1550</v>
      </c>
      <c r="H140" s="185" t="s">
        <v>1443</v>
      </c>
      <c r="I140" s="186" t="s">
        <v>111</v>
      </c>
      <c r="J140" s="56"/>
      <c r="K140" s="35" t="s">
        <v>111</v>
      </c>
    </row>
    <row r="141">
      <c r="A141" s="183" t="s">
        <v>355</v>
      </c>
      <c r="B141" s="35" t="s">
        <v>1812</v>
      </c>
      <c r="C141" s="187" t="s">
        <v>1552</v>
      </c>
      <c r="D141" s="187" t="s">
        <v>1553</v>
      </c>
      <c r="E141" s="187" t="s">
        <v>1448</v>
      </c>
      <c r="F141" s="187" t="s">
        <v>1554</v>
      </c>
      <c r="G141" s="187" t="s">
        <v>1555</v>
      </c>
      <c r="H141" s="185" t="s">
        <v>1443</v>
      </c>
      <c r="I141" s="186" t="s">
        <v>111</v>
      </c>
      <c r="J141" s="35" t="s">
        <v>1556</v>
      </c>
      <c r="K141" s="35" t="s">
        <v>111</v>
      </c>
    </row>
    <row r="142">
      <c r="A142" s="183" t="s">
        <v>355</v>
      </c>
      <c r="B142" s="35" t="s">
        <v>1813</v>
      </c>
      <c r="C142" s="187" t="s">
        <v>1558</v>
      </c>
      <c r="D142" s="187" t="s">
        <v>1559</v>
      </c>
      <c r="E142" s="187" t="s">
        <v>1448</v>
      </c>
      <c r="F142" s="187" t="s">
        <v>1560</v>
      </c>
      <c r="G142" s="187" t="s">
        <v>1561</v>
      </c>
      <c r="H142" s="185" t="s">
        <v>1443</v>
      </c>
      <c r="I142" s="186" t="s">
        <v>36</v>
      </c>
      <c r="J142" s="35"/>
      <c r="K142" s="35" t="s">
        <v>36</v>
      </c>
    </row>
    <row r="143">
      <c r="A143" s="183" t="s">
        <v>355</v>
      </c>
      <c r="B143" s="35" t="s">
        <v>1814</v>
      </c>
      <c r="C143" s="187" t="s">
        <v>1563</v>
      </c>
      <c r="D143" s="187" t="s">
        <v>1564</v>
      </c>
      <c r="E143" s="187" t="s">
        <v>1448</v>
      </c>
      <c r="F143" s="187" t="s">
        <v>1565</v>
      </c>
      <c r="G143" s="187" t="s">
        <v>1566</v>
      </c>
      <c r="H143" s="185" t="s">
        <v>1443</v>
      </c>
      <c r="I143" s="186" t="s">
        <v>36</v>
      </c>
      <c r="J143" s="35"/>
      <c r="K143" s="35" t="s">
        <v>36</v>
      </c>
    </row>
    <row r="144">
      <c r="A144" s="183" t="s">
        <v>355</v>
      </c>
      <c r="B144" s="35" t="s">
        <v>1815</v>
      </c>
      <c r="C144" s="187" t="s">
        <v>1568</v>
      </c>
      <c r="D144" s="187" t="s">
        <v>1569</v>
      </c>
      <c r="E144" s="187" t="s">
        <v>1448</v>
      </c>
      <c r="F144" s="187" t="s">
        <v>1570</v>
      </c>
      <c r="G144" s="187" t="s">
        <v>1571</v>
      </c>
      <c r="H144" s="185" t="s">
        <v>1443</v>
      </c>
      <c r="I144" s="186" t="s">
        <v>36</v>
      </c>
      <c r="J144" s="56"/>
      <c r="K144" s="35" t="s">
        <v>36</v>
      </c>
    </row>
    <row r="145">
      <c r="A145" s="183" t="s">
        <v>355</v>
      </c>
      <c r="B145" s="35" t="s">
        <v>1816</v>
      </c>
      <c r="C145" s="187" t="s">
        <v>1573</v>
      </c>
      <c r="D145" s="187" t="s">
        <v>1574</v>
      </c>
      <c r="E145" s="187" t="s">
        <v>1448</v>
      </c>
      <c r="F145" s="187" t="s">
        <v>1575</v>
      </c>
      <c r="G145" s="187" t="s">
        <v>1576</v>
      </c>
      <c r="H145" s="185" t="s">
        <v>1443</v>
      </c>
      <c r="I145" s="186" t="s">
        <v>111</v>
      </c>
      <c r="J145" s="35" t="s">
        <v>1577</v>
      </c>
      <c r="K145" s="35" t="s">
        <v>111</v>
      </c>
    </row>
    <row r="146">
      <c r="A146" s="183" t="s">
        <v>355</v>
      </c>
      <c r="B146" s="35" t="s">
        <v>1817</v>
      </c>
      <c r="C146" s="187" t="s">
        <v>1579</v>
      </c>
      <c r="D146" s="187" t="s">
        <v>1580</v>
      </c>
      <c r="E146" s="187" t="s">
        <v>1448</v>
      </c>
      <c r="F146" s="187" t="s">
        <v>1581</v>
      </c>
      <c r="G146" s="187" t="s">
        <v>1582</v>
      </c>
      <c r="H146" s="185" t="s">
        <v>1443</v>
      </c>
      <c r="I146" s="186" t="s">
        <v>36</v>
      </c>
      <c r="J146" s="56"/>
      <c r="K146" s="35" t="s">
        <v>36</v>
      </c>
    </row>
    <row r="147">
      <c r="A147" s="183" t="s">
        <v>355</v>
      </c>
      <c r="B147" s="35" t="s">
        <v>1818</v>
      </c>
      <c r="C147" s="187" t="s">
        <v>1584</v>
      </c>
      <c r="D147" s="187" t="s">
        <v>1585</v>
      </c>
      <c r="E147" s="187" t="s">
        <v>1586</v>
      </c>
      <c r="F147" s="187" t="s">
        <v>1587</v>
      </c>
      <c r="G147" s="187" t="s">
        <v>1588</v>
      </c>
      <c r="H147" s="185" t="s">
        <v>1443</v>
      </c>
      <c r="I147" s="186" t="s">
        <v>36</v>
      </c>
      <c r="J147" s="56"/>
      <c r="K147" s="35" t="s">
        <v>36</v>
      </c>
    </row>
    <row r="148">
      <c r="A148" s="183" t="s">
        <v>355</v>
      </c>
      <c r="B148" s="35" t="s">
        <v>1819</v>
      </c>
      <c r="C148" s="187" t="s">
        <v>1590</v>
      </c>
      <c r="D148" s="187" t="s">
        <v>1591</v>
      </c>
      <c r="E148" s="187" t="s">
        <v>1592</v>
      </c>
      <c r="F148" s="187" t="s">
        <v>1593</v>
      </c>
      <c r="G148" s="187" t="s">
        <v>1594</v>
      </c>
      <c r="H148" s="185" t="s">
        <v>1443</v>
      </c>
      <c r="I148" s="186" t="s">
        <v>111</v>
      </c>
      <c r="J148" s="35" t="s">
        <v>1595</v>
      </c>
      <c r="K148" s="35" t="s">
        <v>111</v>
      </c>
    </row>
    <row r="149">
      <c r="A149" s="183" t="s">
        <v>355</v>
      </c>
      <c r="B149" s="35" t="s">
        <v>1820</v>
      </c>
      <c r="C149" s="187" t="s">
        <v>1597</v>
      </c>
      <c r="D149" s="187" t="s">
        <v>1598</v>
      </c>
      <c r="E149" s="187" t="s">
        <v>1599</v>
      </c>
      <c r="F149" s="187" t="s">
        <v>1600</v>
      </c>
      <c r="G149" s="187" t="s">
        <v>1601</v>
      </c>
      <c r="H149" s="185" t="s">
        <v>1443</v>
      </c>
      <c r="I149" s="186" t="s">
        <v>36</v>
      </c>
      <c r="J149" s="56"/>
      <c r="K149" s="35" t="s">
        <v>36</v>
      </c>
    </row>
    <row r="150">
      <c r="A150" s="183" t="s">
        <v>355</v>
      </c>
      <c r="B150" s="35" t="s">
        <v>1821</v>
      </c>
      <c r="C150" s="187" t="s">
        <v>1603</v>
      </c>
      <c r="D150" s="187" t="s">
        <v>1604</v>
      </c>
      <c r="E150" s="187" t="s">
        <v>1605</v>
      </c>
      <c r="F150" s="187" t="s">
        <v>1606</v>
      </c>
      <c r="G150" s="187" t="s">
        <v>1607</v>
      </c>
      <c r="H150" s="185" t="s">
        <v>1443</v>
      </c>
      <c r="I150" s="186" t="s">
        <v>36</v>
      </c>
      <c r="J150" s="56"/>
      <c r="K150" s="35" t="s">
        <v>36</v>
      </c>
    </row>
    <row r="151">
      <c r="A151" s="183" t="s">
        <v>355</v>
      </c>
      <c r="B151" s="35" t="s">
        <v>1822</v>
      </c>
      <c r="C151" s="187" t="s">
        <v>1609</v>
      </c>
      <c r="D151" s="187" t="s">
        <v>1610</v>
      </c>
      <c r="E151" s="187" t="s">
        <v>1611</v>
      </c>
      <c r="F151" s="187" t="s">
        <v>1612</v>
      </c>
      <c r="G151" s="187" t="s">
        <v>1613</v>
      </c>
      <c r="H151" s="185" t="s">
        <v>1443</v>
      </c>
      <c r="I151" s="186" t="s">
        <v>36</v>
      </c>
      <c r="J151" s="56"/>
      <c r="K151" s="35" t="s">
        <v>36</v>
      </c>
    </row>
    <row r="152">
      <c r="A152" s="183" t="s">
        <v>355</v>
      </c>
      <c r="B152" s="35" t="s">
        <v>1823</v>
      </c>
      <c r="C152" s="187" t="s">
        <v>1615</v>
      </c>
      <c r="D152" s="187" t="s">
        <v>1616</v>
      </c>
      <c r="E152" s="187" t="s">
        <v>1611</v>
      </c>
      <c r="F152" s="187" t="s">
        <v>1617</v>
      </c>
      <c r="G152" s="187" t="s">
        <v>1618</v>
      </c>
      <c r="H152" s="185" t="s">
        <v>1443</v>
      </c>
      <c r="I152" s="186" t="s">
        <v>36</v>
      </c>
      <c r="J152" s="56"/>
      <c r="K152" s="35" t="s">
        <v>36</v>
      </c>
    </row>
    <row r="153">
      <c r="A153" s="183" t="s">
        <v>355</v>
      </c>
      <c r="B153" s="35" t="s">
        <v>1824</v>
      </c>
      <c r="C153" s="187" t="s">
        <v>1620</v>
      </c>
      <c r="D153" s="187" t="s">
        <v>1621</v>
      </c>
      <c r="E153" s="187" t="s">
        <v>1622</v>
      </c>
      <c r="F153" s="187" t="s">
        <v>1623</v>
      </c>
      <c r="G153" s="187" t="s">
        <v>1624</v>
      </c>
      <c r="H153" s="185" t="s">
        <v>1443</v>
      </c>
      <c r="I153" s="186" t="s">
        <v>36</v>
      </c>
      <c r="J153" s="56"/>
      <c r="K153" s="35" t="s">
        <v>36</v>
      </c>
    </row>
    <row r="154">
      <c r="A154" s="183" t="s">
        <v>355</v>
      </c>
      <c r="B154" s="35" t="s">
        <v>1825</v>
      </c>
      <c r="C154" s="187" t="s">
        <v>1626</v>
      </c>
      <c r="D154" s="187" t="s">
        <v>1627</v>
      </c>
      <c r="E154" s="187" t="s">
        <v>1622</v>
      </c>
      <c r="F154" s="187" t="s">
        <v>1549</v>
      </c>
      <c r="G154" s="187" t="s">
        <v>1628</v>
      </c>
      <c r="H154" s="185" t="s">
        <v>1443</v>
      </c>
      <c r="I154" s="186" t="s">
        <v>36</v>
      </c>
      <c r="J154" s="56"/>
      <c r="K154" s="35" t="s">
        <v>36</v>
      </c>
    </row>
    <row r="155">
      <c r="A155" s="183" t="s">
        <v>355</v>
      </c>
      <c r="B155" s="35" t="s">
        <v>1826</v>
      </c>
      <c r="C155" s="187" t="s">
        <v>1630</v>
      </c>
      <c r="D155" s="187" t="s">
        <v>1631</v>
      </c>
      <c r="E155" s="187" t="s">
        <v>1632</v>
      </c>
      <c r="F155" s="187" t="s">
        <v>1633</v>
      </c>
      <c r="G155" s="187" t="s">
        <v>1634</v>
      </c>
      <c r="H155" s="185" t="s">
        <v>1443</v>
      </c>
      <c r="I155" s="186" t="s">
        <v>36</v>
      </c>
      <c r="J155" s="35" t="s">
        <v>1827</v>
      </c>
      <c r="K155" s="35" t="s">
        <v>36</v>
      </c>
    </row>
    <row r="156">
      <c r="A156" s="183" t="s">
        <v>355</v>
      </c>
      <c r="B156" s="35" t="s">
        <v>1828</v>
      </c>
      <c r="C156" s="187" t="s">
        <v>1636</v>
      </c>
      <c r="D156" s="187" t="s">
        <v>1637</v>
      </c>
      <c r="E156" s="187" t="s">
        <v>1638</v>
      </c>
      <c r="F156" s="187" t="s">
        <v>1639</v>
      </c>
      <c r="G156" s="187" t="s">
        <v>1588</v>
      </c>
      <c r="H156" s="185" t="s">
        <v>1443</v>
      </c>
      <c r="I156" s="186" t="s">
        <v>36</v>
      </c>
      <c r="J156" s="56"/>
      <c r="K156" s="35" t="s">
        <v>36</v>
      </c>
    </row>
    <row r="157">
      <c r="A157" s="183" t="s">
        <v>355</v>
      </c>
      <c r="B157" s="35" t="s">
        <v>1829</v>
      </c>
      <c r="C157" s="187" t="s">
        <v>1641</v>
      </c>
      <c r="D157" s="187" t="s">
        <v>1642</v>
      </c>
      <c r="E157" s="187" t="s">
        <v>1638</v>
      </c>
      <c r="F157" s="187" t="s">
        <v>1643</v>
      </c>
      <c r="G157" s="187" t="s">
        <v>1594</v>
      </c>
      <c r="H157" s="185" t="s">
        <v>1443</v>
      </c>
      <c r="I157" s="186" t="s">
        <v>111</v>
      </c>
      <c r="J157" s="35" t="s">
        <v>1595</v>
      </c>
      <c r="K157" s="35" t="s">
        <v>111</v>
      </c>
    </row>
    <row r="158">
      <c r="A158" s="183" t="s">
        <v>355</v>
      </c>
      <c r="B158" s="35" t="s">
        <v>1830</v>
      </c>
      <c r="C158" s="187" t="s">
        <v>1645</v>
      </c>
      <c r="D158" s="187" t="s">
        <v>1646</v>
      </c>
      <c r="E158" s="187" t="s">
        <v>1638</v>
      </c>
      <c r="F158" s="187" t="s">
        <v>1647</v>
      </c>
      <c r="G158" s="187" t="s">
        <v>1601</v>
      </c>
      <c r="H158" s="185" t="s">
        <v>1443</v>
      </c>
      <c r="I158" s="186" t="s">
        <v>36</v>
      </c>
      <c r="J158" s="56"/>
      <c r="K158" s="35" t="s">
        <v>36</v>
      </c>
    </row>
    <row r="159">
      <c r="A159" s="183" t="s">
        <v>355</v>
      </c>
      <c r="B159" s="35" t="s">
        <v>1831</v>
      </c>
      <c r="C159" s="187" t="s">
        <v>1649</v>
      </c>
      <c r="D159" s="187" t="s">
        <v>1650</v>
      </c>
      <c r="E159" s="187" t="s">
        <v>1638</v>
      </c>
      <c r="F159" s="187" t="s">
        <v>1554</v>
      </c>
      <c r="G159" s="187" t="s">
        <v>1651</v>
      </c>
      <c r="H159" s="185" t="s">
        <v>1443</v>
      </c>
      <c r="I159" s="186" t="s">
        <v>111</v>
      </c>
      <c r="J159" s="56"/>
      <c r="K159" s="35" t="s">
        <v>111</v>
      </c>
    </row>
    <row r="160">
      <c r="A160" s="183" t="s">
        <v>355</v>
      </c>
      <c r="B160" s="35" t="s">
        <v>1832</v>
      </c>
      <c r="C160" s="187" t="s">
        <v>1653</v>
      </c>
      <c r="D160" s="187" t="s">
        <v>1654</v>
      </c>
      <c r="E160" s="187" t="s">
        <v>1638</v>
      </c>
      <c r="F160" s="187" t="s">
        <v>1560</v>
      </c>
      <c r="G160" s="187" t="s">
        <v>1561</v>
      </c>
      <c r="H160" s="185" t="s">
        <v>1443</v>
      </c>
      <c r="I160" s="186" t="s">
        <v>36</v>
      </c>
      <c r="J160" s="56"/>
      <c r="K160" s="35" t="s">
        <v>36</v>
      </c>
    </row>
    <row r="161">
      <c r="A161" s="183" t="s">
        <v>355</v>
      </c>
      <c r="B161" s="35" t="s">
        <v>1833</v>
      </c>
      <c r="C161" s="187" t="s">
        <v>1656</v>
      </c>
      <c r="D161" s="187" t="s">
        <v>1564</v>
      </c>
      <c r="E161" s="187" t="s">
        <v>1638</v>
      </c>
      <c r="F161" s="187" t="s">
        <v>1657</v>
      </c>
      <c r="G161" s="187" t="s">
        <v>1566</v>
      </c>
      <c r="H161" s="185" t="s">
        <v>1443</v>
      </c>
      <c r="I161" s="186" t="s">
        <v>36</v>
      </c>
      <c r="J161" s="56"/>
      <c r="K161" s="35" t="s">
        <v>36</v>
      </c>
    </row>
    <row r="162">
      <c r="A162" s="183" t="s">
        <v>355</v>
      </c>
      <c r="B162" s="35" t="s">
        <v>1834</v>
      </c>
      <c r="C162" s="187" t="s">
        <v>1659</v>
      </c>
      <c r="D162" s="187" t="s">
        <v>1569</v>
      </c>
      <c r="E162" s="187" t="s">
        <v>1638</v>
      </c>
      <c r="F162" s="187" t="s">
        <v>1570</v>
      </c>
      <c r="G162" s="187" t="s">
        <v>1571</v>
      </c>
      <c r="H162" s="185" t="s">
        <v>1443</v>
      </c>
      <c r="I162" s="186" t="s">
        <v>36</v>
      </c>
      <c r="J162" s="56"/>
      <c r="K162" s="35" t="s">
        <v>36</v>
      </c>
    </row>
    <row r="163">
      <c r="A163" s="183" t="s">
        <v>355</v>
      </c>
      <c r="B163" s="35" t="s">
        <v>1835</v>
      </c>
      <c r="C163" s="187" t="s">
        <v>1661</v>
      </c>
      <c r="D163" s="187" t="s">
        <v>1574</v>
      </c>
      <c r="E163" s="187" t="s">
        <v>1638</v>
      </c>
      <c r="F163" s="187" t="s">
        <v>1575</v>
      </c>
      <c r="G163" s="187" t="s">
        <v>1576</v>
      </c>
      <c r="H163" s="185" t="s">
        <v>1443</v>
      </c>
      <c r="I163" s="186" t="s">
        <v>111</v>
      </c>
      <c r="J163" s="35" t="s">
        <v>1577</v>
      </c>
      <c r="K163" s="35" t="s">
        <v>111</v>
      </c>
    </row>
    <row r="164">
      <c r="A164" s="183" t="s">
        <v>355</v>
      </c>
      <c r="B164" s="35" t="s">
        <v>1836</v>
      </c>
      <c r="C164" s="187" t="s">
        <v>1663</v>
      </c>
      <c r="D164" s="187" t="s">
        <v>1580</v>
      </c>
      <c r="E164" s="187" t="s">
        <v>1638</v>
      </c>
      <c r="F164" s="187" t="s">
        <v>1581</v>
      </c>
      <c r="G164" s="187" t="s">
        <v>1582</v>
      </c>
      <c r="H164" s="185" t="s">
        <v>1443</v>
      </c>
      <c r="I164" s="186" t="s">
        <v>111</v>
      </c>
      <c r="J164" s="35" t="s">
        <v>1664</v>
      </c>
      <c r="K164" s="35" t="s">
        <v>111</v>
      </c>
    </row>
    <row r="165">
      <c r="A165" s="183" t="s">
        <v>355</v>
      </c>
      <c r="B165" s="35" t="s">
        <v>1837</v>
      </c>
      <c r="C165" s="187" t="s">
        <v>1666</v>
      </c>
      <c r="D165" s="187" t="s">
        <v>1667</v>
      </c>
      <c r="E165" s="187" t="s">
        <v>1668</v>
      </c>
      <c r="F165" s="187" t="s">
        <v>1669</v>
      </c>
      <c r="G165" s="187" t="s">
        <v>1670</v>
      </c>
      <c r="H165" s="185" t="s">
        <v>1443</v>
      </c>
      <c r="I165" s="186" t="s">
        <v>36</v>
      </c>
      <c r="J165" s="56"/>
      <c r="K165" s="35" t="s">
        <v>36</v>
      </c>
    </row>
    <row r="166">
      <c r="A166" s="183" t="s">
        <v>355</v>
      </c>
      <c r="B166" s="35" t="s">
        <v>1838</v>
      </c>
      <c r="C166" s="187" t="s">
        <v>1672</v>
      </c>
      <c r="D166" s="187" t="s">
        <v>1673</v>
      </c>
      <c r="E166" s="187" t="s">
        <v>1674</v>
      </c>
      <c r="F166" s="187" t="s">
        <v>1675</v>
      </c>
      <c r="G166" s="187" t="s">
        <v>1676</v>
      </c>
      <c r="H166" s="185" t="s">
        <v>1443</v>
      </c>
      <c r="I166" s="186" t="s">
        <v>36</v>
      </c>
      <c r="J166" s="35" t="s">
        <v>1827</v>
      </c>
      <c r="K166" s="35" t="s">
        <v>36</v>
      </c>
    </row>
    <row r="167">
      <c r="A167" s="183" t="s">
        <v>355</v>
      </c>
      <c r="B167" s="35" t="s">
        <v>1839</v>
      </c>
      <c r="C167" s="187" t="s">
        <v>1678</v>
      </c>
      <c r="D167" s="187" t="s">
        <v>1679</v>
      </c>
      <c r="E167" s="187" t="s">
        <v>1680</v>
      </c>
      <c r="F167" s="187" t="s">
        <v>1681</v>
      </c>
      <c r="G167" s="187" t="s">
        <v>1682</v>
      </c>
      <c r="H167" s="185" t="s">
        <v>1443</v>
      </c>
      <c r="I167" s="186" t="s">
        <v>36</v>
      </c>
      <c r="J167" s="56"/>
      <c r="K167" s="35" t="s">
        <v>36</v>
      </c>
    </row>
    <row r="168">
      <c r="A168" s="183" t="s">
        <v>355</v>
      </c>
      <c r="B168" s="35" t="s">
        <v>1840</v>
      </c>
      <c r="C168" s="187" t="s">
        <v>1684</v>
      </c>
      <c r="D168" s="187" t="s">
        <v>1679</v>
      </c>
      <c r="E168" s="187" t="s">
        <v>1680</v>
      </c>
      <c r="F168" s="187" t="s">
        <v>1681</v>
      </c>
      <c r="G168" s="187" t="s">
        <v>1682</v>
      </c>
      <c r="H168" s="185" t="s">
        <v>1443</v>
      </c>
      <c r="I168" s="186" t="s">
        <v>36</v>
      </c>
      <c r="J168" s="56"/>
      <c r="K168" s="35" t="s">
        <v>36</v>
      </c>
    </row>
    <row r="169">
      <c r="A169" s="183" t="s">
        <v>355</v>
      </c>
      <c r="B169" s="35" t="s">
        <v>1841</v>
      </c>
      <c r="C169" s="187" t="s">
        <v>1686</v>
      </c>
      <c r="D169" s="187" t="s">
        <v>1687</v>
      </c>
      <c r="E169" s="187" t="s">
        <v>1688</v>
      </c>
      <c r="F169" s="187" t="s">
        <v>1689</v>
      </c>
      <c r="G169" s="187" t="s">
        <v>1690</v>
      </c>
      <c r="H169" s="185" t="s">
        <v>1443</v>
      </c>
      <c r="I169" s="186" t="s">
        <v>36</v>
      </c>
      <c r="J169" s="35" t="s">
        <v>1827</v>
      </c>
      <c r="K169" s="35" t="s">
        <v>36</v>
      </c>
    </row>
    <row r="170">
      <c r="A170" s="183" t="s">
        <v>355</v>
      </c>
      <c r="B170" s="35" t="s">
        <v>1842</v>
      </c>
      <c r="C170" s="187" t="s">
        <v>1692</v>
      </c>
      <c r="D170" s="187" t="s">
        <v>1693</v>
      </c>
      <c r="E170" s="187" t="s">
        <v>1694</v>
      </c>
      <c r="F170" s="187" t="s">
        <v>1554</v>
      </c>
      <c r="G170" s="187" t="s">
        <v>1555</v>
      </c>
      <c r="H170" s="185" t="s">
        <v>1443</v>
      </c>
      <c r="I170" s="186" t="s">
        <v>111</v>
      </c>
      <c r="J170" s="35" t="s">
        <v>1556</v>
      </c>
      <c r="K170" s="35" t="s">
        <v>111</v>
      </c>
    </row>
    <row r="171">
      <c r="A171" s="183" t="s">
        <v>355</v>
      </c>
      <c r="B171" s="35" t="s">
        <v>1843</v>
      </c>
      <c r="C171" s="187" t="s">
        <v>1696</v>
      </c>
      <c r="D171" s="187" t="s">
        <v>1564</v>
      </c>
      <c r="E171" s="187" t="s">
        <v>1697</v>
      </c>
      <c r="F171" s="187" t="s">
        <v>1657</v>
      </c>
      <c r="G171" s="187" t="s">
        <v>1566</v>
      </c>
      <c r="H171" s="185" t="s">
        <v>1443</v>
      </c>
      <c r="I171" s="186" t="s">
        <v>36</v>
      </c>
      <c r="J171" s="56"/>
      <c r="K171" s="35" t="s">
        <v>36</v>
      </c>
    </row>
    <row r="172">
      <c r="A172" s="183" t="s">
        <v>355</v>
      </c>
      <c r="B172" s="35" t="s">
        <v>1844</v>
      </c>
      <c r="C172" s="187" t="s">
        <v>1699</v>
      </c>
      <c r="D172" s="187" t="s">
        <v>1700</v>
      </c>
      <c r="E172" s="187" t="s">
        <v>1701</v>
      </c>
      <c r="F172" s="187" t="s">
        <v>1560</v>
      </c>
      <c r="G172" s="187" t="s">
        <v>1561</v>
      </c>
      <c r="H172" s="185" t="s">
        <v>1443</v>
      </c>
      <c r="I172" s="186" t="s">
        <v>36</v>
      </c>
      <c r="J172" s="35"/>
      <c r="K172" s="35" t="s">
        <v>36</v>
      </c>
    </row>
    <row r="173">
      <c r="A173" s="183" t="s">
        <v>355</v>
      </c>
      <c r="B173" s="35" t="s">
        <v>1845</v>
      </c>
      <c r="C173" s="187" t="s">
        <v>1703</v>
      </c>
      <c r="D173" s="187" t="s">
        <v>1569</v>
      </c>
      <c r="E173" s="187" t="s">
        <v>1622</v>
      </c>
      <c r="F173" s="187" t="s">
        <v>1570</v>
      </c>
      <c r="G173" s="187" t="s">
        <v>1571</v>
      </c>
      <c r="H173" s="185" t="s">
        <v>1443</v>
      </c>
      <c r="I173" s="186" t="s">
        <v>36</v>
      </c>
      <c r="J173" s="56"/>
      <c r="K173" s="35" t="s">
        <v>36</v>
      </c>
    </row>
    <row r="174">
      <c r="A174" s="183" t="s">
        <v>355</v>
      </c>
      <c r="B174" s="35" t="s">
        <v>1846</v>
      </c>
      <c r="C174" s="187" t="s">
        <v>1705</v>
      </c>
      <c r="D174" s="187" t="s">
        <v>1574</v>
      </c>
      <c r="E174" s="187" t="s">
        <v>1622</v>
      </c>
      <c r="F174" s="187" t="s">
        <v>1575</v>
      </c>
      <c r="G174" s="187" t="s">
        <v>1576</v>
      </c>
      <c r="H174" s="185" t="s">
        <v>1443</v>
      </c>
      <c r="I174" s="186" t="s">
        <v>111</v>
      </c>
      <c r="J174" s="35" t="s">
        <v>1577</v>
      </c>
      <c r="K174" s="35" t="s">
        <v>111</v>
      </c>
    </row>
    <row r="175">
      <c r="A175" s="183" t="s">
        <v>355</v>
      </c>
      <c r="B175" s="35" t="s">
        <v>1847</v>
      </c>
      <c r="C175" s="187" t="s">
        <v>1707</v>
      </c>
      <c r="D175" s="187" t="s">
        <v>1580</v>
      </c>
      <c r="E175" s="187" t="s">
        <v>1622</v>
      </c>
      <c r="F175" s="187" t="s">
        <v>1581</v>
      </c>
      <c r="G175" s="187" t="s">
        <v>1582</v>
      </c>
      <c r="H175" s="185" t="s">
        <v>1443</v>
      </c>
      <c r="I175" s="186" t="s">
        <v>36</v>
      </c>
      <c r="J175" s="56"/>
      <c r="K175" s="35" t="s">
        <v>36</v>
      </c>
    </row>
    <row r="176">
      <c r="A176" s="183" t="s">
        <v>355</v>
      </c>
      <c r="B176" s="35" t="s">
        <v>1848</v>
      </c>
      <c r="C176" s="187" t="s">
        <v>1709</v>
      </c>
      <c r="D176" s="187" t="s">
        <v>1710</v>
      </c>
      <c r="E176" s="187" t="s">
        <v>1622</v>
      </c>
      <c r="F176" s="187" t="s">
        <v>1711</v>
      </c>
      <c r="G176" s="187" t="s">
        <v>1712</v>
      </c>
      <c r="H176" s="185" t="s">
        <v>1443</v>
      </c>
      <c r="I176" s="186" t="s">
        <v>36</v>
      </c>
      <c r="J176" s="56"/>
      <c r="K176" s="35" t="s">
        <v>36</v>
      </c>
    </row>
    <row r="177">
      <c r="A177" s="183" t="s">
        <v>355</v>
      </c>
      <c r="B177" s="35" t="s">
        <v>1849</v>
      </c>
      <c r="C177" s="187" t="s">
        <v>1714</v>
      </c>
      <c r="D177" s="187" t="s">
        <v>1715</v>
      </c>
      <c r="E177" s="187" t="s">
        <v>1716</v>
      </c>
      <c r="F177" s="187" t="s">
        <v>1717</v>
      </c>
      <c r="G177" s="187" t="s">
        <v>1718</v>
      </c>
      <c r="H177" s="185" t="s">
        <v>1443</v>
      </c>
      <c r="I177" s="186" t="s">
        <v>36</v>
      </c>
      <c r="J177" s="56"/>
      <c r="K177" s="35" t="s">
        <v>36</v>
      </c>
    </row>
    <row r="178">
      <c r="A178" s="183" t="s">
        <v>355</v>
      </c>
      <c r="B178" s="35" t="s">
        <v>1850</v>
      </c>
      <c r="C178" s="187" t="s">
        <v>1720</v>
      </c>
      <c r="D178" s="187" t="s">
        <v>1721</v>
      </c>
      <c r="E178" s="187" t="s">
        <v>1722</v>
      </c>
      <c r="F178" s="187" t="s">
        <v>1723</v>
      </c>
      <c r="G178" s="187" t="s">
        <v>1628</v>
      </c>
      <c r="H178" s="185" t="s">
        <v>1443</v>
      </c>
      <c r="I178" s="186" t="s">
        <v>36</v>
      </c>
      <c r="J178" s="35" t="s">
        <v>1827</v>
      </c>
      <c r="K178" s="35" t="s">
        <v>36</v>
      </c>
    </row>
    <row r="179">
      <c r="A179" s="190" t="s">
        <v>383</v>
      </c>
      <c r="B179" s="35" t="s">
        <v>1851</v>
      </c>
      <c r="C179" s="35" t="s">
        <v>1438</v>
      </c>
      <c r="D179" s="35" t="s">
        <v>1439</v>
      </c>
      <c r="E179" s="184" t="s">
        <v>1440</v>
      </c>
      <c r="F179" s="183" t="s">
        <v>1441</v>
      </c>
      <c r="G179" s="35" t="s">
        <v>1442</v>
      </c>
      <c r="H179" s="185" t="s">
        <v>1443</v>
      </c>
      <c r="I179" s="186" t="s">
        <v>36</v>
      </c>
      <c r="J179" s="56"/>
      <c r="K179" s="35" t="s">
        <v>36</v>
      </c>
    </row>
    <row r="180">
      <c r="A180" s="183" t="s">
        <v>383</v>
      </c>
      <c r="B180" s="35" t="s">
        <v>1852</v>
      </c>
      <c r="C180" s="187" t="s">
        <v>1446</v>
      </c>
      <c r="D180" s="187" t="s">
        <v>1447</v>
      </c>
      <c r="E180" s="187" t="s">
        <v>1448</v>
      </c>
      <c r="F180" s="187" t="s">
        <v>1449</v>
      </c>
      <c r="G180" s="187" t="s">
        <v>1450</v>
      </c>
      <c r="H180" s="185" t="s">
        <v>1443</v>
      </c>
      <c r="I180" s="186" t="s">
        <v>36</v>
      </c>
      <c r="J180" s="56"/>
      <c r="K180" s="35" t="s">
        <v>36</v>
      </c>
    </row>
    <row r="181">
      <c r="A181" s="183" t="s">
        <v>383</v>
      </c>
      <c r="B181" s="35" t="s">
        <v>1853</v>
      </c>
      <c r="C181" s="187" t="s">
        <v>1453</v>
      </c>
      <c r="D181" s="187" t="s">
        <v>1454</v>
      </c>
      <c r="E181" s="187" t="s">
        <v>1448</v>
      </c>
      <c r="F181" s="187" t="s">
        <v>1455</v>
      </c>
      <c r="G181" s="187" t="s">
        <v>1456</v>
      </c>
      <c r="H181" s="185" t="s">
        <v>1443</v>
      </c>
      <c r="I181" s="186" t="s">
        <v>111</v>
      </c>
      <c r="J181" s="35" t="s">
        <v>1854</v>
      </c>
      <c r="K181" s="35" t="s">
        <v>111</v>
      </c>
    </row>
    <row r="182">
      <c r="A182" s="183" t="s">
        <v>383</v>
      </c>
      <c r="B182" s="35" t="s">
        <v>1855</v>
      </c>
      <c r="C182" s="187" t="s">
        <v>1459</v>
      </c>
      <c r="D182" s="187" t="s">
        <v>1460</v>
      </c>
      <c r="E182" s="187" t="s">
        <v>1448</v>
      </c>
      <c r="F182" s="187" t="s">
        <v>1461</v>
      </c>
      <c r="G182" s="187" t="s">
        <v>1462</v>
      </c>
      <c r="H182" s="185" t="s">
        <v>1443</v>
      </c>
      <c r="I182" s="186" t="s">
        <v>36</v>
      </c>
      <c r="J182" s="56"/>
      <c r="K182" s="35" t="s">
        <v>36</v>
      </c>
    </row>
    <row r="183">
      <c r="A183" s="183" t="s">
        <v>383</v>
      </c>
      <c r="B183" s="35" t="s">
        <v>1856</v>
      </c>
      <c r="C183" s="183" t="s">
        <v>1465</v>
      </c>
      <c r="D183" s="183" t="s">
        <v>1466</v>
      </c>
      <c r="E183" s="187" t="s">
        <v>1448</v>
      </c>
      <c r="F183" s="183" t="s">
        <v>1467</v>
      </c>
      <c r="G183" s="183" t="s">
        <v>1468</v>
      </c>
      <c r="H183" s="185" t="s">
        <v>1443</v>
      </c>
      <c r="I183" s="186" t="s">
        <v>111</v>
      </c>
      <c r="J183" s="35" t="s">
        <v>1469</v>
      </c>
      <c r="K183" s="35" t="s">
        <v>111</v>
      </c>
    </row>
    <row r="184">
      <c r="A184" s="183" t="s">
        <v>383</v>
      </c>
      <c r="B184" s="35" t="s">
        <v>1857</v>
      </c>
      <c r="C184" s="183" t="s">
        <v>1471</v>
      </c>
      <c r="D184" s="183" t="s">
        <v>1472</v>
      </c>
      <c r="E184" s="187" t="s">
        <v>1448</v>
      </c>
      <c r="F184" s="183" t="s">
        <v>1473</v>
      </c>
      <c r="G184" s="183" t="s">
        <v>1474</v>
      </c>
      <c r="H184" s="185" t="s">
        <v>1443</v>
      </c>
      <c r="I184" s="186" t="s">
        <v>111</v>
      </c>
      <c r="J184" s="35" t="s">
        <v>1475</v>
      </c>
      <c r="K184" s="35" t="s">
        <v>111</v>
      </c>
    </row>
    <row r="185">
      <c r="A185" s="183" t="s">
        <v>383</v>
      </c>
      <c r="B185" s="35" t="s">
        <v>1858</v>
      </c>
      <c r="C185" s="183" t="s">
        <v>1477</v>
      </c>
      <c r="D185" s="183" t="s">
        <v>1478</v>
      </c>
      <c r="E185" s="187" t="s">
        <v>1448</v>
      </c>
      <c r="F185" s="183" t="s">
        <v>1479</v>
      </c>
      <c r="G185" s="183" t="s">
        <v>1468</v>
      </c>
      <c r="H185" s="185" t="s">
        <v>1443</v>
      </c>
      <c r="I185" s="186" t="s">
        <v>111</v>
      </c>
      <c r="J185" s="35" t="s">
        <v>1469</v>
      </c>
      <c r="K185" s="35" t="s">
        <v>111</v>
      </c>
    </row>
    <row r="186">
      <c r="A186" s="183" t="s">
        <v>383</v>
      </c>
      <c r="B186" s="35" t="s">
        <v>1859</v>
      </c>
      <c r="C186" s="183" t="s">
        <v>1481</v>
      </c>
      <c r="D186" s="183" t="s">
        <v>1472</v>
      </c>
      <c r="E186" s="187" t="s">
        <v>1448</v>
      </c>
      <c r="F186" s="183" t="s">
        <v>1482</v>
      </c>
      <c r="G186" s="183" t="s">
        <v>1474</v>
      </c>
      <c r="H186" s="185" t="s">
        <v>1443</v>
      </c>
      <c r="I186" s="186" t="s">
        <v>111</v>
      </c>
      <c r="J186" s="183" t="s">
        <v>1475</v>
      </c>
      <c r="K186" s="35" t="s">
        <v>111</v>
      </c>
    </row>
    <row r="187">
      <c r="A187" s="183" t="s">
        <v>383</v>
      </c>
      <c r="B187" s="35" t="s">
        <v>1860</v>
      </c>
      <c r="C187" s="183" t="s">
        <v>1484</v>
      </c>
      <c r="D187" s="183" t="s">
        <v>1472</v>
      </c>
      <c r="E187" s="187" t="s">
        <v>1448</v>
      </c>
      <c r="F187" s="183" t="s">
        <v>1485</v>
      </c>
      <c r="G187" s="183" t="s">
        <v>1486</v>
      </c>
      <c r="H187" s="185" t="s">
        <v>1443</v>
      </c>
      <c r="I187" s="186" t="s">
        <v>111</v>
      </c>
      <c r="J187" s="183" t="s">
        <v>1475</v>
      </c>
      <c r="K187" s="35" t="s">
        <v>111</v>
      </c>
    </row>
    <row r="188">
      <c r="A188" s="183" t="s">
        <v>383</v>
      </c>
      <c r="B188" s="35" t="s">
        <v>1861</v>
      </c>
      <c r="C188" s="187" t="s">
        <v>1488</v>
      </c>
      <c r="D188" s="187" t="s">
        <v>1489</v>
      </c>
      <c r="E188" s="187" t="s">
        <v>1490</v>
      </c>
      <c r="F188" s="187" t="s">
        <v>1491</v>
      </c>
      <c r="G188" s="187" t="s">
        <v>1492</v>
      </c>
      <c r="H188" s="185" t="s">
        <v>1443</v>
      </c>
      <c r="I188" s="186" t="s">
        <v>111</v>
      </c>
      <c r="J188" s="35" t="s">
        <v>1862</v>
      </c>
      <c r="K188" s="35" t="s">
        <v>111</v>
      </c>
    </row>
    <row r="189">
      <c r="A189" s="183" t="s">
        <v>383</v>
      </c>
      <c r="B189" s="35" t="s">
        <v>1863</v>
      </c>
      <c r="C189" s="187" t="s">
        <v>1494</v>
      </c>
      <c r="D189" s="183" t="s">
        <v>1495</v>
      </c>
      <c r="E189" s="187" t="s">
        <v>1496</v>
      </c>
      <c r="F189" s="187" t="s">
        <v>1497</v>
      </c>
      <c r="G189" s="187" t="s">
        <v>1498</v>
      </c>
      <c r="H189" s="185" t="s">
        <v>1443</v>
      </c>
      <c r="I189" s="186" t="s">
        <v>111</v>
      </c>
      <c r="J189" s="35" t="s">
        <v>1499</v>
      </c>
      <c r="K189" s="35" t="s">
        <v>111</v>
      </c>
    </row>
    <row r="190">
      <c r="A190" s="183" t="s">
        <v>383</v>
      </c>
      <c r="B190" s="35" t="s">
        <v>1864</v>
      </c>
      <c r="C190" s="187" t="s">
        <v>1501</v>
      </c>
      <c r="D190" s="187" t="s">
        <v>1502</v>
      </c>
      <c r="E190" s="187" t="s">
        <v>1503</v>
      </c>
      <c r="F190" s="187" t="s">
        <v>1491</v>
      </c>
      <c r="G190" s="187" t="s">
        <v>1504</v>
      </c>
      <c r="H190" s="185" t="s">
        <v>1443</v>
      </c>
      <c r="I190" s="186" t="s">
        <v>36</v>
      </c>
      <c r="J190" s="56"/>
      <c r="K190" s="35" t="s">
        <v>36</v>
      </c>
    </row>
    <row r="191">
      <c r="A191" s="183" t="s">
        <v>383</v>
      </c>
      <c r="B191" s="35" t="s">
        <v>1865</v>
      </c>
      <c r="C191" s="187" t="s">
        <v>1506</v>
      </c>
      <c r="D191" s="187" t="s">
        <v>1507</v>
      </c>
      <c r="E191" s="187" t="s">
        <v>1508</v>
      </c>
      <c r="F191" s="187" t="s">
        <v>1491</v>
      </c>
      <c r="G191" s="187" t="s">
        <v>1509</v>
      </c>
      <c r="H191" s="185" t="s">
        <v>1443</v>
      </c>
      <c r="I191" s="186" t="s">
        <v>111</v>
      </c>
      <c r="J191" s="35" t="s">
        <v>1862</v>
      </c>
      <c r="K191" s="35" t="s">
        <v>111</v>
      </c>
    </row>
    <row r="192">
      <c r="A192" s="183" t="s">
        <v>383</v>
      </c>
      <c r="B192" s="35" t="s">
        <v>1866</v>
      </c>
      <c r="C192" s="187" t="s">
        <v>1511</v>
      </c>
      <c r="D192" s="187" t="s">
        <v>1512</v>
      </c>
      <c r="E192" s="187" t="s">
        <v>1513</v>
      </c>
      <c r="F192" s="187" t="s">
        <v>1491</v>
      </c>
      <c r="G192" s="187" t="s">
        <v>1514</v>
      </c>
      <c r="H192" s="185" t="s">
        <v>1443</v>
      </c>
      <c r="I192" s="186" t="s">
        <v>36</v>
      </c>
      <c r="J192" s="56"/>
      <c r="K192" s="35" t="s">
        <v>36</v>
      </c>
    </row>
    <row r="193">
      <c r="A193" s="183" t="s">
        <v>383</v>
      </c>
      <c r="B193" s="35" t="s">
        <v>1867</v>
      </c>
      <c r="C193" s="187" t="s">
        <v>1516</v>
      </c>
      <c r="D193" s="187" t="s">
        <v>1517</v>
      </c>
      <c r="E193" s="187" t="s">
        <v>1518</v>
      </c>
      <c r="F193" s="187" t="s">
        <v>1519</v>
      </c>
      <c r="G193" s="187" t="s">
        <v>1520</v>
      </c>
      <c r="H193" s="185" t="s">
        <v>1443</v>
      </c>
      <c r="I193" s="186" t="s">
        <v>111</v>
      </c>
      <c r="J193" s="35" t="s">
        <v>1521</v>
      </c>
      <c r="K193" s="35" t="s">
        <v>111</v>
      </c>
    </row>
    <row r="194">
      <c r="A194" s="183" t="s">
        <v>383</v>
      </c>
      <c r="B194" s="35" t="s">
        <v>1868</v>
      </c>
      <c r="C194" s="187" t="s">
        <v>1523</v>
      </c>
      <c r="D194" s="187" t="s">
        <v>1524</v>
      </c>
      <c r="E194" s="187" t="s">
        <v>1525</v>
      </c>
      <c r="F194" s="187" t="s">
        <v>1526</v>
      </c>
      <c r="G194" s="187" t="s">
        <v>1527</v>
      </c>
      <c r="H194" s="185" t="s">
        <v>1443</v>
      </c>
      <c r="I194" s="186" t="s">
        <v>111</v>
      </c>
      <c r="J194" s="35" t="s">
        <v>1862</v>
      </c>
      <c r="K194" s="35" t="s">
        <v>111</v>
      </c>
    </row>
    <row r="195">
      <c r="A195" s="183" t="s">
        <v>383</v>
      </c>
      <c r="B195" s="35" t="s">
        <v>1869</v>
      </c>
      <c r="C195" s="187" t="s">
        <v>1529</v>
      </c>
      <c r="D195" s="187" t="s">
        <v>1530</v>
      </c>
      <c r="E195" s="187" t="s">
        <v>1531</v>
      </c>
      <c r="F195" s="187" t="s">
        <v>1532</v>
      </c>
      <c r="G195" s="187" t="s">
        <v>1533</v>
      </c>
      <c r="H195" s="185" t="s">
        <v>1443</v>
      </c>
      <c r="I195" s="186" t="s">
        <v>111</v>
      </c>
      <c r="J195" s="35" t="s">
        <v>1521</v>
      </c>
      <c r="K195" s="35" t="s">
        <v>111</v>
      </c>
    </row>
    <row r="196">
      <c r="A196" s="183" t="s">
        <v>383</v>
      </c>
      <c r="B196" s="35" t="s">
        <v>1870</v>
      </c>
      <c r="C196" s="187" t="s">
        <v>1535</v>
      </c>
      <c r="D196" s="187" t="s">
        <v>1536</v>
      </c>
      <c r="E196" s="187" t="s">
        <v>1537</v>
      </c>
      <c r="F196" s="187" t="s">
        <v>1538</v>
      </c>
      <c r="G196" s="187" t="s">
        <v>1539</v>
      </c>
      <c r="H196" s="185" t="s">
        <v>1443</v>
      </c>
      <c r="I196" s="186" t="s">
        <v>111</v>
      </c>
      <c r="J196" s="35" t="s">
        <v>1521</v>
      </c>
      <c r="K196" s="35" t="s">
        <v>111</v>
      </c>
    </row>
    <row r="197">
      <c r="A197" s="183" t="s">
        <v>383</v>
      </c>
      <c r="B197" s="35" t="s">
        <v>1871</v>
      </c>
      <c r="C197" s="187" t="s">
        <v>1541</v>
      </c>
      <c r="D197" s="187" t="s">
        <v>1542</v>
      </c>
      <c r="E197" s="187" t="s">
        <v>1543</v>
      </c>
      <c r="F197" s="187" t="s">
        <v>1544</v>
      </c>
      <c r="G197" s="187" t="s">
        <v>1545</v>
      </c>
      <c r="H197" s="185" t="s">
        <v>1443</v>
      </c>
      <c r="I197" s="186" t="s">
        <v>36</v>
      </c>
      <c r="J197" s="56"/>
      <c r="K197" s="35" t="s">
        <v>36</v>
      </c>
    </row>
    <row r="198">
      <c r="A198" s="183" t="s">
        <v>383</v>
      </c>
      <c r="B198" s="35" t="s">
        <v>1872</v>
      </c>
      <c r="C198" s="187" t="s">
        <v>1547</v>
      </c>
      <c r="D198" s="187" t="s">
        <v>1548</v>
      </c>
      <c r="E198" s="187" t="s">
        <v>1448</v>
      </c>
      <c r="F198" s="187" t="s">
        <v>1549</v>
      </c>
      <c r="G198" s="187" t="s">
        <v>1550</v>
      </c>
      <c r="H198" s="185" t="s">
        <v>1443</v>
      </c>
      <c r="I198" s="186" t="s">
        <v>36</v>
      </c>
      <c r="J198" s="56"/>
      <c r="K198" s="35" t="s">
        <v>36</v>
      </c>
    </row>
    <row r="199">
      <c r="A199" s="183" t="s">
        <v>383</v>
      </c>
      <c r="B199" s="35" t="s">
        <v>1873</v>
      </c>
      <c r="C199" s="187" t="s">
        <v>1552</v>
      </c>
      <c r="D199" s="187" t="s">
        <v>1553</v>
      </c>
      <c r="E199" s="187" t="s">
        <v>1448</v>
      </c>
      <c r="F199" s="187" t="s">
        <v>1554</v>
      </c>
      <c r="G199" s="187" t="s">
        <v>1555</v>
      </c>
      <c r="H199" s="185" t="s">
        <v>1443</v>
      </c>
      <c r="I199" s="186" t="s">
        <v>111</v>
      </c>
      <c r="J199" s="35" t="s">
        <v>1556</v>
      </c>
      <c r="K199" s="35" t="s">
        <v>111</v>
      </c>
    </row>
    <row r="200">
      <c r="A200" s="183" t="s">
        <v>383</v>
      </c>
      <c r="B200" s="35" t="s">
        <v>1874</v>
      </c>
      <c r="C200" s="187" t="s">
        <v>1558</v>
      </c>
      <c r="D200" s="187" t="s">
        <v>1559</v>
      </c>
      <c r="E200" s="187" t="s">
        <v>1448</v>
      </c>
      <c r="F200" s="187" t="s">
        <v>1560</v>
      </c>
      <c r="G200" s="187" t="s">
        <v>1561</v>
      </c>
      <c r="H200" s="185" t="s">
        <v>1443</v>
      </c>
      <c r="I200" s="186" t="s">
        <v>36</v>
      </c>
      <c r="J200" s="35"/>
      <c r="K200" s="35" t="s">
        <v>36</v>
      </c>
    </row>
    <row r="201">
      <c r="A201" s="183" t="s">
        <v>383</v>
      </c>
      <c r="B201" s="35" t="s">
        <v>1875</v>
      </c>
      <c r="C201" s="187" t="s">
        <v>1563</v>
      </c>
      <c r="D201" s="187" t="s">
        <v>1564</v>
      </c>
      <c r="E201" s="187" t="s">
        <v>1448</v>
      </c>
      <c r="F201" s="187" t="s">
        <v>1565</v>
      </c>
      <c r="G201" s="187" t="s">
        <v>1566</v>
      </c>
      <c r="H201" s="185" t="s">
        <v>1443</v>
      </c>
      <c r="I201" s="186" t="s">
        <v>36</v>
      </c>
      <c r="J201" s="35"/>
      <c r="K201" s="35" t="s">
        <v>36</v>
      </c>
    </row>
    <row r="202">
      <c r="A202" s="183" t="s">
        <v>383</v>
      </c>
      <c r="B202" s="35" t="s">
        <v>1876</v>
      </c>
      <c r="C202" s="187" t="s">
        <v>1568</v>
      </c>
      <c r="D202" s="187" t="s">
        <v>1569</v>
      </c>
      <c r="E202" s="187" t="s">
        <v>1448</v>
      </c>
      <c r="F202" s="187" t="s">
        <v>1570</v>
      </c>
      <c r="G202" s="187" t="s">
        <v>1571</v>
      </c>
      <c r="H202" s="185" t="s">
        <v>1443</v>
      </c>
      <c r="I202" s="186" t="s">
        <v>36</v>
      </c>
      <c r="J202" s="56"/>
      <c r="K202" s="35" t="s">
        <v>36</v>
      </c>
    </row>
    <row r="203">
      <c r="A203" s="183" t="s">
        <v>383</v>
      </c>
      <c r="B203" s="35" t="s">
        <v>1877</v>
      </c>
      <c r="C203" s="187" t="s">
        <v>1573</v>
      </c>
      <c r="D203" s="187" t="s">
        <v>1574</v>
      </c>
      <c r="E203" s="187" t="s">
        <v>1448</v>
      </c>
      <c r="F203" s="187" t="s">
        <v>1575</v>
      </c>
      <c r="G203" s="187" t="s">
        <v>1576</v>
      </c>
      <c r="H203" s="185" t="s">
        <v>1443</v>
      </c>
      <c r="I203" s="186" t="s">
        <v>111</v>
      </c>
      <c r="J203" s="35" t="s">
        <v>1577</v>
      </c>
      <c r="K203" s="35" t="s">
        <v>111</v>
      </c>
    </row>
    <row r="204">
      <c r="A204" s="183" t="s">
        <v>383</v>
      </c>
      <c r="B204" s="35" t="s">
        <v>1878</v>
      </c>
      <c r="C204" s="187" t="s">
        <v>1579</v>
      </c>
      <c r="D204" s="187" t="s">
        <v>1580</v>
      </c>
      <c r="E204" s="187" t="s">
        <v>1448</v>
      </c>
      <c r="F204" s="187" t="s">
        <v>1581</v>
      </c>
      <c r="G204" s="187" t="s">
        <v>1582</v>
      </c>
      <c r="H204" s="185" t="s">
        <v>1443</v>
      </c>
      <c r="I204" s="186" t="s">
        <v>36</v>
      </c>
      <c r="J204" s="56"/>
      <c r="K204" s="35" t="s">
        <v>36</v>
      </c>
    </row>
    <row r="205">
      <c r="A205" s="183" t="s">
        <v>383</v>
      </c>
      <c r="B205" s="35" t="s">
        <v>1879</v>
      </c>
      <c r="C205" s="187" t="s">
        <v>1584</v>
      </c>
      <c r="D205" s="187" t="s">
        <v>1585</v>
      </c>
      <c r="E205" s="187" t="s">
        <v>1586</v>
      </c>
      <c r="F205" s="187" t="s">
        <v>1587</v>
      </c>
      <c r="G205" s="187" t="s">
        <v>1588</v>
      </c>
      <c r="H205" s="185" t="s">
        <v>1443</v>
      </c>
      <c r="I205" s="186" t="s">
        <v>36</v>
      </c>
      <c r="J205" s="56"/>
      <c r="K205" s="35" t="s">
        <v>36</v>
      </c>
    </row>
    <row r="206">
      <c r="A206" s="183" t="s">
        <v>383</v>
      </c>
      <c r="B206" s="35" t="s">
        <v>1880</v>
      </c>
      <c r="C206" s="187" t="s">
        <v>1590</v>
      </c>
      <c r="D206" s="187" t="s">
        <v>1591</v>
      </c>
      <c r="E206" s="187" t="s">
        <v>1592</v>
      </c>
      <c r="F206" s="187" t="s">
        <v>1593</v>
      </c>
      <c r="G206" s="187" t="s">
        <v>1594</v>
      </c>
      <c r="H206" s="185" t="s">
        <v>1443</v>
      </c>
      <c r="I206" s="186" t="s">
        <v>111</v>
      </c>
      <c r="J206" s="35" t="s">
        <v>1595</v>
      </c>
      <c r="K206" s="35" t="s">
        <v>111</v>
      </c>
    </row>
    <row r="207">
      <c r="A207" s="183" t="s">
        <v>383</v>
      </c>
      <c r="B207" s="35" t="s">
        <v>1881</v>
      </c>
      <c r="C207" s="187" t="s">
        <v>1597</v>
      </c>
      <c r="D207" s="187" t="s">
        <v>1598</v>
      </c>
      <c r="E207" s="187" t="s">
        <v>1599</v>
      </c>
      <c r="F207" s="187" t="s">
        <v>1600</v>
      </c>
      <c r="G207" s="187" t="s">
        <v>1601</v>
      </c>
      <c r="H207" s="185" t="s">
        <v>1443</v>
      </c>
      <c r="I207" s="186" t="s">
        <v>36</v>
      </c>
      <c r="J207" s="56"/>
      <c r="K207" s="35" t="s">
        <v>36</v>
      </c>
    </row>
    <row r="208">
      <c r="A208" s="183" t="s">
        <v>383</v>
      </c>
      <c r="B208" s="35" t="s">
        <v>1882</v>
      </c>
      <c r="C208" s="187" t="s">
        <v>1603</v>
      </c>
      <c r="D208" s="187" t="s">
        <v>1604</v>
      </c>
      <c r="E208" s="187" t="s">
        <v>1605</v>
      </c>
      <c r="F208" s="187" t="s">
        <v>1606</v>
      </c>
      <c r="G208" s="187" t="s">
        <v>1607</v>
      </c>
      <c r="H208" s="185" t="s">
        <v>1443</v>
      </c>
      <c r="I208" s="186" t="s">
        <v>36</v>
      </c>
      <c r="J208" s="56"/>
      <c r="K208" s="35" t="s">
        <v>36</v>
      </c>
    </row>
    <row r="209">
      <c r="A209" s="183" t="s">
        <v>383</v>
      </c>
      <c r="B209" s="35" t="s">
        <v>1883</v>
      </c>
      <c r="C209" s="187" t="s">
        <v>1609</v>
      </c>
      <c r="D209" s="187" t="s">
        <v>1610</v>
      </c>
      <c r="E209" s="187" t="s">
        <v>1611</v>
      </c>
      <c r="F209" s="187" t="s">
        <v>1612</v>
      </c>
      <c r="G209" s="187" t="s">
        <v>1613</v>
      </c>
      <c r="H209" s="185" t="s">
        <v>1443</v>
      </c>
      <c r="I209" s="186" t="s">
        <v>36</v>
      </c>
      <c r="J209" s="56"/>
      <c r="K209" s="35" t="s">
        <v>36</v>
      </c>
    </row>
    <row r="210">
      <c r="A210" s="183" t="s">
        <v>383</v>
      </c>
      <c r="B210" s="35" t="s">
        <v>1884</v>
      </c>
      <c r="C210" s="187" t="s">
        <v>1615</v>
      </c>
      <c r="D210" s="187" t="s">
        <v>1616</v>
      </c>
      <c r="E210" s="187" t="s">
        <v>1611</v>
      </c>
      <c r="F210" s="187" t="s">
        <v>1617</v>
      </c>
      <c r="G210" s="187" t="s">
        <v>1618</v>
      </c>
      <c r="H210" s="185" t="s">
        <v>1443</v>
      </c>
      <c r="I210" s="186" t="s">
        <v>36</v>
      </c>
      <c r="J210" s="56"/>
      <c r="K210" s="35" t="s">
        <v>36</v>
      </c>
    </row>
    <row r="211">
      <c r="A211" s="183" t="s">
        <v>383</v>
      </c>
      <c r="B211" s="35" t="s">
        <v>1885</v>
      </c>
      <c r="C211" s="187" t="s">
        <v>1620</v>
      </c>
      <c r="D211" s="187" t="s">
        <v>1621</v>
      </c>
      <c r="E211" s="187" t="s">
        <v>1622</v>
      </c>
      <c r="F211" s="187" t="s">
        <v>1623</v>
      </c>
      <c r="G211" s="187" t="s">
        <v>1624</v>
      </c>
      <c r="H211" s="185" t="s">
        <v>1443</v>
      </c>
      <c r="I211" s="186" t="s">
        <v>36</v>
      </c>
      <c r="J211" s="56"/>
      <c r="K211" s="35" t="s">
        <v>36</v>
      </c>
    </row>
    <row r="212">
      <c r="A212" s="183" t="s">
        <v>383</v>
      </c>
      <c r="B212" s="35" t="s">
        <v>1886</v>
      </c>
      <c r="C212" s="187" t="s">
        <v>1626</v>
      </c>
      <c r="D212" s="187" t="s">
        <v>1627</v>
      </c>
      <c r="E212" s="187" t="s">
        <v>1622</v>
      </c>
      <c r="F212" s="187" t="s">
        <v>1549</v>
      </c>
      <c r="G212" s="187" t="s">
        <v>1628</v>
      </c>
      <c r="H212" s="185" t="s">
        <v>1443</v>
      </c>
      <c r="I212" s="186" t="s">
        <v>36</v>
      </c>
      <c r="J212" s="56"/>
      <c r="K212" s="35" t="s">
        <v>36</v>
      </c>
    </row>
    <row r="213">
      <c r="A213" s="183" t="s">
        <v>383</v>
      </c>
      <c r="B213" s="35" t="s">
        <v>1887</v>
      </c>
      <c r="C213" s="187" t="s">
        <v>1630</v>
      </c>
      <c r="D213" s="187" t="s">
        <v>1631</v>
      </c>
      <c r="E213" s="187" t="s">
        <v>1632</v>
      </c>
      <c r="F213" s="187" t="s">
        <v>1633</v>
      </c>
      <c r="G213" s="187" t="s">
        <v>1634</v>
      </c>
      <c r="H213" s="185" t="s">
        <v>1443</v>
      </c>
      <c r="I213" s="186" t="s">
        <v>111</v>
      </c>
      <c r="J213" s="56"/>
      <c r="K213" s="35" t="s">
        <v>111</v>
      </c>
    </row>
    <row r="214">
      <c r="A214" s="183" t="s">
        <v>383</v>
      </c>
      <c r="B214" s="35" t="s">
        <v>1888</v>
      </c>
      <c r="C214" s="187" t="s">
        <v>1636</v>
      </c>
      <c r="D214" s="187" t="s">
        <v>1637</v>
      </c>
      <c r="E214" s="187" t="s">
        <v>1638</v>
      </c>
      <c r="F214" s="187" t="s">
        <v>1639</v>
      </c>
      <c r="G214" s="187" t="s">
        <v>1588</v>
      </c>
      <c r="H214" s="185" t="s">
        <v>1443</v>
      </c>
      <c r="I214" s="186" t="s">
        <v>36</v>
      </c>
      <c r="J214" s="56"/>
      <c r="K214" s="35" t="s">
        <v>36</v>
      </c>
    </row>
    <row r="215">
      <c r="A215" s="183" t="s">
        <v>383</v>
      </c>
      <c r="B215" s="35" t="s">
        <v>1889</v>
      </c>
      <c r="C215" s="187" t="s">
        <v>1641</v>
      </c>
      <c r="D215" s="187" t="s">
        <v>1642</v>
      </c>
      <c r="E215" s="187" t="s">
        <v>1638</v>
      </c>
      <c r="F215" s="187" t="s">
        <v>1643</v>
      </c>
      <c r="G215" s="187" t="s">
        <v>1594</v>
      </c>
      <c r="H215" s="185" t="s">
        <v>1443</v>
      </c>
      <c r="I215" s="186" t="s">
        <v>111</v>
      </c>
      <c r="J215" s="35" t="s">
        <v>1890</v>
      </c>
      <c r="K215" s="35" t="s">
        <v>111</v>
      </c>
    </row>
    <row r="216">
      <c r="A216" s="183" t="s">
        <v>383</v>
      </c>
      <c r="B216" s="35" t="s">
        <v>1891</v>
      </c>
      <c r="C216" s="187" t="s">
        <v>1645</v>
      </c>
      <c r="D216" s="187" t="s">
        <v>1646</v>
      </c>
      <c r="E216" s="187" t="s">
        <v>1638</v>
      </c>
      <c r="F216" s="187" t="s">
        <v>1647</v>
      </c>
      <c r="G216" s="187" t="s">
        <v>1601</v>
      </c>
      <c r="H216" s="185" t="s">
        <v>1443</v>
      </c>
      <c r="I216" s="186" t="s">
        <v>36</v>
      </c>
      <c r="J216" s="56"/>
      <c r="K216" s="35" t="s">
        <v>36</v>
      </c>
    </row>
    <row r="217">
      <c r="A217" s="183" t="s">
        <v>383</v>
      </c>
      <c r="B217" s="35" t="s">
        <v>1892</v>
      </c>
      <c r="C217" s="187" t="s">
        <v>1649</v>
      </c>
      <c r="D217" s="187" t="s">
        <v>1650</v>
      </c>
      <c r="E217" s="187" t="s">
        <v>1638</v>
      </c>
      <c r="F217" s="187" t="s">
        <v>1554</v>
      </c>
      <c r="G217" s="187" t="s">
        <v>1651</v>
      </c>
      <c r="H217" s="185" t="s">
        <v>1443</v>
      </c>
      <c r="I217" s="186" t="s">
        <v>111</v>
      </c>
      <c r="J217" s="56"/>
      <c r="K217" s="35" t="s">
        <v>111</v>
      </c>
    </row>
    <row r="218">
      <c r="A218" s="183" t="s">
        <v>383</v>
      </c>
      <c r="B218" s="35" t="s">
        <v>1893</v>
      </c>
      <c r="C218" s="187" t="s">
        <v>1653</v>
      </c>
      <c r="D218" s="187" t="s">
        <v>1654</v>
      </c>
      <c r="E218" s="187" t="s">
        <v>1638</v>
      </c>
      <c r="F218" s="187" t="s">
        <v>1560</v>
      </c>
      <c r="G218" s="187" t="s">
        <v>1561</v>
      </c>
      <c r="H218" s="185" t="s">
        <v>1443</v>
      </c>
      <c r="I218" s="186" t="s">
        <v>36</v>
      </c>
      <c r="J218" s="56"/>
      <c r="K218" s="35" t="s">
        <v>36</v>
      </c>
    </row>
    <row r="219">
      <c r="A219" s="183" t="s">
        <v>383</v>
      </c>
      <c r="B219" s="35" t="s">
        <v>1894</v>
      </c>
      <c r="C219" s="187" t="s">
        <v>1656</v>
      </c>
      <c r="D219" s="187" t="s">
        <v>1564</v>
      </c>
      <c r="E219" s="187" t="s">
        <v>1638</v>
      </c>
      <c r="F219" s="187" t="s">
        <v>1657</v>
      </c>
      <c r="G219" s="187" t="s">
        <v>1566</v>
      </c>
      <c r="H219" s="185" t="s">
        <v>1443</v>
      </c>
      <c r="I219" s="186" t="s">
        <v>36</v>
      </c>
      <c r="J219" s="56"/>
      <c r="K219" s="35" t="s">
        <v>36</v>
      </c>
    </row>
    <row r="220">
      <c r="A220" s="183" t="s">
        <v>383</v>
      </c>
      <c r="B220" s="35" t="s">
        <v>1895</v>
      </c>
      <c r="C220" s="187" t="s">
        <v>1659</v>
      </c>
      <c r="D220" s="187" t="s">
        <v>1569</v>
      </c>
      <c r="E220" s="187" t="s">
        <v>1638</v>
      </c>
      <c r="F220" s="187" t="s">
        <v>1570</v>
      </c>
      <c r="G220" s="187" t="s">
        <v>1571</v>
      </c>
      <c r="H220" s="185" t="s">
        <v>1443</v>
      </c>
      <c r="I220" s="186" t="s">
        <v>36</v>
      </c>
      <c r="J220" s="56"/>
      <c r="K220" s="35" t="s">
        <v>36</v>
      </c>
    </row>
    <row r="221">
      <c r="A221" s="183" t="s">
        <v>383</v>
      </c>
      <c r="B221" s="35" t="s">
        <v>1896</v>
      </c>
      <c r="C221" s="187" t="s">
        <v>1661</v>
      </c>
      <c r="D221" s="187" t="s">
        <v>1574</v>
      </c>
      <c r="E221" s="187" t="s">
        <v>1638</v>
      </c>
      <c r="F221" s="187" t="s">
        <v>1575</v>
      </c>
      <c r="G221" s="187" t="s">
        <v>1576</v>
      </c>
      <c r="H221" s="185" t="s">
        <v>1443</v>
      </c>
      <c r="I221" s="186" t="s">
        <v>111</v>
      </c>
      <c r="J221" s="35" t="s">
        <v>1577</v>
      </c>
      <c r="K221" s="35" t="s">
        <v>111</v>
      </c>
    </row>
    <row r="222">
      <c r="A222" s="183" t="s">
        <v>383</v>
      </c>
      <c r="B222" s="35" t="s">
        <v>1897</v>
      </c>
      <c r="C222" s="187" t="s">
        <v>1663</v>
      </c>
      <c r="D222" s="187" t="s">
        <v>1580</v>
      </c>
      <c r="E222" s="187" t="s">
        <v>1638</v>
      </c>
      <c r="F222" s="187" t="s">
        <v>1581</v>
      </c>
      <c r="G222" s="187" t="s">
        <v>1582</v>
      </c>
      <c r="H222" s="185" t="s">
        <v>1443</v>
      </c>
      <c r="I222" s="186" t="s">
        <v>111</v>
      </c>
      <c r="J222" s="35" t="s">
        <v>1664</v>
      </c>
      <c r="K222" s="35" t="s">
        <v>111</v>
      </c>
    </row>
    <row r="223">
      <c r="A223" s="183" t="s">
        <v>383</v>
      </c>
      <c r="B223" s="35" t="s">
        <v>1898</v>
      </c>
      <c r="C223" s="187" t="s">
        <v>1666</v>
      </c>
      <c r="D223" s="187" t="s">
        <v>1667</v>
      </c>
      <c r="E223" s="187" t="s">
        <v>1668</v>
      </c>
      <c r="F223" s="187" t="s">
        <v>1669</v>
      </c>
      <c r="G223" s="187" t="s">
        <v>1670</v>
      </c>
      <c r="H223" s="185" t="s">
        <v>1443</v>
      </c>
      <c r="I223" s="186" t="s">
        <v>111</v>
      </c>
      <c r="J223" s="35" t="s">
        <v>1899</v>
      </c>
      <c r="K223" s="35" t="s">
        <v>111</v>
      </c>
    </row>
    <row r="224">
      <c r="A224" s="183" t="s">
        <v>383</v>
      </c>
      <c r="B224" s="35" t="s">
        <v>1900</v>
      </c>
      <c r="C224" s="187" t="s">
        <v>1672</v>
      </c>
      <c r="D224" s="187" t="s">
        <v>1673</v>
      </c>
      <c r="E224" s="187" t="s">
        <v>1674</v>
      </c>
      <c r="F224" s="187" t="s">
        <v>1675</v>
      </c>
      <c r="G224" s="187" t="s">
        <v>1651</v>
      </c>
      <c r="H224" s="185" t="s">
        <v>1443</v>
      </c>
      <c r="I224" s="186" t="s">
        <v>111</v>
      </c>
      <c r="J224" s="56"/>
      <c r="K224" s="35" t="s">
        <v>111</v>
      </c>
    </row>
    <row r="225">
      <c r="A225" s="183" t="s">
        <v>383</v>
      </c>
      <c r="B225" s="35" t="s">
        <v>1901</v>
      </c>
      <c r="C225" s="187" t="s">
        <v>1678</v>
      </c>
      <c r="D225" s="187" t="s">
        <v>1679</v>
      </c>
      <c r="E225" s="187" t="s">
        <v>1680</v>
      </c>
      <c r="F225" s="187" t="s">
        <v>1681</v>
      </c>
      <c r="G225" s="187" t="s">
        <v>1682</v>
      </c>
      <c r="H225" s="185" t="s">
        <v>1443</v>
      </c>
      <c r="I225" s="186" t="s">
        <v>111</v>
      </c>
      <c r="J225" s="35" t="s">
        <v>1899</v>
      </c>
      <c r="K225" s="35" t="s">
        <v>111</v>
      </c>
    </row>
    <row r="226">
      <c r="A226" s="183" t="s">
        <v>383</v>
      </c>
      <c r="B226" s="35" t="s">
        <v>1902</v>
      </c>
      <c r="C226" s="187" t="s">
        <v>1684</v>
      </c>
      <c r="D226" s="187" t="s">
        <v>1679</v>
      </c>
      <c r="E226" s="187" t="s">
        <v>1680</v>
      </c>
      <c r="F226" s="187" t="s">
        <v>1675</v>
      </c>
      <c r="G226" s="187" t="s">
        <v>1682</v>
      </c>
      <c r="H226" s="185" t="s">
        <v>1443</v>
      </c>
      <c r="I226" s="186" t="s">
        <v>111</v>
      </c>
      <c r="J226" s="56"/>
      <c r="K226" s="35" t="s">
        <v>111</v>
      </c>
    </row>
    <row r="227">
      <c r="A227" s="183" t="s">
        <v>383</v>
      </c>
      <c r="B227" s="35" t="s">
        <v>1903</v>
      </c>
      <c r="C227" s="187" t="s">
        <v>1686</v>
      </c>
      <c r="D227" s="187" t="s">
        <v>1687</v>
      </c>
      <c r="E227" s="187" t="s">
        <v>1688</v>
      </c>
      <c r="F227" s="187" t="s">
        <v>1689</v>
      </c>
      <c r="G227" s="187" t="s">
        <v>1690</v>
      </c>
      <c r="H227" s="185" t="s">
        <v>1443</v>
      </c>
      <c r="I227" s="186" t="s">
        <v>36</v>
      </c>
      <c r="J227" s="56"/>
      <c r="K227" s="35" t="s">
        <v>36</v>
      </c>
    </row>
    <row r="228">
      <c r="A228" s="183" t="s">
        <v>383</v>
      </c>
      <c r="B228" s="35" t="s">
        <v>1904</v>
      </c>
      <c r="C228" s="187" t="s">
        <v>1692</v>
      </c>
      <c r="D228" s="187" t="s">
        <v>1693</v>
      </c>
      <c r="E228" s="187" t="s">
        <v>1694</v>
      </c>
      <c r="F228" s="187" t="s">
        <v>1554</v>
      </c>
      <c r="G228" s="187" t="s">
        <v>1555</v>
      </c>
      <c r="H228" s="185" t="s">
        <v>1443</v>
      </c>
      <c r="I228" s="186" t="s">
        <v>111</v>
      </c>
      <c r="J228" s="35" t="s">
        <v>1556</v>
      </c>
      <c r="K228" s="35" t="s">
        <v>111</v>
      </c>
    </row>
    <row r="229">
      <c r="A229" s="183" t="s">
        <v>383</v>
      </c>
      <c r="B229" s="35" t="s">
        <v>1905</v>
      </c>
      <c r="C229" s="187" t="s">
        <v>1696</v>
      </c>
      <c r="D229" s="187" t="s">
        <v>1564</v>
      </c>
      <c r="E229" s="187" t="s">
        <v>1697</v>
      </c>
      <c r="F229" s="187" t="s">
        <v>1657</v>
      </c>
      <c r="G229" s="187" t="s">
        <v>1566</v>
      </c>
      <c r="H229" s="185" t="s">
        <v>1443</v>
      </c>
      <c r="I229" s="186" t="s">
        <v>36</v>
      </c>
      <c r="J229" s="56"/>
      <c r="K229" s="35" t="s">
        <v>36</v>
      </c>
    </row>
    <row r="230">
      <c r="A230" s="183" t="s">
        <v>383</v>
      </c>
      <c r="B230" s="35" t="s">
        <v>1906</v>
      </c>
      <c r="C230" s="187" t="s">
        <v>1699</v>
      </c>
      <c r="D230" s="187" t="s">
        <v>1700</v>
      </c>
      <c r="E230" s="187" t="s">
        <v>1701</v>
      </c>
      <c r="F230" s="187" t="s">
        <v>1560</v>
      </c>
      <c r="G230" s="187" t="s">
        <v>1561</v>
      </c>
      <c r="H230" s="185" t="s">
        <v>1443</v>
      </c>
      <c r="I230" s="186" t="s">
        <v>36</v>
      </c>
      <c r="J230" s="35"/>
      <c r="K230" s="35" t="s">
        <v>36</v>
      </c>
    </row>
    <row r="231">
      <c r="A231" s="183" t="s">
        <v>383</v>
      </c>
      <c r="B231" s="35" t="s">
        <v>1907</v>
      </c>
      <c r="C231" s="187" t="s">
        <v>1703</v>
      </c>
      <c r="D231" s="187" t="s">
        <v>1569</v>
      </c>
      <c r="E231" s="187" t="s">
        <v>1622</v>
      </c>
      <c r="F231" s="187" t="s">
        <v>1570</v>
      </c>
      <c r="G231" s="187" t="s">
        <v>1571</v>
      </c>
      <c r="H231" s="185" t="s">
        <v>1443</v>
      </c>
      <c r="I231" s="186" t="s">
        <v>36</v>
      </c>
      <c r="J231" s="56"/>
      <c r="K231" s="35" t="s">
        <v>36</v>
      </c>
    </row>
    <row r="232">
      <c r="A232" s="183" t="s">
        <v>383</v>
      </c>
      <c r="B232" s="35" t="s">
        <v>1908</v>
      </c>
      <c r="C232" s="187" t="s">
        <v>1705</v>
      </c>
      <c r="D232" s="187" t="s">
        <v>1574</v>
      </c>
      <c r="E232" s="187" t="s">
        <v>1622</v>
      </c>
      <c r="F232" s="187" t="s">
        <v>1575</v>
      </c>
      <c r="G232" s="187" t="s">
        <v>1576</v>
      </c>
      <c r="H232" s="185" t="s">
        <v>1443</v>
      </c>
      <c r="I232" s="186" t="s">
        <v>111</v>
      </c>
      <c r="J232" s="35" t="s">
        <v>1577</v>
      </c>
      <c r="K232" s="35" t="s">
        <v>111</v>
      </c>
    </row>
    <row r="233">
      <c r="A233" s="183" t="s">
        <v>383</v>
      </c>
      <c r="B233" s="35" t="s">
        <v>1909</v>
      </c>
      <c r="C233" s="187" t="s">
        <v>1707</v>
      </c>
      <c r="D233" s="187" t="s">
        <v>1580</v>
      </c>
      <c r="E233" s="187" t="s">
        <v>1622</v>
      </c>
      <c r="F233" s="187" t="s">
        <v>1581</v>
      </c>
      <c r="G233" s="187" t="s">
        <v>1582</v>
      </c>
      <c r="H233" s="185" t="s">
        <v>1443</v>
      </c>
      <c r="I233" s="186" t="s">
        <v>36</v>
      </c>
      <c r="J233" s="56"/>
      <c r="K233" s="35" t="s">
        <v>36</v>
      </c>
    </row>
    <row r="234">
      <c r="A234" s="183" t="s">
        <v>383</v>
      </c>
      <c r="B234" s="35" t="s">
        <v>1910</v>
      </c>
      <c r="C234" s="187" t="s">
        <v>1709</v>
      </c>
      <c r="D234" s="187" t="s">
        <v>1710</v>
      </c>
      <c r="E234" s="187" t="s">
        <v>1622</v>
      </c>
      <c r="F234" s="187" t="s">
        <v>1711</v>
      </c>
      <c r="G234" s="187" t="s">
        <v>1712</v>
      </c>
      <c r="H234" s="185" t="s">
        <v>1443</v>
      </c>
      <c r="I234" s="186" t="s">
        <v>111</v>
      </c>
      <c r="J234" s="35" t="s">
        <v>1911</v>
      </c>
      <c r="K234" s="35" t="s">
        <v>111</v>
      </c>
    </row>
    <row r="235">
      <c r="A235" s="183" t="s">
        <v>383</v>
      </c>
      <c r="B235" s="35" t="s">
        <v>1912</v>
      </c>
      <c r="C235" s="187" t="s">
        <v>1714</v>
      </c>
      <c r="D235" s="187" t="s">
        <v>1715</v>
      </c>
      <c r="E235" s="187" t="s">
        <v>1716</v>
      </c>
      <c r="F235" s="187" t="s">
        <v>1717</v>
      </c>
      <c r="G235" s="187" t="s">
        <v>1718</v>
      </c>
      <c r="H235" s="185" t="s">
        <v>1443</v>
      </c>
      <c r="I235" s="186" t="s">
        <v>111</v>
      </c>
      <c r="J235" s="35" t="s">
        <v>1913</v>
      </c>
      <c r="K235" s="35" t="s">
        <v>111</v>
      </c>
    </row>
    <row r="236">
      <c r="A236" s="183" t="s">
        <v>383</v>
      </c>
      <c r="B236" s="35" t="s">
        <v>1914</v>
      </c>
      <c r="C236" s="187" t="s">
        <v>1720</v>
      </c>
      <c r="D236" s="187" t="s">
        <v>1721</v>
      </c>
      <c r="E236" s="187" t="s">
        <v>1722</v>
      </c>
      <c r="F236" s="187" t="s">
        <v>1723</v>
      </c>
      <c r="G236" s="187" t="s">
        <v>1628</v>
      </c>
      <c r="H236" s="185" t="s">
        <v>1443</v>
      </c>
      <c r="I236" s="186" t="s">
        <v>111</v>
      </c>
      <c r="J236" s="35" t="s">
        <v>1913</v>
      </c>
      <c r="K236" s="35" t="s">
        <v>111</v>
      </c>
    </row>
    <row r="237">
      <c r="A237" s="183" t="s">
        <v>413</v>
      </c>
      <c r="B237" s="35" t="s">
        <v>1915</v>
      </c>
      <c r="C237" s="35" t="s">
        <v>1438</v>
      </c>
      <c r="D237" s="35" t="s">
        <v>1439</v>
      </c>
      <c r="E237" s="184" t="s">
        <v>1440</v>
      </c>
      <c r="F237" s="183" t="s">
        <v>1441</v>
      </c>
      <c r="G237" s="35" t="s">
        <v>1442</v>
      </c>
      <c r="H237" s="185" t="s">
        <v>1443</v>
      </c>
      <c r="I237" s="186" t="s">
        <v>36</v>
      </c>
      <c r="J237" s="56"/>
      <c r="K237" s="35" t="s">
        <v>36</v>
      </c>
    </row>
    <row r="238">
      <c r="A238" s="183" t="s">
        <v>413</v>
      </c>
      <c r="B238" s="35" t="s">
        <v>1916</v>
      </c>
      <c r="C238" s="187" t="s">
        <v>1446</v>
      </c>
      <c r="D238" s="187" t="s">
        <v>1447</v>
      </c>
      <c r="E238" s="187" t="s">
        <v>1448</v>
      </c>
      <c r="F238" s="187" t="s">
        <v>1449</v>
      </c>
      <c r="G238" s="187" t="s">
        <v>1450</v>
      </c>
      <c r="H238" s="185" t="s">
        <v>1443</v>
      </c>
      <c r="I238" s="186" t="s">
        <v>36</v>
      </c>
      <c r="J238" s="56"/>
      <c r="K238" s="35" t="s">
        <v>36</v>
      </c>
    </row>
    <row r="239">
      <c r="A239" s="183" t="s">
        <v>413</v>
      </c>
      <c r="B239" s="35" t="s">
        <v>1917</v>
      </c>
      <c r="C239" s="187" t="s">
        <v>1453</v>
      </c>
      <c r="D239" s="187" t="s">
        <v>1454</v>
      </c>
      <c r="E239" s="187" t="s">
        <v>1448</v>
      </c>
      <c r="F239" s="187" t="s">
        <v>1455</v>
      </c>
      <c r="G239" s="187" t="s">
        <v>1456</v>
      </c>
      <c r="H239" s="185" t="s">
        <v>1443</v>
      </c>
      <c r="I239" s="186" t="s">
        <v>36</v>
      </c>
      <c r="J239" s="56"/>
      <c r="K239" s="35" t="s">
        <v>36</v>
      </c>
    </row>
    <row r="240">
      <c r="A240" s="183" t="s">
        <v>413</v>
      </c>
      <c r="B240" s="35" t="s">
        <v>1918</v>
      </c>
      <c r="C240" s="187" t="s">
        <v>1459</v>
      </c>
      <c r="D240" s="187" t="s">
        <v>1460</v>
      </c>
      <c r="E240" s="187" t="s">
        <v>1448</v>
      </c>
      <c r="F240" s="187" t="s">
        <v>1461</v>
      </c>
      <c r="G240" s="187" t="s">
        <v>1462</v>
      </c>
      <c r="H240" s="185" t="s">
        <v>1443</v>
      </c>
      <c r="I240" s="186" t="s">
        <v>36</v>
      </c>
      <c r="J240" s="56"/>
      <c r="K240" s="35" t="s">
        <v>36</v>
      </c>
    </row>
    <row r="241">
      <c r="A241" s="183" t="s">
        <v>413</v>
      </c>
      <c r="B241" s="35" t="s">
        <v>1919</v>
      </c>
      <c r="C241" s="183" t="s">
        <v>1465</v>
      </c>
      <c r="D241" s="183" t="s">
        <v>1466</v>
      </c>
      <c r="E241" s="187" t="s">
        <v>1448</v>
      </c>
      <c r="F241" s="183" t="s">
        <v>1467</v>
      </c>
      <c r="G241" s="183" t="s">
        <v>1468</v>
      </c>
      <c r="H241" s="185" t="s">
        <v>1443</v>
      </c>
      <c r="I241" s="186" t="s">
        <v>111</v>
      </c>
      <c r="J241" s="35" t="s">
        <v>1469</v>
      </c>
      <c r="K241" s="35" t="s">
        <v>111</v>
      </c>
    </row>
    <row r="242">
      <c r="A242" s="183" t="s">
        <v>413</v>
      </c>
      <c r="B242" s="35" t="s">
        <v>1920</v>
      </c>
      <c r="C242" s="183" t="s">
        <v>1471</v>
      </c>
      <c r="D242" s="183" t="s">
        <v>1472</v>
      </c>
      <c r="E242" s="187" t="s">
        <v>1448</v>
      </c>
      <c r="F242" s="183" t="s">
        <v>1473</v>
      </c>
      <c r="G242" s="183" t="s">
        <v>1474</v>
      </c>
      <c r="H242" s="185" t="s">
        <v>1443</v>
      </c>
      <c r="I242" s="186" t="s">
        <v>111</v>
      </c>
      <c r="J242" s="35" t="s">
        <v>1475</v>
      </c>
      <c r="K242" s="35" t="s">
        <v>111</v>
      </c>
    </row>
    <row r="243">
      <c r="A243" s="183" t="s">
        <v>413</v>
      </c>
      <c r="B243" s="35" t="s">
        <v>1921</v>
      </c>
      <c r="C243" s="183" t="s">
        <v>1477</v>
      </c>
      <c r="D243" s="183" t="s">
        <v>1478</v>
      </c>
      <c r="E243" s="187" t="s">
        <v>1448</v>
      </c>
      <c r="F243" s="183" t="s">
        <v>1479</v>
      </c>
      <c r="G243" s="183" t="s">
        <v>1468</v>
      </c>
      <c r="H243" s="185" t="s">
        <v>1443</v>
      </c>
      <c r="I243" s="186" t="s">
        <v>111</v>
      </c>
      <c r="J243" s="35" t="s">
        <v>1469</v>
      </c>
      <c r="K243" s="35" t="s">
        <v>111</v>
      </c>
    </row>
    <row r="244">
      <c r="A244" s="183" t="s">
        <v>413</v>
      </c>
      <c r="B244" s="35" t="s">
        <v>1922</v>
      </c>
      <c r="C244" s="183" t="s">
        <v>1481</v>
      </c>
      <c r="D244" s="183" t="s">
        <v>1472</v>
      </c>
      <c r="E244" s="187" t="s">
        <v>1448</v>
      </c>
      <c r="F244" s="183" t="s">
        <v>1482</v>
      </c>
      <c r="G244" s="183" t="s">
        <v>1474</v>
      </c>
      <c r="H244" s="185" t="s">
        <v>1443</v>
      </c>
      <c r="I244" s="186" t="s">
        <v>111</v>
      </c>
      <c r="J244" s="183" t="s">
        <v>1475</v>
      </c>
      <c r="K244" s="35" t="s">
        <v>111</v>
      </c>
    </row>
    <row r="245">
      <c r="A245" s="183" t="s">
        <v>413</v>
      </c>
      <c r="B245" s="35" t="s">
        <v>1923</v>
      </c>
      <c r="C245" s="183" t="s">
        <v>1484</v>
      </c>
      <c r="D245" s="183" t="s">
        <v>1472</v>
      </c>
      <c r="E245" s="187" t="s">
        <v>1448</v>
      </c>
      <c r="F245" s="183" t="s">
        <v>1485</v>
      </c>
      <c r="G245" s="183" t="s">
        <v>1486</v>
      </c>
      <c r="H245" s="185" t="s">
        <v>1443</v>
      </c>
      <c r="I245" s="186" t="s">
        <v>111</v>
      </c>
      <c r="J245" s="183" t="s">
        <v>1475</v>
      </c>
      <c r="K245" s="35" t="s">
        <v>111</v>
      </c>
    </row>
    <row r="246">
      <c r="A246" s="183" t="s">
        <v>413</v>
      </c>
      <c r="B246" s="35" t="s">
        <v>1924</v>
      </c>
      <c r="C246" s="187" t="s">
        <v>1488</v>
      </c>
      <c r="D246" s="187" t="s">
        <v>1489</v>
      </c>
      <c r="E246" s="187" t="s">
        <v>1490</v>
      </c>
      <c r="F246" s="187" t="s">
        <v>1491</v>
      </c>
      <c r="G246" s="187" t="s">
        <v>1492</v>
      </c>
      <c r="H246" s="185" t="s">
        <v>1443</v>
      </c>
      <c r="I246" s="186" t="s">
        <v>36</v>
      </c>
      <c r="J246" s="56"/>
      <c r="K246" s="35" t="s">
        <v>36</v>
      </c>
    </row>
    <row r="247">
      <c r="A247" s="183" t="s">
        <v>413</v>
      </c>
      <c r="B247" s="35" t="s">
        <v>1925</v>
      </c>
      <c r="C247" s="187" t="s">
        <v>1494</v>
      </c>
      <c r="D247" s="183" t="s">
        <v>1495</v>
      </c>
      <c r="E247" s="187" t="s">
        <v>1496</v>
      </c>
      <c r="F247" s="187" t="s">
        <v>1497</v>
      </c>
      <c r="G247" s="187" t="s">
        <v>1498</v>
      </c>
      <c r="H247" s="185" t="s">
        <v>1443</v>
      </c>
      <c r="I247" s="186" t="s">
        <v>111</v>
      </c>
      <c r="J247" s="35" t="s">
        <v>1499</v>
      </c>
      <c r="K247" s="35" t="s">
        <v>111</v>
      </c>
    </row>
    <row r="248">
      <c r="A248" s="183" t="s">
        <v>413</v>
      </c>
      <c r="B248" s="35" t="s">
        <v>1926</v>
      </c>
      <c r="C248" s="187" t="s">
        <v>1501</v>
      </c>
      <c r="D248" s="187" t="s">
        <v>1502</v>
      </c>
      <c r="E248" s="187" t="s">
        <v>1503</v>
      </c>
      <c r="F248" s="187" t="s">
        <v>1491</v>
      </c>
      <c r="G248" s="187" t="s">
        <v>1504</v>
      </c>
      <c r="H248" s="185" t="s">
        <v>1443</v>
      </c>
      <c r="I248" s="186" t="s">
        <v>36</v>
      </c>
      <c r="J248" s="56"/>
      <c r="K248" s="35" t="s">
        <v>36</v>
      </c>
    </row>
    <row r="249">
      <c r="A249" s="183" t="s">
        <v>413</v>
      </c>
      <c r="B249" s="35" t="s">
        <v>1927</v>
      </c>
      <c r="C249" s="187" t="s">
        <v>1506</v>
      </c>
      <c r="D249" s="187" t="s">
        <v>1507</v>
      </c>
      <c r="E249" s="187" t="s">
        <v>1508</v>
      </c>
      <c r="F249" s="187" t="s">
        <v>1491</v>
      </c>
      <c r="G249" s="187" t="s">
        <v>1509</v>
      </c>
      <c r="H249" s="185" t="s">
        <v>1443</v>
      </c>
      <c r="I249" s="186" t="s">
        <v>36</v>
      </c>
      <c r="J249" s="56"/>
      <c r="K249" s="35" t="s">
        <v>36</v>
      </c>
    </row>
    <row r="250">
      <c r="A250" s="183" t="s">
        <v>413</v>
      </c>
      <c r="B250" s="35" t="s">
        <v>1928</v>
      </c>
      <c r="C250" s="187" t="s">
        <v>1511</v>
      </c>
      <c r="D250" s="187" t="s">
        <v>1512</v>
      </c>
      <c r="E250" s="187" t="s">
        <v>1513</v>
      </c>
      <c r="F250" s="187" t="s">
        <v>1491</v>
      </c>
      <c r="G250" s="187" t="s">
        <v>1514</v>
      </c>
      <c r="H250" s="185" t="s">
        <v>1443</v>
      </c>
      <c r="I250" s="186" t="s">
        <v>36</v>
      </c>
      <c r="J250" s="56"/>
      <c r="K250" s="35" t="s">
        <v>36</v>
      </c>
    </row>
    <row r="251">
      <c r="A251" s="183" t="s">
        <v>413</v>
      </c>
      <c r="B251" s="35" t="s">
        <v>1929</v>
      </c>
      <c r="C251" s="187" t="s">
        <v>1516</v>
      </c>
      <c r="D251" s="187" t="s">
        <v>1517</v>
      </c>
      <c r="E251" s="187" t="s">
        <v>1518</v>
      </c>
      <c r="F251" s="187" t="s">
        <v>1519</v>
      </c>
      <c r="G251" s="187" t="s">
        <v>1520</v>
      </c>
      <c r="H251" s="185" t="s">
        <v>1443</v>
      </c>
      <c r="I251" s="186" t="s">
        <v>111</v>
      </c>
      <c r="J251" s="35" t="s">
        <v>1521</v>
      </c>
      <c r="K251" s="35" t="s">
        <v>111</v>
      </c>
    </row>
    <row r="252">
      <c r="A252" s="183" t="s">
        <v>413</v>
      </c>
      <c r="B252" s="35" t="s">
        <v>1930</v>
      </c>
      <c r="C252" s="187" t="s">
        <v>1523</v>
      </c>
      <c r="D252" s="187" t="s">
        <v>1524</v>
      </c>
      <c r="E252" s="187" t="s">
        <v>1525</v>
      </c>
      <c r="F252" s="187" t="s">
        <v>1526</v>
      </c>
      <c r="G252" s="187" t="s">
        <v>1527</v>
      </c>
      <c r="H252" s="185" t="s">
        <v>1443</v>
      </c>
      <c r="I252" s="186" t="s">
        <v>111</v>
      </c>
      <c r="J252" s="35" t="s">
        <v>1521</v>
      </c>
      <c r="K252" s="35" t="s">
        <v>111</v>
      </c>
    </row>
    <row r="253">
      <c r="A253" s="183" t="s">
        <v>413</v>
      </c>
      <c r="B253" s="35" t="s">
        <v>1931</v>
      </c>
      <c r="C253" s="187" t="s">
        <v>1529</v>
      </c>
      <c r="D253" s="187" t="s">
        <v>1530</v>
      </c>
      <c r="E253" s="187" t="s">
        <v>1531</v>
      </c>
      <c r="F253" s="187" t="s">
        <v>1532</v>
      </c>
      <c r="G253" s="187" t="s">
        <v>1533</v>
      </c>
      <c r="H253" s="185" t="s">
        <v>1443</v>
      </c>
      <c r="I253" s="186" t="s">
        <v>111</v>
      </c>
      <c r="J253" s="35" t="s">
        <v>1521</v>
      </c>
      <c r="K253" s="35" t="s">
        <v>111</v>
      </c>
    </row>
    <row r="254">
      <c r="A254" s="183" t="s">
        <v>413</v>
      </c>
      <c r="B254" s="35" t="s">
        <v>1932</v>
      </c>
      <c r="C254" s="187" t="s">
        <v>1535</v>
      </c>
      <c r="D254" s="187" t="s">
        <v>1536</v>
      </c>
      <c r="E254" s="187" t="s">
        <v>1537</v>
      </c>
      <c r="F254" s="187" t="s">
        <v>1538</v>
      </c>
      <c r="G254" s="187" t="s">
        <v>1539</v>
      </c>
      <c r="H254" s="185" t="s">
        <v>1443</v>
      </c>
      <c r="I254" s="186" t="s">
        <v>111</v>
      </c>
      <c r="J254" s="35" t="s">
        <v>1521</v>
      </c>
      <c r="K254" s="35" t="s">
        <v>111</v>
      </c>
    </row>
    <row r="255">
      <c r="A255" s="183" t="s">
        <v>413</v>
      </c>
      <c r="B255" s="35" t="s">
        <v>1933</v>
      </c>
      <c r="C255" s="187" t="s">
        <v>1541</v>
      </c>
      <c r="D255" s="187" t="s">
        <v>1542</v>
      </c>
      <c r="E255" s="187" t="s">
        <v>1543</v>
      </c>
      <c r="F255" s="187" t="s">
        <v>1544</v>
      </c>
      <c r="G255" s="187" t="s">
        <v>1545</v>
      </c>
      <c r="H255" s="185" t="s">
        <v>1443</v>
      </c>
      <c r="I255" s="186" t="s">
        <v>36</v>
      </c>
      <c r="J255" s="56"/>
      <c r="K255" s="35" t="s">
        <v>36</v>
      </c>
    </row>
    <row r="256">
      <c r="A256" s="183" t="s">
        <v>413</v>
      </c>
      <c r="B256" s="35" t="s">
        <v>1934</v>
      </c>
      <c r="C256" s="187" t="s">
        <v>1547</v>
      </c>
      <c r="D256" s="187" t="s">
        <v>1548</v>
      </c>
      <c r="E256" s="187" t="s">
        <v>1448</v>
      </c>
      <c r="F256" s="187" t="s">
        <v>1549</v>
      </c>
      <c r="G256" s="187" t="s">
        <v>1550</v>
      </c>
      <c r="H256" s="185" t="s">
        <v>1443</v>
      </c>
      <c r="I256" s="186" t="s">
        <v>36</v>
      </c>
      <c r="J256" s="56"/>
      <c r="K256" s="35" t="s">
        <v>36</v>
      </c>
    </row>
    <row r="257">
      <c r="A257" s="183" t="s">
        <v>413</v>
      </c>
      <c r="B257" s="35" t="s">
        <v>1935</v>
      </c>
      <c r="C257" s="187" t="s">
        <v>1552</v>
      </c>
      <c r="D257" s="187" t="s">
        <v>1553</v>
      </c>
      <c r="E257" s="187" t="s">
        <v>1448</v>
      </c>
      <c r="F257" s="187" t="s">
        <v>1554</v>
      </c>
      <c r="G257" s="187" t="s">
        <v>1555</v>
      </c>
      <c r="H257" s="185" t="s">
        <v>1443</v>
      </c>
      <c r="I257" s="186" t="s">
        <v>111</v>
      </c>
      <c r="J257" s="35" t="s">
        <v>1556</v>
      </c>
      <c r="K257" s="35" t="s">
        <v>111</v>
      </c>
    </row>
    <row r="258">
      <c r="A258" s="183" t="s">
        <v>413</v>
      </c>
      <c r="B258" s="35" t="s">
        <v>1936</v>
      </c>
      <c r="C258" s="187" t="s">
        <v>1558</v>
      </c>
      <c r="D258" s="187" t="s">
        <v>1559</v>
      </c>
      <c r="E258" s="187" t="s">
        <v>1448</v>
      </c>
      <c r="F258" s="187" t="s">
        <v>1560</v>
      </c>
      <c r="G258" s="187" t="s">
        <v>1561</v>
      </c>
      <c r="H258" s="185" t="s">
        <v>1443</v>
      </c>
      <c r="I258" s="186" t="s">
        <v>36</v>
      </c>
      <c r="J258" s="35"/>
      <c r="K258" s="35" t="s">
        <v>36</v>
      </c>
    </row>
    <row r="259">
      <c r="A259" s="183" t="s">
        <v>413</v>
      </c>
      <c r="B259" s="35" t="s">
        <v>1937</v>
      </c>
      <c r="C259" s="187" t="s">
        <v>1563</v>
      </c>
      <c r="D259" s="187" t="s">
        <v>1564</v>
      </c>
      <c r="E259" s="187" t="s">
        <v>1448</v>
      </c>
      <c r="F259" s="187" t="s">
        <v>1565</v>
      </c>
      <c r="G259" s="187" t="s">
        <v>1566</v>
      </c>
      <c r="H259" s="185" t="s">
        <v>1443</v>
      </c>
      <c r="I259" s="186" t="s">
        <v>36</v>
      </c>
      <c r="J259" s="35"/>
      <c r="K259" s="35" t="s">
        <v>36</v>
      </c>
    </row>
    <row r="260">
      <c r="A260" s="183" t="s">
        <v>413</v>
      </c>
      <c r="B260" s="35" t="s">
        <v>1938</v>
      </c>
      <c r="C260" s="187" t="s">
        <v>1568</v>
      </c>
      <c r="D260" s="187" t="s">
        <v>1569</v>
      </c>
      <c r="E260" s="187" t="s">
        <v>1448</v>
      </c>
      <c r="F260" s="187" t="s">
        <v>1570</v>
      </c>
      <c r="G260" s="187" t="s">
        <v>1571</v>
      </c>
      <c r="H260" s="185" t="s">
        <v>1443</v>
      </c>
      <c r="I260" s="186" t="s">
        <v>36</v>
      </c>
      <c r="J260" s="56"/>
      <c r="K260" s="35" t="s">
        <v>36</v>
      </c>
    </row>
    <row r="261">
      <c r="A261" s="183" t="s">
        <v>413</v>
      </c>
      <c r="B261" s="35" t="s">
        <v>1939</v>
      </c>
      <c r="C261" s="187" t="s">
        <v>1573</v>
      </c>
      <c r="D261" s="187" t="s">
        <v>1574</v>
      </c>
      <c r="E261" s="187" t="s">
        <v>1448</v>
      </c>
      <c r="F261" s="187" t="s">
        <v>1575</v>
      </c>
      <c r="G261" s="187" t="s">
        <v>1576</v>
      </c>
      <c r="H261" s="185" t="s">
        <v>1443</v>
      </c>
      <c r="I261" s="186" t="s">
        <v>111</v>
      </c>
      <c r="J261" s="35" t="s">
        <v>1577</v>
      </c>
      <c r="K261" s="35" t="s">
        <v>111</v>
      </c>
    </row>
    <row r="262">
      <c r="A262" s="183" t="s">
        <v>413</v>
      </c>
      <c r="B262" s="35" t="s">
        <v>1940</v>
      </c>
      <c r="C262" s="187" t="s">
        <v>1579</v>
      </c>
      <c r="D262" s="187" t="s">
        <v>1580</v>
      </c>
      <c r="E262" s="187" t="s">
        <v>1448</v>
      </c>
      <c r="F262" s="187" t="s">
        <v>1581</v>
      </c>
      <c r="G262" s="187" t="s">
        <v>1582</v>
      </c>
      <c r="H262" s="185" t="s">
        <v>1443</v>
      </c>
      <c r="I262" s="186" t="s">
        <v>36</v>
      </c>
      <c r="J262" s="56"/>
      <c r="K262" s="35" t="s">
        <v>36</v>
      </c>
    </row>
    <row r="263">
      <c r="A263" s="183" t="s">
        <v>413</v>
      </c>
      <c r="B263" s="35" t="s">
        <v>1941</v>
      </c>
      <c r="C263" s="187" t="s">
        <v>1584</v>
      </c>
      <c r="D263" s="187" t="s">
        <v>1585</v>
      </c>
      <c r="E263" s="187" t="s">
        <v>1586</v>
      </c>
      <c r="F263" s="187" t="s">
        <v>1587</v>
      </c>
      <c r="G263" s="187" t="s">
        <v>1588</v>
      </c>
      <c r="H263" s="185" t="s">
        <v>1443</v>
      </c>
      <c r="I263" s="186" t="s">
        <v>36</v>
      </c>
      <c r="J263" s="56"/>
      <c r="K263" s="35" t="s">
        <v>36</v>
      </c>
    </row>
    <row r="264">
      <c r="A264" s="183" t="s">
        <v>413</v>
      </c>
      <c r="B264" s="35" t="s">
        <v>1942</v>
      </c>
      <c r="C264" s="187" t="s">
        <v>1590</v>
      </c>
      <c r="D264" s="187" t="s">
        <v>1591</v>
      </c>
      <c r="E264" s="187" t="s">
        <v>1592</v>
      </c>
      <c r="F264" s="187" t="s">
        <v>1593</v>
      </c>
      <c r="G264" s="187" t="s">
        <v>1594</v>
      </c>
      <c r="H264" s="185" t="s">
        <v>1443</v>
      </c>
      <c r="I264" s="186" t="s">
        <v>111</v>
      </c>
      <c r="J264" s="35" t="s">
        <v>1595</v>
      </c>
      <c r="K264" s="35" t="s">
        <v>111</v>
      </c>
    </row>
    <row r="265">
      <c r="A265" s="183" t="s">
        <v>413</v>
      </c>
      <c r="B265" s="35" t="s">
        <v>1943</v>
      </c>
      <c r="C265" s="187" t="s">
        <v>1597</v>
      </c>
      <c r="D265" s="187" t="s">
        <v>1598</v>
      </c>
      <c r="E265" s="187" t="s">
        <v>1599</v>
      </c>
      <c r="F265" s="187" t="s">
        <v>1600</v>
      </c>
      <c r="G265" s="187" t="s">
        <v>1601</v>
      </c>
      <c r="H265" s="185" t="s">
        <v>1443</v>
      </c>
      <c r="I265" s="186" t="s">
        <v>111</v>
      </c>
      <c r="J265" s="35" t="s">
        <v>1944</v>
      </c>
      <c r="K265" s="35" t="s">
        <v>111</v>
      </c>
    </row>
    <row r="266">
      <c r="A266" s="183" t="s">
        <v>413</v>
      </c>
      <c r="B266" s="35" t="s">
        <v>1945</v>
      </c>
      <c r="C266" s="187" t="s">
        <v>1603</v>
      </c>
      <c r="D266" s="187" t="s">
        <v>1604</v>
      </c>
      <c r="E266" s="187" t="s">
        <v>1605</v>
      </c>
      <c r="F266" s="187" t="s">
        <v>1606</v>
      </c>
      <c r="G266" s="187" t="s">
        <v>1607</v>
      </c>
      <c r="H266" s="185" t="s">
        <v>1443</v>
      </c>
      <c r="I266" s="186" t="s">
        <v>36</v>
      </c>
      <c r="J266" s="35"/>
      <c r="K266" s="35" t="s">
        <v>36</v>
      </c>
    </row>
    <row r="267">
      <c r="A267" s="183" t="s">
        <v>413</v>
      </c>
      <c r="B267" s="35" t="s">
        <v>1946</v>
      </c>
      <c r="C267" s="187" t="s">
        <v>1609</v>
      </c>
      <c r="D267" s="187" t="s">
        <v>1610</v>
      </c>
      <c r="E267" s="187" t="s">
        <v>1611</v>
      </c>
      <c r="F267" s="187" t="s">
        <v>1612</v>
      </c>
      <c r="G267" s="187" t="s">
        <v>1613</v>
      </c>
      <c r="H267" s="185" t="s">
        <v>1443</v>
      </c>
      <c r="I267" s="186" t="s">
        <v>36</v>
      </c>
      <c r="J267" s="56"/>
      <c r="K267" s="35" t="s">
        <v>36</v>
      </c>
    </row>
    <row r="268">
      <c r="A268" s="183" t="s">
        <v>413</v>
      </c>
      <c r="B268" s="35" t="s">
        <v>1947</v>
      </c>
      <c r="C268" s="187" t="s">
        <v>1615</v>
      </c>
      <c r="D268" s="187" t="s">
        <v>1616</v>
      </c>
      <c r="E268" s="187" t="s">
        <v>1611</v>
      </c>
      <c r="F268" s="187" t="s">
        <v>1617</v>
      </c>
      <c r="G268" s="187" t="s">
        <v>1618</v>
      </c>
      <c r="H268" s="185" t="s">
        <v>1443</v>
      </c>
      <c r="I268" s="186" t="s">
        <v>36</v>
      </c>
      <c r="J268" s="56"/>
      <c r="K268" s="35" t="s">
        <v>36</v>
      </c>
    </row>
    <row r="269">
      <c r="A269" s="183" t="s">
        <v>413</v>
      </c>
      <c r="B269" s="35" t="s">
        <v>1948</v>
      </c>
      <c r="C269" s="187" t="s">
        <v>1620</v>
      </c>
      <c r="D269" s="187" t="s">
        <v>1621</v>
      </c>
      <c r="E269" s="187" t="s">
        <v>1622</v>
      </c>
      <c r="F269" s="187" t="s">
        <v>1623</v>
      </c>
      <c r="G269" s="187" t="s">
        <v>1624</v>
      </c>
      <c r="H269" s="185" t="s">
        <v>1443</v>
      </c>
      <c r="I269" s="186" t="s">
        <v>36</v>
      </c>
      <c r="J269" s="56"/>
      <c r="K269" s="35" t="s">
        <v>36</v>
      </c>
    </row>
    <row r="270">
      <c r="A270" s="183" t="s">
        <v>413</v>
      </c>
      <c r="B270" s="35" t="s">
        <v>1949</v>
      </c>
      <c r="C270" s="187" t="s">
        <v>1626</v>
      </c>
      <c r="D270" s="187" t="s">
        <v>1627</v>
      </c>
      <c r="E270" s="187" t="s">
        <v>1622</v>
      </c>
      <c r="F270" s="187" t="s">
        <v>1549</v>
      </c>
      <c r="G270" s="187" t="s">
        <v>1628</v>
      </c>
      <c r="H270" s="185" t="s">
        <v>1443</v>
      </c>
      <c r="I270" s="186" t="s">
        <v>36</v>
      </c>
      <c r="J270" s="56"/>
      <c r="K270" s="35" t="s">
        <v>36</v>
      </c>
    </row>
    <row r="271">
      <c r="A271" s="183" t="s">
        <v>413</v>
      </c>
      <c r="B271" s="35" t="s">
        <v>1950</v>
      </c>
      <c r="C271" s="187" t="s">
        <v>1630</v>
      </c>
      <c r="D271" s="187" t="s">
        <v>1631</v>
      </c>
      <c r="E271" s="187" t="s">
        <v>1632</v>
      </c>
      <c r="F271" s="187" t="s">
        <v>1633</v>
      </c>
      <c r="G271" s="187" t="s">
        <v>1634</v>
      </c>
      <c r="H271" s="185" t="s">
        <v>1443</v>
      </c>
      <c r="I271" s="186" t="s">
        <v>36</v>
      </c>
      <c r="J271" s="56"/>
      <c r="K271" s="35" t="s">
        <v>36</v>
      </c>
    </row>
    <row r="272">
      <c r="A272" s="183" t="s">
        <v>413</v>
      </c>
      <c r="B272" s="35" t="s">
        <v>1951</v>
      </c>
      <c r="C272" s="187" t="s">
        <v>1636</v>
      </c>
      <c r="D272" s="187" t="s">
        <v>1637</v>
      </c>
      <c r="E272" s="187" t="s">
        <v>1638</v>
      </c>
      <c r="F272" s="187" t="s">
        <v>1639</v>
      </c>
      <c r="G272" s="187" t="s">
        <v>1588</v>
      </c>
      <c r="H272" s="185" t="s">
        <v>1443</v>
      </c>
      <c r="I272" s="186" t="s">
        <v>36</v>
      </c>
      <c r="J272" s="56"/>
      <c r="K272" s="35" t="s">
        <v>36</v>
      </c>
    </row>
    <row r="273">
      <c r="A273" s="183" t="s">
        <v>413</v>
      </c>
      <c r="B273" s="35" t="s">
        <v>1952</v>
      </c>
      <c r="C273" s="187" t="s">
        <v>1641</v>
      </c>
      <c r="D273" s="187" t="s">
        <v>1642</v>
      </c>
      <c r="E273" s="187" t="s">
        <v>1638</v>
      </c>
      <c r="F273" s="187" t="s">
        <v>1643</v>
      </c>
      <c r="G273" s="187" t="s">
        <v>1594</v>
      </c>
      <c r="H273" s="185" t="s">
        <v>1443</v>
      </c>
      <c r="I273" s="186" t="s">
        <v>111</v>
      </c>
      <c r="J273" s="35" t="s">
        <v>1595</v>
      </c>
      <c r="K273" s="35" t="s">
        <v>111</v>
      </c>
    </row>
    <row r="274">
      <c r="A274" s="183" t="s">
        <v>413</v>
      </c>
      <c r="B274" s="35" t="s">
        <v>1953</v>
      </c>
      <c r="C274" s="187" t="s">
        <v>1645</v>
      </c>
      <c r="D274" s="187" t="s">
        <v>1646</v>
      </c>
      <c r="E274" s="187" t="s">
        <v>1638</v>
      </c>
      <c r="F274" s="187" t="s">
        <v>1647</v>
      </c>
      <c r="G274" s="187" t="s">
        <v>1601</v>
      </c>
      <c r="H274" s="185" t="s">
        <v>1443</v>
      </c>
      <c r="I274" s="186" t="s">
        <v>111</v>
      </c>
      <c r="J274" s="35" t="s">
        <v>1944</v>
      </c>
      <c r="K274" s="35" t="s">
        <v>111</v>
      </c>
    </row>
    <row r="275">
      <c r="A275" s="183" t="s">
        <v>413</v>
      </c>
      <c r="B275" s="35" t="s">
        <v>1954</v>
      </c>
      <c r="C275" s="187" t="s">
        <v>1649</v>
      </c>
      <c r="D275" s="187" t="s">
        <v>1650</v>
      </c>
      <c r="E275" s="187" t="s">
        <v>1638</v>
      </c>
      <c r="F275" s="187" t="s">
        <v>1554</v>
      </c>
      <c r="G275" s="187" t="s">
        <v>1651</v>
      </c>
      <c r="H275" s="185" t="s">
        <v>1443</v>
      </c>
      <c r="I275" s="186" t="s">
        <v>111</v>
      </c>
      <c r="J275" s="56"/>
      <c r="K275" s="35" t="s">
        <v>111</v>
      </c>
    </row>
    <row r="276">
      <c r="A276" s="183" t="s">
        <v>413</v>
      </c>
      <c r="B276" s="35" t="s">
        <v>1955</v>
      </c>
      <c r="C276" s="187" t="s">
        <v>1653</v>
      </c>
      <c r="D276" s="187" t="s">
        <v>1654</v>
      </c>
      <c r="E276" s="187" t="s">
        <v>1638</v>
      </c>
      <c r="F276" s="187" t="s">
        <v>1560</v>
      </c>
      <c r="G276" s="187" t="s">
        <v>1561</v>
      </c>
      <c r="H276" s="185" t="s">
        <v>1443</v>
      </c>
      <c r="I276" s="186" t="s">
        <v>36</v>
      </c>
      <c r="J276" s="56"/>
      <c r="K276" s="35" t="s">
        <v>36</v>
      </c>
    </row>
    <row r="277">
      <c r="A277" s="183" t="s">
        <v>413</v>
      </c>
      <c r="B277" s="35" t="s">
        <v>1956</v>
      </c>
      <c r="C277" s="187" t="s">
        <v>1656</v>
      </c>
      <c r="D277" s="187" t="s">
        <v>1564</v>
      </c>
      <c r="E277" s="187" t="s">
        <v>1638</v>
      </c>
      <c r="F277" s="187" t="s">
        <v>1657</v>
      </c>
      <c r="G277" s="187" t="s">
        <v>1566</v>
      </c>
      <c r="H277" s="185" t="s">
        <v>1443</v>
      </c>
      <c r="I277" s="186" t="s">
        <v>36</v>
      </c>
      <c r="J277" s="56"/>
      <c r="K277" s="35" t="s">
        <v>36</v>
      </c>
    </row>
    <row r="278">
      <c r="A278" s="183" t="s">
        <v>413</v>
      </c>
      <c r="B278" s="35" t="s">
        <v>1957</v>
      </c>
      <c r="C278" s="187" t="s">
        <v>1659</v>
      </c>
      <c r="D278" s="187" t="s">
        <v>1569</v>
      </c>
      <c r="E278" s="187" t="s">
        <v>1638</v>
      </c>
      <c r="F278" s="187" t="s">
        <v>1570</v>
      </c>
      <c r="G278" s="187" t="s">
        <v>1571</v>
      </c>
      <c r="H278" s="185" t="s">
        <v>1443</v>
      </c>
      <c r="I278" s="186" t="s">
        <v>36</v>
      </c>
      <c r="J278" s="56"/>
      <c r="K278" s="35" t="s">
        <v>36</v>
      </c>
    </row>
    <row r="279">
      <c r="A279" s="183" t="s">
        <v>413</v>
      </c>
      <c r="B279" s="35" t="s">
        <v>1958</v>
      </c>
      <c r="C279" s="187" t="s">
        <v>1661</v>
      </c>
      <c r="D279" s="187" t="s">
        <v>1574</v>
      </c>
      <c r="E279" s="187" t="s">
        <v>1638</v>
      </c>
      <c r="F279" s="187" t="s">
        <v>1575</v>
      </c>
      <c r="G279" s="187" t="s">
        <v>1576</v>
      </c>
      <c r="H279" s="185" t="s">
        <v>1443</v>
      </c>
      <c r="I279" s="186" t="s">
        <v>111</v>
      </c>
      <c r="J279" s="35" t="s">
        <v>1577</v>
      </c>
      <c r="K279" s="35" t="s">
        <v>111</v>
      </c>
    </row>
    <row r="280">
      <c r="A280" s="183" t="s">
        <v>413</v>
      </c>
      <c r="B280" s="35" t="s">
        <v>1959</v>
      </c>
      <c r="C280" s="187" t="s">
        <v>1663</v>
      </c>
      <c r="D280" s="187" t="s">
        <v>1580</v>
      </c>
      <c r="E280" s="187" t="s">
        <v>1638</v>
      </c>
      <c r="F280" s="187" t="s">
        <v>1581</v>
      </c>
      <c r="G280" s="187" t="s">
        <v>1582</v>
      </c>
      <c r="H280" s="185" t="s">
        <v>1443</v>
      </c>
      <c r="I280" s="186" t="s">
        <v>111</v>
      </c>
      <c r="J280" s="35" t="s">
        <v>1664</v>
      </c>
      <c r="K280" s="35" t="s">
        <v>111</v>
      </c>
    </row>
    <row r="281">
      <c r="A281" s="183" t="s">
        <v>413</v>
      </c>
      <c r="B281" s="35" t="s">
        <v>1960</v>
      </c>
      <c r="C281" s="187" t="s">
        <v>1666</v>
      </c>
      <c r="D281" s="187" t="s">
        <v>1667</v>
      </c>
      <c r="E281" s="187" t="s">
        <v>1668</v>
      </c>
      <c r="F281" s="187" t="s">
        <v>1669</v>
      </c>
      <c r="G281" s="187" t="s">
        <v>1670</v>
      </c>
      <c r="H281" s="185" t="s">
        <v>1443</v>
      </c>
      <c r="I281" s="186" t="s">
        <v>36</v>
      </c>
      <c r="J281" s="56"/>
      <c r="K281" s="35" t="s">
        <v>36</v>
      </c>
    </row>
    <row r="282">
      <c r="A282" s="183" t="s">
        <v>413</v>
      </c>
      <c r="B282" s="35" t="s">
        <v>1961</v>
      </c>
      <c r="C282" s="187" t="s">
        <v>1672</v>
      </c>
      <c r="D282" s="187" t="s">
        <v>1673</v>
      </c>
      <c r="E282" s="187" t="s">
        <v>1674</v>
      </c>
      <c r="F282" s="187" t="s">
        <v>1675</v>
      </c>
      <c r="G282" s="187" t="s">
        <v>1962</v>
      </c>
      <c r="H282" s="185" t="s">
        <v>1443</v>
      </c>
      <c r="I282" s="186" t="s">
        <v>36</v>
      </c>
      <c r="J282" s="56"/>
      <c r="K282" s="35" t="s">
        <v>36</v>
      </c>
    </row>
    <row r="283">
      <c r="A283" s="183" t="s">
        <v>413</v>
      </c>
      <c r="B283" s="35" t="s">
        <v>1963</v>
      </c>
      <c r="C283" s="187" t="s">
        <v>1678</v>
      </c>
      <c r="D283" s="187" t="s">
        <v>1679</v>
      </c>
      <c r="E283" s="187" t="s">
        <v>1680</v>
      </c>
      <c r="F283" s="187" t="s">
        <v>1681</v>
      </c>
      <c r="G283" s="187" t="s">
        <v>1682</v>
      </c>
      <c r="H283" s="185" t="s">
        <v>1443</v>
      </c>
      <c r="I283" s="186" t="s">
        <v>36</v>
      </c>
      <c r="J283" s="56"/>
      <c r="K283" s="35" t="s">
        <v>36</v>
      </c>
    </row>
    <row r="284">
      <c r="A284" s="183" t="s">
        <v>413</v>
      </c>
      <c r="B284" s="35" t="s">
        <v>1964</v>
      </c>
      <c r="C284" s="187" t="s">
        <v>1684</v>
      </c>
      <c r="D284" s="187" t="s">
        <v>1679</v>
      </c>
      <c r="E284" s="187" t="s">
        <v>1680</v>
      </c>
      <c r="F284" s="187" t="s">
        <v>1681</v>
      </c>
      <c r="G284" s="187" t="s">
        <v>1682</v>
      </c>
      <c r="H284" s="185" t="s">
        <v>1443</v>
      </c>
      <c r="I284" s="186" t="s">
        <v>36</v>
      </c>
      <c r="J284" s="56"/>
      <c r="K284" s="35" t="s">
        <v>36</v>
      </c>
    </row>
    <row r="285">
      <c r="A285" s="183" t="s">
        <v>413</v>
      </c>
      <c r="B285" s="35" t="s">
        <v>1965</v>
      </c>
      <c r="C285" s="187" t="s">
        <v>1686</v>
      </c>
      <c r="D285" s="187" t="s">
        <v>1687</v>
      </c>
      <c r="E285" s="187" t="s">
        <v>1688</v>
      </c>
      <c r="F285" s="187" t="s">
        <v>1689</v>
      </c>
      <c r="G285" s="187" t="s">
        <v>1690</v>
      </c>
      <c r="H285" s="185" t="s">
        <v>1443</v>
      </c>
      <c r="I285" s="186" t="s">
        <v>36</v>
      </c>
      <c r="J285" s="56"/>
      <c r="K285" s="35" t="s">
        <v>36</v>
      </c>
    </row>
    <row r="286">
      <c r="A286" s="183" t="s">
        <v>413</v>
      </c>
      <c r="B286" s="35" t="s">
        <v>1966</v>
      </c>
      <c r="C286" s="187" t="s">
        <v>1692</v>
      </c>
      <c r="D286" s="187" t="s">
        <v>1693</v>
      </c>
      <c r="E286" s="187" t="s">
        <v>1694</v>
      </c>
      <c r="F286" s="187" t="s">
        <v>1554</v>
      </c>
      <c r="G286" s="187" t="s">
        <v>1555</v>
      </c>
      <c r="H286" s="185" t="s">
        <v>1443</v>
      </c>
      <c r="I286" s="186" t="s">
        <v>111</v>
      </c>
      <c r="J286" s="35" t="s">
        <v>1556</v>
      </c>
      <c r="K286" s="35" t="s">
        <v>111</v>
      </c>
    </row>
    <row r="287">
      <c r="A287" s="183" t="s">
        <v>413</v>
      </c>
      <c r="B287" s="35" t="s">
        <v>1967</v>
      </c>
      <c r="C287" s="187" t="s">
        <v>1696</v>
      </c>
      <c r="D287" s="187" t="s">
        <v>1564</v>
      </c>
      <c r="E287" s="187" t="s">
        <v>1697</v>
      </c>
      <c r="F287" s="187" t="s">
        <v>1657</v>
      </c>
      <c r="G287" s="187" t="s">
        <v>1566</v>
      </c>
      <c r="H287" s="185" t="s">
        <v>1443</v>
      </c>
      <c r="I287" s="186" t="s">
        <v>36</v>
      </c>
      <c r="J287" s="56"/>
      <c r="K287" s="35" t="s">
        <v>36</v>
      </c>
    </row>
    <row r="288">
      <c r="A288" s="183" t="s">
        <v>413</v>
      </c>
      <c r="B288" s="35" t="s">
        <v>1968</v>
      </c>
      <c r="C288" s="187" t="s">
        <v>1699</v>
      </c>
      <c r="D288" s="187" t="s">
        <v>1700</v>
      </c>
      <c r="E288" s="187" t="s">
        <v>1701</v>
      </c>
      <c r="F288" s="187" t="s">
        <v>1560</v>
      </c>
      <c r="G288" s="187" t="s">
        <v>1561</v>
      </c>
      <c r="H288" s="185" t="s">
        <v>1443</v>
      </c>
      <c r="I288" s="186" t="s">
        <v>36</v>
      </c>
      <c r="J288" s="35"/>
      <c r="K288" s="35" t="s">
        <v>36</v>
      </c>
    </row>
    <row r="289">
      <c r="A289" s="183" t="s">
        <v>413</v>
      </c>
      <c r="B289" s="35" t="s">
        <v>1969</v>
      </c>
      <c r="C289" s="187" t="s">
        <v>1703</v>
      </c>
      <c r="D289" s="187" t="s">
        <v>1569</v>
      </c>
      <c r="E289" s="187" t="s">
        <v>1622</v>
      </c>
      <c r="F289" s="187" t="s">
        <v>1570</v>
      </c>
      <c r="G289" s="187" t="s">
        <v>1571</v>
      </c>
      <c r="H289" s="185" t="s">
        <v>1443</v>
      </c>
      <c r="I289" s="186" t="s">
        <v>36</v>
      </c>
      <c r="J289" s="56"/>
      <c r="K289" s="35" t="s">
        <v>36</v>
      </c>
    </row>
    <row r="290">
      <c r="A290" s="183" t="s">
        <v>413</v>
      </c>
      <c r="B290" s="35" t="s">
        <v>1970</v>
      </c>
      <c r="C290" s="187" t="s">
        <v>1705</v>
      </c>
      <c r="D290" s="187" t="s">
        <v>1574</v>
      </c>
      <c r="E290" s="187" t="s">
        <v>1622</v>
      </c>
      <c r="F290" s="187" t="s">
        <v>1575</v>
      </c>
      <c r="G290" s="187" t="s">
        <v>1576</v>
      </c>
      <c r="H290" s="185" t="s">
        <v>1443</v>
      </c>
      <c r="I290" s="186" t="s">
        <v>111</v>
      </c>
      <c r="J290" s="35" t="s">
        <v>1577</v>
      </c>
      <c r="K290" s="35" t="s">
        <v>111</v>
      </c>
    </row>
    <row r="291">
      <c r="A291" s="183" t="s">
        <v>413</v>
      </c>
      <c r="B291" s="35" t="s">
        <v>1971</v>
      </c>
      <c r="C291" s="187" t="s">
        <v>1707</v>
      </c>
      <c r="D291" s="187" t="s">
        <v>1580</v>
      </c>
      <c r="E291" s="187" t="s">
        <v>1622</v>
      </c>
      <c r="F291" s="187" t="s">
        <v>1581</v>
      </c>
      <c r="G291" s="187" t="s">
        <v>1582</v>
      </c>
      <c r="H291" s="185" t="s">
        <v>1443</v>
      </c>
      <c r="I291" s="186" t="s">
        <v>36</v>
      </c>
      <c r="J291" s="56"/>
      <c r="K291" s="35" t="s">
        <v>36</v>
      </c>
    </row>
    <row r="292">
      <c r="A292" s="183" t="s">
        <v>413</v>
      </c>
      <c r="B292" s="35" t="s">
        <v>1972</v>
      </c>
      <c r="C292" s="187" t="s">
        <v>1709</v>
      </c>
      <c r="D292" s="187" t="s">
        <v>1710</v>
      </c>
      <c r="E292" s="187" t="s">
        <v>1622</v>
      </c>
      <c r="F292" s="187" t="s">
        <v>1711</v>
      </c>
      <c r="G292" s="187" t="s">
        <v>1712</v>
      </c>
      <c r="H292" s="185" t="s">
        <v>1443</v>
      </c>
      <c r="I292" s="186" t="s">
        <v>36</v>
      </c>
      <c r="J292" s="56"/>
      <c r="K292" s="35" t="s">
        <v>36</v>
      </c>
    </row>
    <row r="293">
      <c r="A293" s="183" t="s">
        <v>413</v>
      </c>
      <c r="B293" s="35" t="s">
        <v>1973</v>
      </c>
      <c r="C293" s="187" t="s">
        <v>1714</v>
      </c>
      <c r="D293" s="187" t="s">
        <v>1715</v>
      </c>
      <c r="E293" s="187" t="s">
        <v>1716</v>
      </c>
      <c r="F293" s="187" t="s">
        <v>1717</v>
      </c>
      <c r="G293" s="187" t="s">
        <v>1718</v>
      </c>
      <c r="H293" s="185" t="s">
        <v>1443</v>
      </c>
      <c r="I293" s="186" t="s">
        <v>36</v>
      </c>
      <c r="J293" s="56"/>
      <c r="K293" s="35" t="s">
        <v>36</v>
      </c>
    </row>
    <row r="294">
      <c r="A294" s="183" t="s">
        <v>413</v>
      </c>
      <c r="B294" s="35" t="s">
        <v>1974</v>
      </c>
      <c r="C294" s="187" t="s">
        <v>1720</v>
      </c>
      <c r="D294" s="187" t="s">
        <v>1721</v>
      </c>
      <c r="E294" s="187" t="s">
        <v>1722</v>
      </c>
      <c r="F294" s="187" t="s">
        <v>1723</v>
      </c>
      <c r="G294" s="187" t="s">
        <v>1628</v>
      </c>
      <c r="H294" s="185" t="s">
        <v>1443</v>
      </c>
      <c r="I294" s="186" t="s">
        <v>36</v>
      </c>
      <c r="J294" s="56"/>
      <c r="K294" s="35" t="s">
        <v>36</v>
      </c>
    </row>
    <row r="295">
      <c r="A295" s="35" t="s">
        <v>413</v>
      </c>
      <c r="B295" s="35" t="s">
        <v>1975</v>
      </c>
      <c r="C295" s="183" t="s">
        <v>1438</v>
      </c>
      <c r="D295" s="183" t="s">
        <v>1976</v>
      </c>
      <c r="E295" s="183" t="s">
        <v>1977</v>
      </c>
      <c r="F295" s="183" t="s">
        <v>1978</v>
      </c>
      <c r="G295" s="183" t="s">
        <v>1979</v>
      </c>
      <c r="H295" s="185" t="s">
        <v>1443</v>
      </c>
      <c r="I295" s="186" t="s">
        <v>111</v>
      </c>
      <c r="J295" s="35" t="s">
        <v>1980</v>
      </c>
      <c r="K295" s="35" t="s">
        <v>111</v>
      </c>
    </row>
    <row r="296">
      <c r="A296" s="35" t="s">
        <v>413</v>
      </c>
      <c r="B296" s="35" t="s">
        <v>1981</v>
      </c>
      <c r="C296" s="183" t="s">
        <v>1982</v>
      </c>
      <c r="D296" s="183" t="s">
        <v>1983</v>
      </c>
      <c r="E296" s="183" t="s">
        <v>1984</v>
      </c>
      <c r="F296" s="183" t="s">
        <v>1985</v>
      </c>
      <c r="G296" s="183" t="s">
        <v>1986</v>
      </c>
      <c r="H296" s="185" t="s">
        <v>1443</v>
      </c>
      <c r="I296" s="186" t="s">
        <v>36</v>
      </c>
      <c r="J296" s="56"/>
      <c r="K296" s="35" t="s">
        <v>111</v>
      </c>
    </row>
    <row r="297">
      <c r="A297" s="35" t="s">
        <v>413</v>
      </c>
      <c r="B297" s="35" t="s">
        <v>1987</v>
      </c>
      <c r="C297" s="183" t="s">
        <v>1988</v>
      </c>
      <c r="D297" s="183" t="s">
        <v>1989</v>
      </c>
      <c r="E297" s="183" t="s">
        <v>1990</v>
      </c>
      <c r="F297" s="183" t="s">
        <v>1991</v>
      </c>
      <c r="G297" s="183" t="s">
        <v>1992</v>
      </c>
      <c r="H297" s="185" t="s">
        <v>1443</v>
      </c>
      <c r="I297" s="186" t="s">
        <v>36</v>
      </c>
      <c r="J297" s="56"/>
      <c r="K297" s="35" t="s">
        <v>111</v>
      </c>
    </row>
    <row r="298">
      <c r="A298" s="35" t="s">
        <v>413</v>
      </c>
      <c r="B298" s="35" t="s">
        <v>1993</v>
      </c>
      <c r="C298" s="183" t="s">
        <v>1994</v>
      </c>
      <c r="D298" s="183" t="s">
        <v>1995</v>
      </c>
      <c r="E298" s="183" t="s">
        <v>1996</v>
      </c>
      <c r="F298" s="183" t="s">
        <v>1997</v>
      </c>
      <c r="G298" s="183" t="s">
        <v>1998</v>
      </c>
      <c r="H298" s="185" t="s">
        <v>1443</v>
      </c>
      <c r="I298" s="186" t="s">
        <v>36</v>
      </c>
      <c r="J298" s="56"/>
      <c r="K298" s="35" t="s">
        <v>111</v>
      </c>
    </row>
    <row r="299" ht="34.5" customHeight="1">
      <c r="A299" s="180" t="s">
        <v>28</v>
      </c>
      <c r="B299" s="181"/>
      <c r="C299" s="181"/>
      <c r="D299" s="181"/>
      <c r="E299" s="181"/>
      <c r="F299" s="181"/>
      <c r="G299" s="181"/>
      <c r="H299" s="181"/>
      <c r="I299" s="181"/>
      <c r="J299" s="181"/>
      <c r="K299" s="182"/>
    </row>
    <row r="300">
      <c r="A300" s="183" t="s">
        <v>195</v>
      </c>
      <c r="B300" s="35" t="s">
        <v>1993</v>
      </c>
      <c r="C300" s="35" t="s">
        <v>1438</v>
      </c>
      <c r="D300" s="35" t="s">
        <v>1439</v>
      </c>
      <c r="E300" s="184" t="s">
        <v>1440</v>
      </c>
      <c r="F300" s="183" t="s">
        <v>1441</v>
      </c>
      <c r="G300" s="35" t="s">
        <v>1442</v>
      </c>
      <c r="H300" s="185" t="s">
        <v>35</v>
      </c>
      <c r="I300" s="186" t="s">
        <v>36</v>
      </c>
      <c r="J300" s="56"/>
      <c r="K300" s="35" t="s">
        <v>36</v>
      </c>
    </row>
    <row r="301">
      <c r="A301" s="183" t="s">
        <v>195</v>
      </c>
      <c r="B301" s="35" t="s">
        <v>1999</v>
      </c>
      <c r="C301" s="187" t="s">
        <v>1446</v>
      </c>
      <c r="D301" s="187" t="s">
        <v>1447</v>
      </c>
      <c r="E301" s="187" t="s">
        <v>1448</v>
      </c>
      <c r="F301" s="187" t="s">
        <v>1449</v>
      </c>
      <c r="G301" s="187" t="s">
        <v>1450</v>
      </c>
      <c r="H301" s="185" t="s">
        <v>35</v>
      </c>
      <c r="I301" s="186" t="s">
        <v>36</v>
      </c>
      <c r="J301" s="56"/>
      <c r="K301" s="35" t="s">
        <v>36</v>
      </c>
    </row>
    <row r="302">
      <c r="A302" s="183" t="s">
        <v>195</v>
      </c>
      <c r="B302" s="35" t="s">
        <v>2000</v>
      </c>
      <c r="C302" s="187" t="s">
        <v>1453</v>
      </c>
      <c r="D302" s="187" t="s">
        <v>1454</v>
      </c>
      <c r="E302" s="187" t="s">
        <v>1448</v>
      </c>
      <c r="F302" s="187" t="s">
        <v>1455</v>
      </c>
      <c r="G302" s="187" t="s">
        <v>1456</v>
      </c>
      <c r="H302" s="185" t="s">
        <v>35</v>
      </c>
      <c r="I302" s="186" t="s">
        <v>36</v>
      </c>
      <c r="J302" s="56"/>
      <c r="K302" s="35" t="s">
        <v>36</v>
      </c>
    </row>
    <row r="303">
      <c r="A303" s="183" t="s">
        <v>195</v>
      </c>
      <c r="B303" s="35" t="s">
        <v>2001</v>
      </c>
      <c r="C303" s="187" t="s">
        <v>1459</v>
      </c>
      <c r="D303" s="187" t="s">
        <v>1460</v>
      </c>
      <c r="E303" s="187" t="s">
        <v>1448</v>
      </c>
      <c r="F303" s="187" t="s">
        <v>1461</v>
      </c>
      <c r="G303" s="187" t="s">
        <v>1462</v>
      </c>
      <c r="H303" s="185" t="s">
        <v>35</v>
      </c>
      <c r="I303" s="186" t="s">
        <v>36</v>
      </c>
      <c r="J303" s="56"/>
      <c r="K303" s="35" t="s">
        <v>36</v>
      </c>
    </row>
    <row r="304">
      <c r="A304" s="183" t="s">
        <v>195</v>
      </c>
      <c r="B304" s="35" t="s">
        <v>2002</v>
      </c>
      <c r="C304" s="183" t="s">
        <v>1465</v>
      </c>
      <c r="D304" s="183" t="s">
        <v>1466</v>
      </c>
      <c r="E304" s="187" t="s">
        <v>1448</v>
      </c>
      <c r="F304" s="183" t="s">
        <v>1467</v>
      </c>
      <c r="G304" s="183" t="s">
        <v>1468</v>
      </c>
      <c r="H304" s="185" t="s">
        <v>35</v>
      </c>
      <c r="I304" s="188" t="s">
        <v>111</v>
      </c>
      <c r="J304" s="35" t="s">
        <v>1469</v>
      </c>
      <c r="K304" s="35" t="s">
        <v>111</v>
      </c>
    </row>
    <row r="305">
      <c r="A305" s="183" t="s">
        <v>195</v>
      </c>
      <c r="B305" s="35" t="s">
        <v>2003</v>
      </c>
      <c r="C305" s="183" t="s">
        <v>1471</v>
      </c>
      <c r="D305" s="183" t="s">
        <v>1472</v>
      </c>
      <c r="E305" s="187" t="s">
        <v>1448</v>
      </c>
      <c r="F305" s="183" t="s">
        <v>1473</v>
      </c>
      <c r="G305" s="183" t="s">
        <v>1474</v>
      </c>
      <c r="H305" s="185" t="s">
        <v>35</v>
      </c>
      <c r="I305" s="188" t="s">
        <v>111</v>
      </c>
      <c r="J305" s="35" t="s">
        <v>1475</v>
      </c>
      <c r="K305" s="35" t="s">
        <v>111</v>
      </c>
    </row>
    <row r="306">
      <c r="A306" s="183" t="s">
        <v>195</v>
      </c>
      <c r="B306" s="35" t="s">
        <v>2004</v>
      </c>
      <c r="C306" s="183" t="s">
        <v>1477</v>
      </c>
      <c r="D306" s="183" t="s">
        <v>1478</v>
      </c>
      <c r="E306" s="187" t="s">
        <v>1448</v>
      </c>
      <c r="F306" s="183" t="s">
        <v>1479</v>
      </c>
      <c r="G306" s="183" t="s">
        <v>1468</v>
      </c>
      <c r="H306" s="185" t="s">
        <v>35</v>
      </c>
      <c r="I306" s="188" t="s">
        <v>111</v>
      </c>
      <c r="J306" s="35" t="s">
        <v>1469</v>
      </c>
      <c r="K306" s="35" t="s">
        <v>111</v>
      </c>
    </row>
    <row r="307">
      <c r="A307" s="183" t="s">
        <v>195</v>
      </c>
      <c r="B307" s="35" t="s">
        <v>2005</v>
      </c>
      <c r="C307" s="183" t="s">
        <v>1481</v>
      </c>
      <c r="D307" s="183" t="s">
        <v>1472</v>
      </c>
      <c r="E307" s="187" t="s">
        <v>1448</v>
      </c>
      <c r="F307" s="183" t="s">
        <v>1482</v>
      </c>
      <c r="G307" s="183" t="s">
        <v>1474</v>
      </c>
      <c r="H307" s="185" t="s">
        <v>35</v>
      </c>
      <c r="I307" s="188" t="s">
        <v>111</v>
      </c>
      <c r="J307" s="183" t="s">
        <v>1475</v>
      </c>
      <c r="K307" s="35" t="s">
        <v>111</v>
      </c>
    </row>
    <row r="308">
      <c r="A308" s="183" t="s">
        <v>195</v>
      </c>
      <c r="B308" s="35" t="s">
        <v>2006</v>
      </c>
      <c r="C308" s="183" t="s">
        <v>1484</v>
      </c>
      <c r="D308" s="183" t="s">
        <v>1472</v>
      </c>
      <c r="E308" s="187" t="s">
        <v>1448</v>
      </c>
      <c r="F308" s="183" t="s">
        <v>1485</v>
      </c>
      <c r="G308" s="183" t="s">
        <v>1486</v>
      </c>
      <c r="H308" s="185" t="s">
        <v>35</v>
      </c>
      <c r="I308" s="188" t="s">
        <v>111</v>
      </c>
      <c r="J308" s="183" t="s">
        <v>1475</v>
      </c>
      <c r="K308" s="35" t="s">
        <v>111</v>
      </c>
    </row>
    <row r="309">
      <c r="A309" s="183" t="s">
        <v>195</v>
      </c>
      <c r="B309" s="35" t="s">
        <v>2007</v>
      </c>
      <c r="C309" s="187" t="s">
        <v>1488</v>
      </c>
      <c r="D309" s="187" t="s">
        <v>1489</v>
      </c>
      <c r="E309" s="187" t="s">
        <v>1490</v>
      </c>
      <c r="F309" s="187" t="s">
        <v>1491</v>
      </c>
      <c r="G309" s="187" t="s">
        <v>1492</v>
      </c>
      <c r="H309" s="185" t="s">
        <v>35</v>
      </c>
      <c r="I309" s="186" t="s">
        <v>36</v>
      </c>
      <c r="J309" s="56"/>
      <c r="K309" s="35" t="s">
        <v>36</v>
      </c>
    </row>
    <row r="310">
      <c r="A310" s="183" t="s">
        <v>195</v>
      </c>
      <c r="B310" s="35" t="s">
        <v>2008</v>
      </c>
      <c r="C310" s="187" t="s">
        <v>1494</v>
      </c>
      <c r="D310" s="183" t="s">
        <v>1495</v>
      </c>
      <c r="E310" s="187" t="s">
        <v>1496</v>
      </c>
      <c r="F310" s="187" t="s">
        <v>1497</v>
      </c>
      <c r="G310" s="187" t="s">
        <v>1498</v>
      </c>
      <c r="H310" s="185" t="s">
        <v>35</v>
      </c>
      <c r="I310" s="186" t="s">
        <v>111</v>
      </c>
      <c r="J310" s="35" t="s">
        <v>1499</v>
      </c>
      <c r="K310" s="35" t="s">
        <v>111</v>
      </c>
    </row>
    <row r="311">
      <c r="A311" s="183" t="s">
        <v>195</v>
      </c>
      <c r="B311" s="35" t="s">
        <v>2009</v>
      </c>
      <c r="C311" s="187" t="s">
        <v>1501</v>
      </c>
      <c r="D311" s="187" t="s">
        <v>1502</v>
      </c>
      <c r="E311" s="187" t="s">
        <v>1503</v>
      </c>
      <c r="F311" s="187" t="s">
        <v>1491</v>
      </c>
      <c r="G311" s="187" t="s">
        <v>1504</v>
      </c>
      <c r="H311" s="185" t="s">
        <v>35</v>
      </c>
      <c r="I311" s="186" t="s">
        <v>36</v>
      </c>
      <c r="J311" s="56"/>
      <c r="K311" s="35" t="s">
        <v>36</v>
      </c>
    </row>
    <row r="312">
      <c r="A312" s="183" t="s">
        <v>195</v>
      </c>
      <c r="B312" s="35" t="s">
        <v>2010</v>
      </c>
      <c r="C312" s="187" t="s">
        <v>1506</v>
      </c>
      <c r="D312" s="187" t="s">
        <v>1507</v>
      </c>
      <c r="E312" s="187" t="s">
        <v>1508</v>
      </c>
      <c r="F312" s="187" t="s">
        <v>1491</v>
      </c>
      <c r="G312" s="187" t="s">
        <v>1509</v>
      </c>
      <c r="H312" s="185" t="s">
        <v>35</v>
      </c>
      <c r="I312" s="186" t="s">
        <v>36</v>
      </c>
      <c r="J312" s="56"/>
      <c r="K312" s="35" t="s">
        <v>36</v>
      </c>
    </row>
    <row r="313">
      <c r="A313" s="183" t="s">
        <v>195</v>
      </c>
      <c r="B313" s="35" t="s">
        <v>2011</v>
      </c>
      <c r="C313" s="187" t="s">
        <v>1511</v>
      </c>
      <c r="D313" s="187" t="s">
        <v>1512</v>
      </c>
      <c r="E313" s="187" t="s">
        <v>1513</v>
      </c>
      <c r="F313" s="187" t="s">
        <v>1491</v>
      </c>
      <c r="G313" s="187" t="s">
        <v>1514</v>
      </c>
      <c r="H313" s="185" t="s">
        <v>35</v>
      </c>
      <c r="I313" s="186" t="s">
        <v>36</v>
      </c>
      <c r="J313" s="56"/>
      <c r="K313" s="35" t="s">
        <v>36</v>
      </c>
    </row>
    <row r="314">
      <c r="A314" s="183" t="s">
        <v>195</v>
      </c>
      <c r="B314" s="35" t="s">
        <v>2012</v>
      </c>
      <c r="C314" s="187" t="s">
        <v>1516</v>
      </c>
      <c r="D314" s="187" t="s">
        <v>1517</v>
      </c>
      <c r="E314" s="187" t="s">
        <v>1518</v>
      </c>
      <c r="F314" s="187" t="s">
        <v>1519</v>
      </c>
      <c r="G314" s="187" t="s">
        <v>1520</v>
      </c>
      <c r="H314" s="185" t="s">
        <v>35</v>
      </c>
      <c r="I314" s="186" t="s">
        <v>111</v>
      </c>
      <c r="J314" s="35" t="s">
        <v>1521</v>
      </c>
      <c r="K314" s="35" t="s">
        <v>111</v>
      </c>
    </row>
    <row r="315">
      <c r="A315" s="183" t="s">
        <v>195</v>
      </c>
      <c r="B315" s="35" t="s">
        <v>2013</v>
      </c>
      <c r="C315" s="187" t="s">
        <v>1523</v>
      </c>
      <c r="D315" s="187" t="s">
        <v>1524</v>
      </c>
      <c r="E315" s="187" t="s">
        <v>1525</v>
      </c>
      <c r="F315" s="187" t="s">
        <v>1526</v>
      </c>
      <c r="G315" s="187" t="s">
        <v>1527</v>
      </c>
      <c r="H315" s="185" t="s">
        <v>35</v>
      </c>
      <c r="I315" s="186" t="s">
        <v>111</v>
      </c>
      <c r="J315" s="35" t="s">
        <v>1521</v>
      </c>
      <c r="K315" s="35" t="s">
        <v>111</v>
      </c>
    </row>
    <row r="316">
      <c r="A316" s="183" t="s">
        <v>195</v>
      </c>
      <c r="B316" s="35" t="s">
        <v>2014</v>
      </c>
      <c r="C316" s="187" t="s">
        <v>1529</v>
      </c>
      <c r="D316" s="187" t="s">
        <v>1530</v>
      </c>
      <c r="E316" s="187" t="s">
        <v>1531</v>
      </c>
      <c r="F316" s="187" t="s">
        <v>1532</v>
      </c>
      <c r="G316" s="187" t="s">
        <v>1533</v>
      </c>
      <c r="H316" s="185" t="s">
        <v>35</v>
      </c>
      <c r="I316" s="186" t="s">
        <v>111</v>
      </c>
      <c r="J316" s="35" t="s">
        <v>1521</v>
      </c>
      <c r="K316" s="35" t="s">
        <v>111</v>
      </c>
    </row>
    <row r="317">
      <c r="A317" s="183" t="s">
        <v>195</v>
      </c>
      <c r="B317" s="35" t="s">
        <v>2015</v>
      </c>
      <c r="C317" s="187" t="s">
        <v>1535</v>
      </c>
      <c r="D317" s="187" t="s">
        <v>1536</v>
      </c>
      <c r="E317" s="187" t="s">
        <v>1537</v>
      </c>
      <c r="F317" s="187" t="s">
        <v>1538</v>
      </c>
      <c r="G317" s="187" t="s">
        <v>1539</v>
      </c>
      <c r="H317" s="185" t="s">
        <v>35</v>
      </c>
      <c r="I317" s="186" t="s">
        <v>111</v>
      </c>
      <c r="J317" s="35" t="s">
        <v>1521</v>
      </c>
      <c r="K317" s="35" t="s">
        <v>111</v>
      </c>
    </row>
    <row r="318">
      <c r="A318" s="183" t="s">
        <v>195</v>
      </c>
      <c r="B318" s="35" t="s">
        <v>2016</v>
      </c>
      <c r="C318" s="187" t="s">
        <v>1541</v>
      </c>
      <c r="D318" s="187" t="s">
        <v>1542</v>
      </c>
      <c r="E318" s="187" t="s">
        <v>1543</v>
      </c>
      <c r="F318" s="187" t="s">
        <v>1544</v>
      </c>
      <c r="G318" s="187" t="s">
        <v>1545</v>
      </c>
      <c r="H318" s="185" t="s">
        <v>35</v>
      </c>
      <c r="I318" s="186" t="s">
        <v>36</v>
      </c>
      <c r="J318" s="56"/>
      <c r="K318" s="35" t="s">
        <v>36</v>
      </c>
    </row>
    <row r="319">
      <c r="A319" s="183" t="s">
        <v>195</v>
      </c>
      <c r="B319" s="35" t="s">
        <v>2017</v>
      </c>
      <c r="C319" s="187" t="s">
        <v>1547</v>
      </c>
      <c r="D319" s="187" t="s">
        <v>1548</v>
      </c>
      <c r="E319" s="187" t="s">
        <v>1448</v>
      </c>
      <c r="F319" s="187" t="s">
        <v>1549</v>
      </c>
      <c r="G319" s="187" t="s">
        <v>1550</v>
      </c>
      <c r="H319" s="185" t="s">
        <v>35</v>
      </c>
      <c r="I319" s="186" t="s">
        <v>36</v>
      </c>
      <c r="J319" s="56"/>
      <c r="K319" s="35" t="s">
        <v>36</v>
      </c>
    </row>
    <row r="320">
      <c r="A320" s="183" t="s">
        <v>195</v>
      </c>
      <c r="B320" s="35" t="s">
        <v>2018</v>
      </c>
      <c r="C320" s="187" t="s">
        <v>1552</v>
      </c>
      <c r="D320" s="187" t="s">
        <v>1553</v>
      </c>
      <c r="E320" s="187" t="s">
        <v>1448</v>
      </c>
      <c r="F320" s="187" t="s">
        <v>1554</v>
      </c>
      <c r="G320" s="187" t="s">
        <v>1555</v>
      </c>
      <c r="H320" s="185" t="s">
        <v>35</v>
      </c>
      <c r="I320" s="186" t="s">
        <v>111</v>
      </c>
      <c r="J320" s="35" t="s">
        <v>1556</v>
      </c>
      <c r="K320" s="35" t="s">
        <v>111</v>
      </c>
    </row>
    <row r="321">
      <c r="A321" s="183" t="s">
        <v>195</v>
      </c>
      <c r="B321" s="35" t="s">
        <v>2019</v>
      </c>
      <c r="C321" s="187" t="s">
        <v>1558</v>
      </c>
      <c r="D321" s="187" t="s">
        <v>1559</v>
      </c>
      <c r="E321" s="187" t="s">
        <v>1448</v>
      </c>
      <c r="F321" s="187" t="s">
        <v>1560</v>
      </c>
      <c r="G321" s="187" t="s">
        <v>1561</v>
      </c>
      <c r="H321" s="185" t="s">
        <v>35</v>
      </c>
      <c r="I321" s="186" t="s">
        <v>36</v>
      </c>
      <c r="J321" s="35"/>
      <c r="K321" s="35" t="s">
        <v>36</v>
      </c>
    </row>
    <row r="322">
      <c r="A322" s="183" t="s">
        <v>195</v>
      </c>
      <c r="B322" s="35" t="s">
        <v>2020</v>
      </c>
      <c r="C322" s="187" t="s">
        <v>1563</v>
      </c>
      <c r="D322" s="187" t="s">
        <v>1564</v>
      </c>
      <c r="E322" s="187" t="s">
        <v>1448</v>
      </c>
      <c r="F322" s="187" t="s">
        <v>1565</v>
      </c>
      <c r="G322" s="187" t="s">
        <v>1566</v>
      </c>
      <c r="H322" s="185" t="s">
        <v>35</v>
      </c>
      <c r="I322" s="186" t="s">
        <v>36</v>
      </c>
      <c r="J322" s="35"/>
      <c r="K322" s="35" t="s">
        <v>36</v>
      </c>
    </row>
    <row r="323">
      <c r="A323" s="183" t="s">
        <v>195</v>
      </c>
      <c r="B323" s="35" t="s">
        <v>2021</v>
      </c>
      <c r="C323" s="187" t="s">
        <v>1568</v>
      </c>
      <c r="D323" s="187" t="s">
        <v>1569</v>
      </c>
      <c r="E323" s="187" t="s">
        <v>1448</v>
      </c>
      <c r="F323" s="187" t="s">
        <v>1570</v>
      </c>
      <c r="G323" s="187" t="s">
        <v>1571</v>
      </c>
      <c r="H323" s="185" t="s">
        <v>35</v>
      </c>
      <c r="I323" s="186" t="s">
        <v>36</v>
      </c>
      <c r="J323" s="56"/>
      <c r="K323" s="35" t="s">
        <v>36</v>
      </c>
    </row>
    <row r="324">
      <c r="A324" s="183" t="s">
        <v>195</v>
      </c>
      <c r="B324" s="35" t="s">
        <v>2022</v>
      </c>
      <c r="C324" s="187" t="s">
        <v>1573</v>
      </c>
      <c r="D324" s="187" t="s">
        <v>1574</v>
      </c>
      <c r="E324" s="187" t="s">
        <v>1448</v>
      </c>
      <c r="F324" s="187" t="s">
        <v>1575</v>
      </c>
      <c r="G324" s="187" t="s">
        <v>1576</v>
      </c>
      <c r="H324" s="185" t="s">
        <v>35</v>
      </c>
      <c r="I324" s="186" t="s">
        <v>111</v>
      </c>
      <c r="J324" s="35" t="s">
        <v>1577</v>
      </c>
      <c r="K324" s="35" t="s">
        <v>111</v>
      </c>
    </row>
    <row r="325">
      <c r="A325" s="183" t="s">
        <v>195</v>
      </c>
      <c r="B325" s="35" t="s">
        <v>2023</v>
      </c>
      <c r="C325" s="187" t="s">
        <v>1579</v>
      </c>
      <c r="D325" s="187" t="s">
        <v>1580</v>
      </c>
      <c r="E325" s="187" t="s">
        <v>1448</v>
      </c>
      <c r="F325" s="187" t="s">
        <v>1581</v>
      </c>
      <c r="G325" s="187" t="s">
        <v>1582</v>
      </c>
      <c r="H325" s="185" t="s">
        <v>35</v>
      </c>
      <c r="I325" s="186" t="s">
        <v>36</v>
      </c>
      <c r="J325" s="56"/>
      <c r="K325" s="35" t="s">
        <v>36</v>
      </c>
    </row>
    <row r="326">
      <c r="A326" s="183" t="s">
        <v>195</v>
      </c>
      <c r="B326" s="35" t="s">
        <v>2024</v>
      </c>
      <c r="C326" s="187" t="s">
        <v>1584</v>
      </c>
      <c r="D326" s="187" t="s">
        <v>1585</v>
      </c>
      <c r="E326" s="187" t="s">
        <v>1586</v>
      </c>
      <c r="F326" s="187" t="s">
        <v>1587</v>
      </c>
      <c r="G326" s="187" t="s">
        <v>1588</v>
      </c>
      <c r="H326" s="185" t="s">
        <v>35</v>
      </c>
      <c r="I326" s="188" t="s">
        <v>36</v>
      </c>
      <c r="J326" s="56"/>
      <c r="K326" s="35" t="s">
        <v>36</v>
      </c>
    </row>
    <row r="327">
      <c r="A327" s="183" t="s">
        <v>195</v>
      </c>
      <c r="B327" s="35" t="s">
        <v>2025</v>
      </c>
      <c r="C327" s="187" t="s">
        <v>1590</v>
      </c>
      <c r="D327" s="187" t="s">
        <v>1591</v>
      </c>
      <c r="E327" s="187" t="s">
        <v>1592</v>
      </c>
      <c r="F327" s="187" t="s">
        <v>1593</v>
      </c>
      <c r="G327" s="187" t="s">
        <v>1594</v>
      </c>
      <c r="H327" s="185" t="s">
        <v>35</v>
      </c>
      <c r="I327" s="188" t="s">
        <v>111</v>
      </c>
      <c r="J327" s="35" t="s">
        <v>1595</v>
      </c>
      <c r="K327" s="35" t="s">
        <v>111</v>
      </c>
    </row>
    <row r="328">
      <c r="A328" s="183" t="s">
        <v>195</v>
      </c>
      <c r="B328" s="35" t="s">
        <v>2026</v>
      </c>
      <c r="C328" s="187" t="s">
        <v>1597</v>
      </c>
      <c r="D328" s="187" t="s">
        <v>1598</v>
      </c>
      <c r="E328" s="187" t="s">
        <v>1599</v>
      </c>
      <c r="F328" s="187" t="s">
        <v>1600</v>
      </c>
      <c r="G328" s="187" t="s">
        <v>1601</v>
      </c>
      <c r="H328" s="185" t="s">
        <v>35</v>
      </c>
      <c r="I328" s="188" t="s">
        <v>36</v>
      </c>
      <c r="J328" s="56"/>
      <c r="K328" s="35" t="s">
        <v>36</v>
      </c>
    </row>
    <row r="329">
      <c r="A329" s="183" t="s">
        <v>195</v>
      </c>
      <c r="B329" s="35" t="s">
        <v>2027</v>
      </c>
      <c r="C329" s="187" t="s">
        <v>1603</v>
      </c>
      <c r="D329" s="187" t="s">
        <v>1604</v>
      </c>
      <c r="E329" s="187" t="s">
        <v>1605</v>
      </c>
      <c r="F329" s="187" t="s">
        <v>1606</v>
      </c>
      <c r="G329" s="187" t="s">
        <v>1607</v>
      </c>
      <c r="H329" s="185" t="s">
        <v>35</v>
      </c>
      <c r="I329" s="188" t="s">
        <v>36</v>
      </c>
      <c r="J329" s="56"/>
      <c r="K329" s="35" t="s">
        <v>36</v>
      </c>
    </row>
    <row r="330">
      <c r="A330" s="183" t="s">
        <v>195</v>
      </c>
      <c r="B330" s="35" t="s">
        <v>2028</v>
      </c>
      <c r="C330" s="187" t="s">
        <v>1609</v>
      </c>
      <c r="D330" s="187" t="s">
        <v>1610</v>
      </c>
      <c r="E330" s="187" t="s">
        <v>1611</v>
      </c>
      <c r="F330" s="187" t="s">
        <v>1612</v>
      </c>
      <c r="G330" s="187" t="s">
        <v>1613</v>
      </c>
      <c r="H330" s="185" t="s">
        <v>35</v>
      </c>
      <c r="I330" s="188" t="s">
        <v>36</v>
      </c>
      <c r="J330" s="56"/>
      <c r="K330" s="35" t="s">
        <v>36</v>
      </c>
    </row>
    <row r="331">
      <c r="A331" s="183" t="s">
        <v>195</v>
      </c>
      <c r="B331" s="35" t="s">
        <v>2029</v>
      </c>
      <c r="C331" s="187" t="s">
        <v>1615</v>
      </c>
      <c r="D331" s="187" t="s">
        <v>1616</v>
      </c>
      <c r="E331" s="187" t="s">
        <v>1611</v>
      </c>
      <c r="F331" s="187" t="s">
        <v>1617</v>
      </c>
      <c r="G331" s="187" t="s">
        <v>1618</v>
      </c>
      <c r="H331" s="185" t="s">
        <v>35</v>
      </c>
      <c r="I331" s="188" t="s">
        <v>36</v>
      </c>
      <c r="J331" s="56"/>
      <c r="K331" s="35" t="s">
        <v>36</v>
      </c>
    </row>
    <row r="332">
      <c r="A332" s="183" t="s">
        <v>195</v>
      </c>
      <c r="B332" s="35" t="s">
        <v>2030</v>
      </c>
      <c r="C332" s="187" t="s">
        <v>1620</v>
      </c>
      <c r="D332" s="187" t="s">
        <v>1621</v>
      </c>
      <c r="E332" s="187" t="s">
        <v>1622</v>
      </c>
      <c r="F332" s="187" t="s">
        <v>1623</v>
      </c>
      <c r="G332" s="187" t="s">
        <v>1624</v>
      </c>
      <c r="H332" s="185" t="s">
        <v>35</v>
      </c>
      <c r="I332" s="186" t="s">
        <v>36</v>
      </c>
      <c r="J332" s="56"/>
      <c r="K332" s="35" t="s">
        <v>36</v>
      </c>
    </row>
    <row r="333">
      <c r="A333" s="183" t="s">
        <v>195</v>
      </c>
      <c r="B333" s="35" t="s">
        <v>2031</v>
      </c>
      <c r="C333" s="187" t="s">
        <v>1626</v>
      </c>
      <c r="D333" s="187" t="s">
        <v>1627</v>
      </c>
      <c r="E333" s="187" t="s">
        <v>1622</v>
      </c>
      <c r="F333" s="187" t="s">
        <v>1549</v>
      </c>
      <c r="G333" s="187" t="s">
        <v>1628</v>
      </c>
      <c r="H333" s="185" t="s">
        <v>35</v>
      </c>
      <c r="I333" s="186" t="s">
        <v>36</v>
      </c>
      <c r="J333" s="56"/>
      <c r="K333" s="35" t="s">
        <v>36</v>
      </c>
    </row>
    <row r="334">
      <c r="A334" s="183" t="s">
        <v>195</v>
      </c>
      <c r="B334" s="35" t="s">
        <v>2032</v>
      </c>
      <c r="C334" s="187" t="s">
        <v>1630</v>
      </c>
      <c r="D334" s="187" t="s">
        <v>1631</v>
      </c>
      <c r="E334" s="187" t="s">
        <v>1632</v>
      </c>
      <c r="F334" s="187" t="s">
        <v>1633</v>
      </c>
      <c r="G334" s="187" t="s">
        <v>1634</v>
      </c>
      <c r="H334" s="185" t="s">
        <v>35</v>
      </c>
      <c r="I334" s="186" t="s">
        <v>36</v>
      </c>
      <c r="J334" s="56"/>
      <c r="K334" s="35" t="s">
        <v>36</v>
      </c>
    </row>
    <row r="335">
      <c r="A335" s="183" t="s">
        <v>195</v>
      </c>
      <c r="B335" s="35" t="s">
        <v>2033</v>
      </c>
      <c r="C335" s="187" t="s">
        <v>1636</v>
      </c>
      <c r="D335" s="187" t="s">
        <v>1637</v>
      </c>
      <c r="E335" s="187" t="s">
        <v>1638</v>
      </c>
      <c r="F335" s="187" t="s">
        <v>1639</v>
      </c>
      <c r="G335" s="187" t="s">
        <v>1588</v>
      </c>
      <c r="H335" s="185" t="s">
        <v>35</v>
      </c>
      <c r="I335" s="186" t="s">
        <v>36</v>
      </c>
      <c r="J335" s="56"/>
      <c r="K335" s="35" t="s">
        <v>36</v>
      </c>
    </row>
    <row r="336">
      <c r="A336" s="183" t="s">
        <v>195</v>
      </c>
      <c r="B336" s="35" t="s">
        <v>2034</v>
      </c>
      <c r="C336" s="187" t="s">
        <v>1641</v>
      </c>
      <c r="D336" s="187" t="s">
        <v>1642</v>
      </c>
      <c r="E336" s="187" t="s">
        <v>1638</v>
      </c>
      <c r="F336" s="187" t="s">
        <v>1643</v>
      </c>
      <c r="G336" s="187" t="s">
        <v>1594</v>
      </c>
      <c r="H336" s="185" t="s">
        <v>35</v>
      </c>
      <c r="I336" s="186" t="s">
        <v>36</v>
      </c>
      <c r="J336" s="56"/>
      <c r="K336" s="35" t="s">
        <v>36</v>
      </c>
    </row>
    <row r="337">
      <c r="A337" s="183" t="s">
        <v>195</v>
      </c>
      <c r="B337" s="35" t="s">
        <v>2035</v>
      </c>
      <c r="C337" s="187" t="s">
        <v>1645</v>
      </c>
      <c r="D337" s="187" t="s">
        <v>1646</v>
      </c>
      <c r="E337" s="187" t="s">
        <v>1638</v>
      </c>
      <c r="F337" s="187" t="s">
        <v>1647</v>
      </c>
      <c r="G337" s="187" t="s">
        <v>1601</v>
      </c>
      <c r="H337" s="185" t="s">
        <v>35</v>
      </c>
      <c r="I337" s="186" t="s">
        <v>36</v>
      </c>
      <c r="J337" s="56"/>
      <c r="K337" s="35" t="s">
        <v>36</v>
      </c>
    </row>
    <row r="338">
      <c r="A338" s="183" t="s">
        <v>195</v>
      </c>
      <c r="B338" s="35" t="s">
        <v>2036</v>
      </c>
      <c r="C338" s="187" t="s">
        <v>1649</v>
      </c>
      <c r="D338" s="187" t="s">
        <v>1650</v>
      </c>
      <c r="E338" s="187" t="s">
        <v>1638</v>
      </c>
      <c r="F338" s="187" t="s">
        <v>1554</v>
      </c>
      <c r="G338" s="187" t="s">
        <v>1651</v>
      </c>
      <c r="H338" s="185" t="s">
        <v>35</v>
      </c>
      <c r="I338" s="186" t="s">
        <v>111</v>
      </c>
      <c r="J338" s="56"/>
      <c r="K338" s="35" t="s">
        <v>111</v>
      </c>
    </row>
    <row r="339">
      <c r="A339" s="183" t="s">
        <v>195</v>
      </c>
      <c r="B339" s="35" t="s">
        <v>2037</v>
      </c>
      <c r="C339" s="187" t="s">
        <v>1653</v>
      </c>
      <c r="D339" s="187" t="s">
        <v>1654</v>
      </c>
      <c r="E339" s="187" t="s">
        <v>1638</v>
      </c>
      <c r="F339" s="187" t="s">
        <v>1560</v>
      </c>
      <c r="G339" s="187" t="s">
        <v>1561</v>
      </c>
      <c r="H339" s="185" t="s">
        <v>35</v>
      </c>
      <c r="I339" s="186" t="s">
        <v>36</v>
      </c>
      <c r="J339" s="56"/>
      <c r="K339" s="35" t="s">
        <v>36</v>
      </c>
    </row>
    <row r="340">
      <c r="A340" s="183" t="s">
        <v>195</v>
      </c>
      <c r="B340" s="35" t="s">
        <v>2038</v>
      </c>
      <c r="C340" s="187" t="s">
        <v>1656</v>
      </c>
      <c r="D340" s="187" t="s">
        <v>1564</v>
      </c>
      <c r="E340" s="187" t="s">
        <v>1638</v>
      </c>
      <c r="F340" s="187" t="s">
        <v>1657</v>
      </c>
      <c r="G340" s="187" t="s">
        <v>1566</v>
      </c>
      <c r="H340" s="185" t="s">
        <v>35</v>
      </c>
      <c r="I340" s="186" t="s">
        <v>36</v>
      </c>
      <c r="J340" s="56"/>
      <c r="K340" s="35" t="s">
        <v>36</v>
      </c>
    </row>
    <row r="341">
      <c r="A341" s="183" t="s">
        <v>195</v>
      </c>
      <c r="B341" s="35" t="s">
        <v>2039</v>
      </c>
      <c r="C341" s="187" t="s">
        <v>1659</v>
      </c>
      <c r="D341" s="187" t="s">
        <v>1569</v>
      </c>
      <c r="E341" s="187" t="s">
        <v>1638</v>
      </c>
      <c r="F341" s="187" t="s">
        <v>1570</v>
      </c>
      <c r="G341" s="187" t="s">
        <v>1571</v>
      </c>
      <c r="H341" s="185" t="s">
        <v>35</v>
      </c>
      <c r="I341" s="186" t="s">
        <v>36</v>
      </c>
      <c r="J341" s="56"/>
      <c r="K341" s="35" t="s">
        <v>36</v>
      </c>
    </row>
    <row r="342">
      <c r="A342" s="183" t="s">
        <v>195</v>
      </c>
      <c r="B342" s="35" t="s">
        <v>2040</v>
      </c>
      <c r="C342" s="187" t="s">
        <v>1661</v>
      </c>
      <c r="D342" s="187" t="s">
        <v>1574</v>
      </c>
      <c r="E342" s="187" t="s">
        <v>1638</v>
      </c>
      <c r="F342" s="187" t="s">
        <v>1575</v>
      </c>
      <c r="G342" s="187" t="s">
        <v>1576</v>
      </c>
      <c r="H342" s="185" t="s">
        <v>35</v>
      </c>
      <c r="I342" s="186" t="s">
        <v>111</v>
      </c>
      <c r="J342" s="35" t="s">
        <v>1577</v>
      </c>
      <c r="K342" s="35" t="s">
        <v>111</v>
      </c>
    </row>
    <row r="343">
      <c r="A343" s="183" t="s">
        <v>195</v>
      </c>
      <c r="B343" s="35" t="s">
        <v>2041</v>
      </c>
      <c r="C343" s="187" t="s">
        <v>1663</v>
      </c>
      <c r="D343" s="187" t="s">
        <v>1580</v>
      </c>
      <c r="E343" s="187" t="s">
        <v>1638</v>
      </c>
      <c r="F343" s="187" t="s">
        <v>1581</v>
      </c>
      <c r="G343" s="187" t="s">
        <v>1582</v>
      </c>
      <c r="H343" s="185" t="s">
        <v>35</v>
      </c>
      <c r="I343" s="186" t="s">
        <v>111</v>
      </c>
      <c r="J343" s="35" t="s">
        <v>1664</v>
      </c>
      <c r="K343" s="35" t="s">
        <v>111</v>
      </c>
    </row>
    <row r="344">
      <c r="A344" s="183" t="s">
        <v>195</v>
      </c>
      <c r="B344" s="35" t="s">
        <v>2042</v>
      </c>
      <c r="C344" s="187" t="s">
        <v>1666</v>
      </c>
      <c r="D344" s="187" t="s">
        <v>1667</v>
      </c>
      <c r="E344" s="187" t="s">
        <v>1668</v>
      </c>
      <c r="F344" s="187" t="s">
        <v>1669</v>
      </c>
      <c r="G344" s="187" t="s">
        <v>1670</v>
      </c>
      <c r="H344" s="185" t="s">
        <v>35</v>
      </c>
      <c r="I344" s="186" t="s">
        <v>36</v>
      </c>
      <c r="J344" s="56"/>
      <c r="K344" s="35" t="s">
        <v>36</v>
      </c>
    </row>
    <row r="345">
      <c r="A345" s="183" t="s">
        <v>195</v>
      </c>
      <c r="B345" s="35" t="s">
        <v>2043</v>
      </c>
      <c r="C345" s="187" t="s">
        <v>1672</v>
      </c>
      <c r="D345" s="187" t="s">
        <v>1673</v>
      </c>
      <c r="E345" s="187" t="s">
        <v>1674</v>
      </c>
      <c r="F345" s="187" t="s">
        <v>1675</v>
      </c>
      <c r="G345" s="187" t="s">
        <v>1676</v>
      </c>
      <c r="H345" s="185" t="s">
        <v>35</v>
      </c>
      <c r="I345" s="186" t="s">
        <v>36</v>
      </c>
      <c r="J345" s="56"/>
      <c r="K345" s="35" t="s">
        <v>36</v>
      </c>
    </row>
    <row r="346">
      <c r="A346" s="183" t="s">
        <v>195</v>
      </c>
      <c r="B346" s="35" t="s">
        <v>2044</v>
      </c>
      <c r="C346" s="187" t="s">
        <v>1678</v>
      </c>
      <c r="D346" s="187" t="s">
        <v>1679</v>
      </c>
      <c r="E346" s="187" t="s">
        <v>1680</v>
      </c>
      <c r="F346" s="187" t="s">
        <v>1681</v>
      </c>
      <c r="G346" s="187" t="s">
        <v>1682</v>
      </c>
      <c r="H346" s="185" t="s">
        <v>35</v>
      </c>
      <c r="I346" s="186" t="s">
        <v>36</v>
      </c>
      <c r="J346" s="56"/>
      <c r="K346" s="35" t="s">
        <v>36</v>
      </c>
    </row>
    <row r="347">
      <c r="A347" s="183" t="s">
        <v>195</v>
      </c>
      <c r="B347" s="35" t="s">
        <v>2045</v>
      </c>
      <c r="C347" s="187" t="s">
        <v>1684</v>
      </c>
      <c r="D347" s="187" t="s">
        <v>1679</v>
      </c>
      <c r="E347" s="187" t="s">
        <v>1680</v>
      </c>
      <c r="F347" s="187" t="s">
        <v>1681</v>
      </c>
      <c r="G347" s="187" t="s">
        <v>1682</v>
      </c>
      <c r="H347" s="185" t="s">
        <v>35</v>
      </c>
      <c r="I347" s="186" t="s">
        <v>36</v>
      </c>
      <c r="J347" s="56"/>
      <c r="K347" s="35" t="s">
        <v>36</v>
      </c>
    </row>
    <row r="348">
      <c r="A348" s="183" t="s">
        <v>195</v>
      </c>
      <c r="B348" s="35" t="s">
        <v>2046</v>
      </c>
      <c r="C348" s="187" t="s">
        <v>1686</v>
      </c>
      <c r="D348" s="187" t="s">
        <v>1687</v>
      </c>
      <c r="E348" s="187" t="s">
        <v>1688</v>
      </c>
      <c r="F348" s="187" t="s">
        <v>1689</v>
      </c>
      <c r="G348" s="187" t="s">
        <v>1690</v>
      </c>
      <c r="H348" s="185" t="s">
        <v>35</v>
      </c>
      <c r="I348" s="186" t="s">
        <v>36</v>
      </c>
      <c r="J348" s="56"/>
      <c r="K348" s="35" t="s">
        <v>36</v>
      </c>
    </row>
    <row r="349">
      <c r="A349" s="183" t="s">
        <v>195</v>
      </c>
      <c r="B349" s="35" t="s">
        <v>2047</v>
      </c>
      <c r="C349" s="187" t="s">
        <v>1692</v>
      </c>
      <c r="D349" s="187" t="s">
        <v>1693</v>
      </c>
      <c r="E349" s="187" t="s">
        <v>1694</v>
      </c>
      <c r="F349" s="187" t="s">
        <v>1554</v>
      </c>
      <c r="G349" s="187" t="s">
        <v>1555</v>
      </c>
      <c r="H349" s="185" t="s">
        <v>35</v>
      </c>
      <c r="I349" s="186" t="s">
        <v>111</v>
      </c>
      <c r="J349" s="35" t="s">
        <v>1556</v>
      </c>
      <c r="K349" s="35" t="s">
        <v>111</v>
      </c>
    </row>
    <row r="350">
      <c r="A350" s="183" t="s">
        <v>195</v>
      </c>
      <c r="B350" s="35" t="s">
        <v>2048</v>
      </c>
      <c r="C350" s="187" t="s">
        <v>1696</v>
      </c>
      <c r="D350" s="187" t="s">
        <v>1564</v>
      </c>
      <c r="E350" s="187" t="s">
        <v>1697</v>
      </c>
      <c r="F350" s="187" t="s">
        <v>1657</v>
      </c>
      <c r="G350" s="187" t="s">
        <v>1566</v>
      </c>
      <c r="H350" s="185" t="s">
        <v>35</v>
      </c>
      <c r="I350" s="188" t="s">
        <v>36</v>
      </c>
      <c r="J350" s="56"/>
      <c r="K350" s="35" t="s">
        <v>36</v>
      </c>
    </row>
    <row r="351">
      <c r="A351" s="183" t="s">
        <v>195</v>
      </c>
      <c r="B351" s="35" t="s">
        <v>2049</v>
      </c>
      <c r="C351" s="187" t="s">
        <v>1699</v>
      </c>
      <c r="D351" s="187" t="s">
        <v>1700</v>
      </c>
      <c r="E351" s="187" t="s">
        <v>1701</v>
      </c>
      <c r="F351" s="187" t="s">
        <v>1560</v>
      </c>
      <c r="G351" s="187" t="s">
        <v>1561</v>
      </c>
      <c r="H351" s="185" t="s">
        <v>35</v>
      </c>
      <c r="I351" s="186" t="s">
        <v>36</v>
      </c>
      <c r="J351" s="35"/>
      <c r="K351" s="35" t="s">
        <v>36</v>
      </c>
    </row>
    <row r="352">
      <c r="A352" s="183" t="s">
        <v>195</v>
      </c>
      <c r="B352" s="35" t="s">
        <v>2050</v>
      </c>
      <c r="C352" s="187" t="s">
        <v>1703</v>
      </c>
      <c r="D352" s="187" t="s">
        <v>1569</v>
      </c>
      <c r="E352" s="187" t="s">
        <v>1622</v>
      </c>
      <c r="F352" s="187" t="s">
        <v>1570</v>
      </c>
      <c r="G352" s="187" t="s">
        <v>1571</v>
      </c>
      <c r="H352" s="185" t="s">
        <v>35</v>
      </c>
      <c r="I352" s="186" t="s">
        <v>36</v>
      </c>
      <c r="J352" s="56"/>
      <c r="K352" s="35" t="s">
        <v>36</v>
      </c>
    </row>
    <row r="353">
      <c r="A353" s="183" t="s">
        <v>195</v>
      </c>
      <c r="B353" s="35" t="s">
        <v>2051</v>
      </c>
      <c r="C353" s="187" t="s">
        <v>1705</v>
      </c>
      <c r="D353" s="187" t="s">
        <v>1574</v>
      </c>
      <c r="E353" s="187" t="s">
        <v>1622</v>
      </c>
      <c r="F353" s="187" t="s">
        <v>1575</v>
      </c>
      <c r="G353" s="187" t="s">
        <v>1576</v>
      </c>
      <c r="H353" s="185" t="s">
        <v>35</v>
      </c>
      <c r="I353" s="186" t="s">
        <v>111</v>
      </c>
      <c r="J353" s="35" t="s">
        <v>1577</v>
      </c>
      <c r="K353" s="35" t="s">
        <v>111</v>
      </c>
    </row>
    <row r="354">
      <c r="A354" s="183" t="s">
        <v>195</v>
      </c>
      <c r="B354" s="35" t="s">
        <v>2052</v>
      </c>
      <c r="C354" s="187" t="s">
        <v>1707</v>
      </c>
      <c r="D354" s="187" t="s">
        <v>1580</v>
      </c>
      <c r="E354" s="187" t="s">
        <v>1622</v>
      </c>
      <c r="F354" s="187" t="s">
        <v>1581</v>
      </c>
      <c r="G354" s="187" t="s">
        <v>1582</v>
      </c>
      <c r="H354" s="185" t="s">
        <v>35</v>
      </c>
      <c r="I354" s="186" t="s">
        <v>36</v>
      </c>
      <c r="J354" s="56"/>
      <c r="K354" s="35" t="s">
        <v>36</v>
      </c>
    </row>
    <row r="355">
      <c r="A355" s="183" t="s">
        <v>195</v>
      </c>
      <c r="B355" s="35" t="s">
        <v>2053</v>
      </c>
      <c r="C355" s="187" t="s">
        <v>1709</v>
      </c>
      <c r="D355" s="187" t="s">
        <v>1710</v>
      </c>
      <c r="E355" s="187" t="s">
        <v>1622</v>
      </c>
      <c r="F355" s="187" t="s">
        <v>1711</v>
      </c>
      <c r="G355" s="187" t="s">
        <v>1712</v>
      </c>
      <c r="H355" s="185" t="s">
        <v>35</v>
      </c>
      <c r="I355" s="186" t="s">
        <v>36</v>
      </c>
      <c r="J355" s="56"/>
      <c r="K355" s="35" t="s">
        <v>36</v>
      </c>
    </row>
    <row r="356">
      <c r="A356" s="183" t="s">
        <v>195</v>
      </c>
      <c r="B356" s="35" t="s">
        <v>2054</v>
      </c>
      <c r="C356" s="187" t="s">
        <v>1714</v>
      </c>
      <c r="D356" s="187" t="s">
        <v>1715</v>
      </c>
      <c r="E356" s="187" t="s">
        <v>1716</v>
      </c>
      <c r="F356" s="187" t="s">
        <v>1717</v>
      </c>
      <c r="G356" s="187" t="s">
        <v>1718</v>
      </c>
      <c r="H356" s="185" t="s">
        <v>35</v>
      </c>
      <c r="I356" s="186" t="s">
        <v>36</v>
      </c>
      <c r="J356" s="56"/>
      <c r="K356" s="35" t="s">
        <v>36</v>
      </c>
    </row>
    <row r="357">
      <c r="A357" s="183" t="s">
        <v>195</v>
      </c>
      <c r="B357" s="35" t="s">
        <v>2055</v>
      </c>
      <c r="C357" s="187" t="s">
        <v>1720</v>
      </c>
      <c r="D357" s="187" t="s">
        <v>1721</v>
      </c>
      <c r="E357" s="187" t="s">
        <v>1722</v>
      </c>
      <c r="F357" s="187" t="s">
        <v>1723</v>
      </c>
      <c r="G357" s="187" t="s">
        <v>1628</v>
      </c>
      <c r="H357" s="185" t="s">
        <v>35</v>
      </c>
      <c r="I357" s="186" t="s">
        <v>36</v>
      </c>
      <c r="J357" s="56"/>
      <c r="K357" s="35" t="s">
        <v>36</v>
      </c>
    </row>
    <row r="358">
      <c r="A358" s="189" t="s">
        <v>319</v>
      </c>
      <c r="B358" s="35" t="s">
        <v>2056</v>
      </c>
      <c r="C358" s="35" t="s">
        <v>1725</v>
      </c>
      <c r="D358" s="35" t="s">
        <v>1726</v>
      </c>
      <c r="E358" s="35" t="s">
        <v>1727</v>
      </c>
      <c r="F358" s="35" t="s">
        <v>1728</v>
      </c>
      <c r="G358" s="35" t="s">
        <v>1729</v>
      </c>
      <c r="H358" s="185" t="s">
        <v>35</v>
      </c>
      <c r="I358" s="186" t="s">
        <v>36</v>
      </c>
      <c r="J358" s="56"/>
      <c r="K358" s="35" t="s">
        <v>36</v>
      </c>
    </row>
    <row r="359">
      <c r="A359" s="190" t="s">
        <v>322</v>
      </c>
      <c r="B359" s="35" t="s">
        <v>2057</v>
      </c>
      <c r="C359" s="35" t="s">
        <v>1438</v>
      </c>
      <c r="D359" s="35" t="s">
        <v>1439</v>
      </c>
      <c r="E359" s="184" t="s">
        <v>1440</v>
      </c>
      <c r="F359" s="183" t="s">
        <v>1441</v>
      </c>
      <c r="G359" s="35" t="s">
        <v>1442</v>
      </c>
      <c r="H359" s="185" t="s">
        <v>35</v>
      </c>
      <c r="I359" s="186" t="s">
        <v>36</v>
      </c>
      <c r="J359" s="56"/>
      <c r="K359" s="35" t="s">
        <v>36</v>
      </c>
    </row>
    <row r="360">
      <c r="A360" s="183" t="s">
        <v>322</v>
      </c>
      <c r="B360" s="35" t="s">
        <v>2058</v>
      </c>
      <c r="C360" s="187" t="s">
        <v>1446</v>
      </c>
      <c r="D360" s="187" t="s">
        <v>1447</v>
      </c>
      <c r="E360" s="187" t="s">
        <v>1448</v>
      </c>
      <c r="F360" s="187" t="s">
        <v>1449</v>
      </c>
      <c r="G360" s="187" t="s">
        <v>1450</v>
      </c>
      <c r="H360" s="185" t="s">
        <v>35</v>
      </c>
      <c r="I360" s="186" t="s">
        <v>36</v>
      </c>
      <c r="J360" s="56"/>
      <c r="K360" s="35" t="s">
        <v>36</v>
      </c>
    </row>
    <row r="361">
      <c r="A361" s="183" t="s">
        <v>322</v>
      </c>
      <c r="B361" s="35" t="s">
        <v>2059</v>
      </c>
      <c r="C361" s="187" t="s">
        <v>1453</v>
      </c>
      <c r="D361" s="187" t="s">
        <v>1454</v>
      </c>
      <c r="E361" s="187" t="s">
        <v>1448</v>
      </c>
      <c r="F361" s="187" t="s">
        <v>1455</v>
      </c>
      <c r="G361" s="187" t="s">
        <v>1456</v>
      </c>
      <c r="H361" s="185" t="s">
        <v>35</v>
      </c>
      <c r="I361" s="186" t="s">
        <v>111</v>
      </c>
      <c r="J361" s="35" t="s">
        <v>1733</v>
      </c>
      <c r="K361" s="35" t="s">
        <v>111</v>
      </c>
    </row>
    <row r="362">
      <c r="A362" s="183" t="s">
        <v>322</v>
      </c>
      <c r="B362" s="35" t="s">
        <v>2060</v>
      </c>
      <c r="C362" s="187" t="s">
        <v>1459</v>
      </c>
      <c r="D362" s="187" t="s">
        <v>1460</v>
      </c>
      <c r="E362" s="187" t="s">
        <v>1448</v>
      </c>
      <c r="F362" s="187" t="s">
        <v>1461</v>
      </c>
      <c r="G362" s="187" t="s">
        <v>1462</v>
      </c>
      <c r="H362" s="185" t="s">
        <v>35</v>
      </c>
      <c r="I362" s="186" t="s">
        <v>36</v>
      </c>
      <c r="J362" s="56"/>
      <c r="K362" s="35" t="s">
        <v>36</v>
      </c>
    </row>
    <row r="363">
      <c r="A363" s="183" t="s">
        <v>322</v>
      </c>
      <c r="B363" s="35" t="s">
        <v>2061</v>
      </c>
      <c r="C363" s="183" t="s">
        <v>1465</v>
      </c>
      <c r="D363" s="183" t="s">
        <v>1466</v>
      </c>
      <c r="E363" s="187" t="s">
        <v>1448</v>
      </c>
      <c r="F363" s="183" t="s">
        <v>1467</v>
      </c>
      <c r="G363" s="183" t="s">
        <v>1468</v>
      </c>
      <c r="H363" s="185" t="s">
        <v>35</v>
      </c>
      <c r="I363" s="186" t="s">
        <v>111</v>
      </c>
      <c r="J363" s="35" t="s">
        <v>1469</v>
      </c>
      <c r="K363" s="35" t="s">
        <v>111</v>
      </c>
    </row>
    <row r="364">
      <c r="A364" s="183" t="s">
        <v>322</v>
      </c>
      <c r="B364" s="35" t="s">
        <v>2062</v>
      </c>
      <c r="C364" s="183" t="s">
        <v>1471</v>
      </c>
      <c r="D364" s="183" t="s">
        <v>1472</v>
      </c>
      <c r="E364" s="187" t="s">
        <v>1448</v>
      </c>
      <c r="F364" s="183" t="s">
        <v>1473</v>
      </c>
      <c r="G364" s="183" t="s">
        <v>1474</v>
      </c>
      <c r="H364" s="185" t="s">
        <v>35</v>
      </c>
      <c r="I364" s="186" t="s">
        <v>111</v>
      </c>
      <c r="J364" s="183" t="s">
        <v>1475</v>
      </c>
      <c r="K364" s="35" t="s">
        <v>111</v>
      </c>
    </row>
    <row r="365">
      <c r="A365" s="183" t="s">
        <v>322</v>
      </c>
      <c r="B365" s="35" t="s">
        <v>2063</v>
      </c>
      <c r="C365" s="183" t="s">
        <v>1477</v>
      </c>
      <c r="D365" s="183" t="s">
        <v>1478</v>
      </c>
      <c r="E365" s="187" t="s">
        <v>1448</v>
      </c>
      <c r="F365" s="183" t="s">
        <v>1479</v>
      </c>
      <c r="G365" s="183" t="s">
        <v>1468</v>
      </c>
      <c r="H365" s="185" t="s">
        <v>35</v>
      </c>
      <c r="I365" s="186" t="s">
        <v>111</v>
      </c>
      <c r="J365" s="35" t="s">
        <v>1733</v>
      </c>
      <c r="K365" s="35" t="s">
        <v>111</v>
      </c>
    </row>
    <row r="366">
      <c r="A366" s="183" t="s">
        <v>322</v>
      </c>
      <c r="B366" s="35" t="s">
        <v>2064</v>
      </c>
      <c r="C366" s="183" t="s">
        <v>1481</v>
      </c>
      <c r="D366" s="183" t="s">
        <v>1472</v>
      </c>
      <c r="E366" s="187" t="s">
        <v>1448</v>
      </c>
      <c r="F366" s="183" t="s">
        <v>1482</v>
      </c>
      <c r="G366" s="183" t="s">
        <v>1474</v>
      </c>
      <c r="H366" s="185" t="s">
        <v>35</v>
      </c>
      <c r="I366" s="186" t="s">
        <v>111</v>
      </c>
      <c r="J366" s="35" t="s">
        <v>1733</v>
      </c>
      <c r="K366" s="35" t="s">
        <v>111</v>
      </c>
    </row>
    <row r="367">
      <c r="A367" s="183" t="s">
        <v>322</v>
      </c>
      <c r="B367" s="35" t="s">
        <v>2065</v>
      </c>
      <c r="C367" s="183" t="s">
        <v>1484</v>
      </c>
      <c r="D367" s="183" t="s">
        <v>1472</v>
      </c>
      <c r="E367" s="187" t="s">
        <v>1448</v>
      </c>
      <c r="F367" s="183" t="s">
        <v>1485</v>
      </c>
      <c r="G367" s="183" t="s">
        <v>1486</v>
      </c>
      <c r="H367" s="185" t="s">
        <v>35</v>
      </c>
      <c r="I367" s="186" t="s">
        <v>111</v>
      </c>
      <c r="J367" s="183" t="s">
        <v>1475</v>
      </c>
      <c r="K367" s="35" t="s">
        <v>111</v>
      </c>
    </row>
    <row r="368">
      <c r="A368" s="183" t="s">
        <v>322</v>
      </c>
      <c r="B368" s="35" t="s">
        <v>2066</v>
      </c>
      <c r="C368" s="187" t="s">
        <v>1488</v>
      </c>
      <c r="D368" s="187" t="s">
        <v>1489</v>
      </c>
      <c r="E368" s="187" t="s">
        <v>1490</v>
      </c>
      <c r="F368" s="187" t="s">
        <v>1491</v>
      </c>
      <c r="G368" s="187" t="s">
        <v>1492</v>
      </c>
      <c r="H368" s="185" t="s">
        <v>35</v>
      </c>
      <c r="I368" s="186" t="s">
        <v>111</v>
      </c>
      <c r="J368" s="35" t="s">
        <v>1741</v>
      </c>
      <c r="K368" s="35" t="s">
        <v>111</v>
      </c>
    </row>
    <row r="369">
      <c r="A369" s="183" t="s">
        <v>322</v>
      </c>
      <c r="B369" s="35" t="s">
        <v>2067</v>
      </c>
      <c r="C369" s="187" t="s">
        <v>1494</v>
      </c>
      <c r="D369" s="183" t="s">
        <v>1495</v>
      </c>
      <c r="E369" s="187" t="s">
        <v>1496</v>
      </c>
      <c r="F369" s="187" t="s">
        <v>1497</v>
      </c>
      <c r="G369" s="187" t="s">
        <v>1498</v>
      </c>
      <c r="H369" s="185" t="s">
        <v>35</v>
      </c>
      <c r="I369" s="186" t="s">
        <v>111</v>
      </c>
      <c r="J369" s="185" t="s">
        <v>1741</v>
      </c>
      <c r="K369" s="35" t="s">
        <v>111</v>
      </c>
    </row>
    <row r="370">
      <c r="A370" s="183" t="s">
        <v>322</v>
      </c>
      <c r="B370" s="35" t="s">
        <v>2068</v>
      </c>
      <c r="C370" s="187" t="s">
        <v>1501</v>
      </c>
      <c r="D370" s="187" t="s">
        <v>1502</v>
      </c>
      <c r="E370" s="187" t="s">
        <v>1503</v>
      </c>
      <c r="F370" s="187" t="s">
        <v>1491</v>
      </c>
      <c r="G370" s="187" t="s">
        <v>1504</v>
      </c>
      <c r="H370" s="185" t="s">
        <v>35</v>
      </c>
      <c r="I370" s="186" t="s">
        <v>36</v>
      </c>
      <c r="J370" s="56"/>
      <c r="K370" s="35" t="s">
        <v>36</v>
      </c>
    </row>
    <row r="371">
      <c r="A371" s="183" t="s">
        <v>322</v>
      </c>
      <c r="B371" s="35" t="s">
        <v>2069</v>
      </c>
      <c r="C371" s="187" t="s">
        <v>1506</v>
      </c>
      <c r="D371" s="187" t="s">
        <v>1507</v>
      </c>
      <c r="E371" s="187" t="s">
        <v>1508</v>
      </c>
      <c r="F371" s="187" t="s">
        <v>1491</v>
      </c>
      <c r="G371" s="187" t="s">
        <v>1509</v>
      </c>
      <c r="H371" s="185" t="s">
        <v>35</v>
      </c>
      <c r="I371" s="186" t="s">
        <v>36</v>
      </c>
      <c r="J371" s="56"/>
      <c r="K371" s="35" t="s">
        <v>36</v>
      </c>
    </row>
    <row r="372">
      <c r="A372" s="183" t="s">
        <v>322</v>
      </c>
      <c r="B372" s="35" t="s">
        <v>2070</v>
      </c>
      <c r="C372" s="187" t="s">
        <v>1511</v>
      </c>
      <c r="D372" s="187" t="s">
        <v>1512</v>
      </c>
      <c r="E372" s="187" t="s">
        <v>1513</v>
      </c>
      <c r="F372" s="187" t="s">
        <v>1491</v>
      </c>
      <c r="G372" s="187" t="s">
        <v>1514</v>
      </c>
      <c r="H372" s="185" t="s">
        <v>35</v>
      </c>
      <c r="I372" s="186" t="s">
        <v>111</v>
      </c>
      <c r="J372" s="185" t="s">
        <v>1741</v>
      </c>
      <c r="K372" s="35" t="s">
        <v>111</v>
      </c>
    </row>
    <row r="373">
      <c r="A373" s="183" t="s">
        <v>322</v>
      </c>
      <c r="B373" s="35" t="s">
        <v>2071</v>
      </c>
      <c r="C373" s="187" t="s">
        <v>1516</v>
      </c>
      <c r="D373" s="187" t="s">
        <v>1517</v>
      </c>
      <c r="E373" s="187" t="s">
        <v>1518</v>
      </c>
      <c r="F373" s="187" t="s">
        <v>1519</v>
      </c>
      <c r="G373" s="187" t="s">
        <v>1520</v>
      </c>
      <c r="H373" s="185" t="s">
        <v>35</v>
      </c>
      <c r="I373" s="186" t="s">
        <v>111</v>
      </c>
      <c r="J373" s="185" t="s">
        <v>1741</v>
      </c>
      <c r="K373" s="35" t="s">
        <v>111</v>
      </c>
    </row>
    <row r="374">
      <c r="A374" s="183" t="s">
        <v>322</v>
      </c>
      <c r="B374" s="35" t="s">
        <v>2072</v>
      </c>
      <c r="C374" s="187" t="s">
        <v>1523</v>
      </c>
      <c r="D374" s="187" t="s">
        <v>1524</v>
      </c>
      <c r="E374" s="187" t="s">
        <v>1525</v>
      </c>
      <c r="F374" s="187" t="s">
        <v>1526</v>
      </c>
      <c r="G374" s="187" t="s">
        <v>1527</v>
      </c>
      <c r="H374" s="185" t="s">
        <v>35</v>
      </c>
      <c r="I374" s="186" t="s">
        <v>111</v>
      </c>
      <c r="J374" s="185" t="s">
        <v>1741</v>
      </c>
      <c r="K374" s="35" t="s">
        <v>111</v>
      </c>
    </row>
    <row r="375">
      <c r="A375" s="183" t="s">
        <v>322</v>
      </c>
      <c r="B375" s="35" t="s">
        <v>2073</v>
      </c>
      <c r="C375" s="187" t="s">
        <v>1529</v>
      </c>
      <c r="D375" s="187" t="s">
        <v>1530</v>
      </c>
      <c r="E375" s="187" t="s">
        <v>1531</v>
      </c>
      <c r="F375" s="187" t="s">
        <v>1532</v>
      </c>
      <c r="G375" s="187" t="s">
        <v>1533</v>
      </c>
      <c r="H375" s="185" t="s">
        <v>35</v>
      </c>
      <c r="I375" s="186" t="s">
        <v>111</v>
      </c>
      <c r="J375" s="185" t="s">
        <v>1741</v>
      </c>
      <c r="K375" s="35" t="s">
        <v>111</v>
      </c>
    </row>
    <row r="376">
      <c r="A376" s="183" t="s">
        <v>322</v>
      </c>
      <c r="B376" s="35" t="s">
        <v>2074</v>
      </c>
      <c r="C376" s="187" t="s">
        <v>1535</v>
      </c>
      <c r="D376" s="187" t="s">
        <v>1536</v>
      </c>
      <c r="E376" s="187" t="s">
        <v>1537</v>
      </c>
      <c r="F376" s="187" t="s">
        <v>1538</v>
      </c>
      <c r="G376" s="187" t="s">
        <v>1539</v>
      </c>
      <c r="H376" s="185" t="s">
        <v>35</v>
      </c>
      <c r="I376" s="186" t="s">
        <v>111</v>
      </c>
      <c r="J376" s="185" t="s">
        <v>1741</v>
      </c>
      <c r="K376" s="35" t="s">
        <v>111</v>
      </c>
    </row>
    <row r="377">
      <c r="A377" s="183" t="s">
        <v>322</v>
      </c>
      <c r="B377" s="35" t="s">
        <v>2075</v>
      </c>
      <c r="C377" s="187" t="s">
        <v>1541</v>
      </c>
      <c r="D377" s="187" t="s">
        <v>1542</v>
      </c>
      <c r="E377" s="187" t="s">
        <v>1543</v>
      </c>
      <c r="F377" s="187" t="s">
        <v>1544</v>
      </c>
      <c r="G377" s="187" t="s">
        <v>1545</v>
      </c>
      <c r="H377" s="185" t="s">
        <v>35</v>
      </c>
      <c r="I377" s="186" t="s">
        <v>36</v>
      </c>
      <c r="J377" s="56"/>
      <c r="K377" s="35" t="s">
        <v>36</v>
      </c>
    </row>
    <row r="378">
      <c r="A378" s="183" t="s">
        <v>322</v>
      </c>
      <c r="B378" s="35" t="s">
        <v>2076</v>
      </c>
      <c r="C378" s="187" t="s">
        <v>1547</v>
      </c>
      <c r="D378" s="187" t="s">
        <v>1548</v>
      </c>
      <c r="E378" s="187" t="s">
        <v>1448</v>
      </c>
      <c r="F378" s="187" t="s">
        <v>1549</v>
      </c>
      <c r="G378" s="187" t="s">
        <v>1550</v>
      </c>
      <c r="H378" s="185" t="s">
        <v>35</v>
      </c>
      <c r="I378" s="186" t="s">
        <v>36</v>
      </c>
      <c r="J378" s="56"/>
      <c r="K378" s="35" t="s">
        <v>36</v>
      </c>
    </row>
    <row r="379">
      <c r="A379" s="183" t="s">
        <v>322</v>
      </c>
      <c r="B379" s="35" t="s">
        <v>2077</v>
      </c>
      <c r="C379" s="187" t="s">
        <v>1552</v>
      </c>
      <c r="D379" s="187" t="s">
        <v>1553</v>
      </c>
      <c r="E379" s="187" t="s">
        <v>1448</v>
      </c>
      <c r="F379" s="187" t="s">
        <v>1554</v>
      </c>
      <c r="G379" s="187" t="s">
        <v>1555</v>
      </c>
      <c r="H379" s="185" t="s">
        <v>35</v>
      </c>
      <c r="I379" s="186" t="s">
        <v>111</v>
      </c>
      <c r="J379" s="35" t="s">
        <v>1753</v>
      </c>
      <c r="K379" s="35" t="s">
        <v>111</v>
      </c>
    </row>
    <row r="380">
      <c r="A380" s="183" t="s">
        <v>322</v>
      </c>
      <c r="B380" s="35" t="s">
        <v>2078</v>
      </c>
      <c r="C380" s="187" t="s">
        <v>1558</v>
      </c>
      <c r="D380" s="187" t="s">
        <v>1559</v>
      </c>
      <c r="E380" s="187" t="s">
        <v>1448</v>
      </c>
      <c r="F380" s="187" t="s">
        <v>1560</v>
      </c>
      <c r="G380" s="187" t="s">
        <v>1561</v>
      </c>
      <c r="H380" s="185" t="s">
        <v>35</v>
      </c>
      <c r="I380" s="186" t="s">
        <v>36</v>
      </c>
      <c r="J380" s="35"/>
      <c r="K380" s="35" t="s">
        <v>36</v>
      </c>
    </row>
    <row r="381">
      <c r="A381" s="183" t="s">
        <v>322</v>
      </c>
      <c r="B381" s="35" t="s">
        <v>2079</v>
      </c>
      <c r="C381" s="187" t="s">
        <v>1563</v>
      </c>
      <c r="D381" s="187" t="s">
        <v>1564</v>
      </c>
      <c r="E381" s="187" t="s">
        <v>1448</v>
      </c>
      <c r="F381" s="187" t="s">
        <v>1565</v>
      </c>
      <c r="G381" s="187" t="s">
        <v>1566</v>
      </c>
      <c r="H381" s="185" t="s">
        <v>35</v>
      </c>
      <c r="I381" s="186" t="s">
        <v>36</v>
      </c>
      <c r="J381" s="35"/>
      <c r="K381" s="35" t="s">
        <v>36</v>
      </c>
    </row>
    <row r="382">
      <c r="A382" s="183" t="s">
        <v>322</v>
      </c>
      <c r="B382" s="35" t="s">
        <v>2080</v>
      </c>
      <c r="C382" s="187" t="s">
        <v>1568</v>
      </c>
      <c r="D382" s="187" t="s">
        <v>1569</v>
      </c>
      <c r="E382" s="187" t="s">
        <v>1448</v>
      </c>
      <c r="F382" s="187" t="s">
        <v>1570</v>
      </c>
      <c r="G382" s="187" t="s">
        <v>1571</v>
      </c>
      <c r="H382" s="185" t="s">
        <v>35</v>
      </c>
      <c r="I382" s="186" t="s">
        <v>36</v>
      </c>
      <c r="J382" s="56"/>
      <c r="K382" s="35" t="s">
        <v>36</v>
      </c>
    </row>
    <row r="383">
      <c r="A383" s="183" t="s">
        <v>322</v>
      </c>
      <c r="B383" s="35" t="s">
        <v>2081</v>
      </c>
      <c r="C383" s="187" t="s">
        <v>1573</v>
      </c>
      <c r="D383" s="187" t="s">
        <v>1574</v>
      </c>
      <c r="E383" s="187" t="s">
        <v>1448</v>
      </c>
      <c r="F383" s="187" t="s">
        <v>1575</v>
      </c>
      <c r="G383" s="187" t="s">
        <v>1576</v>
      </c>
      <c r="H383" s="185" t="s">
        <v>35</v>
      </c>
      <c r="I383" s="186" t="s">
        <v>111</v>
      </c>
      <c r="J383" s="35" t="s">
        <v>1577</v>
      </c>
      <c r="K383" s="35" t="s">
        <v>111</v>
      </c>
    </row>
    <row r="384">
      <c r="A384" s="183" t="s">
        <v>322</v>
      </c>
      <c r="B384" s="35" t="s">
        <v>2082</v>
      </c>
      <c r="C384" s="187" t="s">
        <v>1579</v>
      </c>
      <c r="D384" s="187" t="s">
        <v>1580</v>
      </c>
      <c r="E384" s="187" t="s">
        <v>1448</v>
      </c>
      <c r="F384" s="187" t="s">
        <v>1581</v>
      </c>
      <c r="G384" s="187" t="s">
        <v>1582</v>
      </c>
      <c r="H384" s="185" t="s">
        <v>35</v>
      </c>
      <c r="I384" s="186" t="s">
        <v>36</v>
      </c>
      <c r="J384" s="56"/>
      <c r="K384" s="35" t="s">
        <v>36</v>
      </c>
    </row>
    <row r="385">
      <c r="A385" s="183" t="s">
        <v>322</v>
      </c>
      <c r="B385" s="35" t="s">
        <v>2083</v>
      </c>
      <c r="C385" s="187" t="s">
        <v>1584</v>
      </c>
      <c r="D385" s="187" t="s">
        <v>1585</v>
      </c>
      <c r="E385" s="187" t="s">
        <v>1586</v>
      </c>
      <c r="F385" s="187" t="s">
        <v>1587</v>
      </c>
      <c r="G385" s="187" t="s">
        <v>1588</v>
      </c>
      <c r="H385" s="185" t="s">
        <v>35</v>
      </c>
      <c r="I385" s="186" t="s">
        <v>111</v>
      </c>
      <c r="J385" s="185" t="s">
        <v>1741</v>
      </c>
      <c r="K385" s="35" t="s">
        <v>111</v>
      </c>
    </row>
    <row r="386">
      <c r="A386" s="183" t="s">
        <v>322</v>
      </c>
      <c r="B386" s="35" t="s">
        <v>2084</v>
      </c>
      <c r="C386" s="187" t="s">
        <v>1590</v>
      </c>
      <c r="D386" s="187" t="s">
        <v>1591</v>
      </c>
      <c r="E386" s="187" t="s">
        <v>1592</v>
      </c>
      <c r="F386" s="187" t="s">
        <v>1593</v>
      </c>
      <c r="G386" s="187" t="s">
        <v>1594</v>
      </c>
      <c r="H386" s="185" t="s">
        <v>35</v>
      </c>
      <c r="I386" s="186" t="s">
        <v>111</v>
      </c>
      <c r="J386" s="185" t="s">
        <v>1741</v>
      </c>
      <c r="K386" s="35" t="s">
        <v>111</v>
      </c>
    </row>
    <row r="387">
      <c r="A387" s="183" t="s">
        <v>322</v>
      </c>
      <c r="B387" s="35" t="s">
        <v>2085</v>
      </c>
      <c r="C387" s="187" t="s">
        <v>1597</v>
      </c>
      <c r="D387" s="187" t="s">
        <v>1598</v>
      </c>
      <c r="E387" s="187" t="s">
        <v>1599</v>
      </c>
      <c r="F387" s="187" t="s">
        <v>1600</v>
      </c>
      <c r="G387" s="187" t="s">
        <v>1601</v>
      </c>
      <c r="H387" s="185" t="s">
        <v>35</v>
      </c>
      <c r="I387" s="186" t="s">
        <v>111</v>
      </c>
      <c r="J387" s="185" t="s">
        <v>1741</v>
      </c>
      <c r="K387" s="35" t="s">
        <v>111</v>
      </c>
    </row>
    <row r="388">
      <c r="A388" s="183" t="s">
        <v>322</v>
      </c>
      <c r="B388" s="35" t="s">
        <v>2086</v>
      </c>
      <c r="C388" s="187" t="s">
        <v>1603</v>
      </c>
      <c r="D388" s="187" t="s">
        <v>1604</v>
      </c>
      <c r="E388" s="187" t="s">
        <v>1605</v>
      </c>
      <c r="F388" s="187" t="s">
        <v>1606</v>
      </c>
      <c r="G388" s="187" t="s">
        <v>1607</v>
      </c>
      <c r="H388" s="185" t="s">
        <v>35</v>
      </c>
      <c r="I388" s="186" t="s">
        <v>111</v>
      </c>
      <c r="J388" s="185" t="s">
        <v>1741</v>
      </c>
      <c r="K388" s="35" t="s">
        <v>111</v>
      </c>
    </row>
    <row r="389">
      <c r="A389" s="183" t="s">
        <v>322</v>
      </c>
      <c r="B389" s="35" t="s">
        <v>2087</v>
      </c>
      <c r="C389" s="187" t="s">
        <v>1609</v>
      </c>
      <c r="D389" s="187" t="s">
        <v>1610</v>
      </c>
      <c r="E389" s="187" t="s">
        <v>1611</v>
      </c>
      <c r="F389" s="187" t="s">
        <v>1612</v>
      </c>
      <c r="G389" s="187" t="s">
        <v>1613</v>
      </c>
      <c r="H389" s="185" t="s">
        <v>35</v>
      </c>
      <c r="I389" s="186" t="s">
        <v>111</v>
      </c>
      <c r="J389" s="185" t="s">
        <v>1741</v>
      </c>
      <c r="K389" s="35" t="s">
        <v>111</v>
      </c>
    </row>
    <row r="390">
      <c r="A390" s="183" t="s">
        <v>322</v>
      </c>
      <c r="B390" s="35" t="s">
        <v>2088</v>
      </c>
      <c r="C390" s="187" t="s">
        <v>1615</v>
      </c>
      <c r="D390" s="187" t="s">
        <v>1616</v>
      </c>
      <c r="E390" s="187" t="s">
        <v>1611</v>
      </c>
      <c r="F390" s="187" t="s">
        <v>1617</v>
      </c>
      <c r="G390" s="187" t="s">
        <v>1618</v>
      </c>
      <c r="H390" s="185" t="s">
        <v>35</v>
      </c>
      <c r="I390" s="186" t="s">
        <v>111</v>
      </c>
      <c r="J390" s="185" t="s">
        <v>1741</v>
      </c>
      <c r="K390" s="35" t="s">
        <v>111</v>
      </c>
    </row>
    <row r="391">
      <c r="A391" s="183" t="s">
        <v>322</v>
      </c>
      <c r="B391" s="35" t="s">
        <v>2089</v>
      </c>
      <c r="C391" s="187" t="s">
        <v>1620</v>
      </c>
      <c r="D391" s="187" t="s">
        <v>1621</v>
      </c>
      <c r="E391" s="187" t="s">
        <v>1622</v>
      </c>
      <c r="F391" s="187" t="s">
        <v>1623</v>
      </c>
      <c r="G391" s="187" t="s">
        <v>1624</v>
      </c>
      <c r="H391" s="185" t="s">
        <v>35</v>
      </c>
      <c r="I391" s="186" t="s">
        <v>111</v>
      </c>
      <c r="J391" s="185" t="s">
        <v>1741</v>
      </c>
      <c r="K391" s="35" t="s">
        <v>111</v>
      </c>
    </row>
    <row r="392">
      <c r="A392" s="183" t="s">
        <v>322</v>
      </c>
      <c r="B392" s="35" t="s">
        <v>2090</v>
      </c>
      <c r="C392" s="187" t="s">
        <v>1626</v>
      </c>
      <c r="D392" s="187" t="s">
        <v>1627</v>
      </c>
      <c r="E392" s="187" t="s">
        <v>1622</v>
      </c>
      <c r="F392" s="187" t="s">
        <v>1549</v>
      </c>
      <c r="G392" s="187" t="s">
        <v>1628</v>
      </c>
      <c r="H392" s="185" t="s">
        <v>35</v>
      </c>
      <c r="I392" s="186" t="s">
        <v>111</v>
      </c>
      <c r="J392" s="185" t="s">
        <v>1741</v>
      </c>
      <c r="K392" s="35" t="s">
        <v>111</v>
      </c>
    </row>
    <row r="393">
      <c r="A393" s="183" t="s">
        <v>322</v>
      </c>
      <c r="B393" s="35" t="s">
        <v>2091</v>
      </c>
      <c r="C393" s="187" t="s">
        <v>1630</v>
      </c>
      <c r="D393" s="187" t="s">
        <v>1631</v>
      </c>
      <c r="E393" s="187" t="s">
        <v>1632</v>
      </c>
      <c r="F393" s="187" t="s">
        <v>1633</v>
      </c>
      <c r="G393" s="187" t="s">
        <v>1634</v>
      </c>
      <c r="H393" s="185" t="s">
        <v>35</v>
      </c>
      <c r="I393" s="186" t="s">
        <v>111</v>
      </c>
      <c r="J393" s="185" t="s">
        <v>1741</v>
      </c>
      <c r="K393" s="35" t="s">
        <v>111</v>
      </c>
    </row>
    <row r="394">
      <c r="A394" s="183" t="s">
        <v>322</v>
      </c>
      <c r="B394" s="35" t="s">
        <v>2092</v>
      </c>
      <c r="C394" s="187" t="s">
        <v>1636</v>
      </c>
      <c r="D394" s="187" t="s">
        <v>1637</v>
      </c>
      <c r="E394" s="187" t="s">
        <v>1638</v>
      </c>
      <c r="F394" s="187" t="s">
        <v>1639</v>
      </c>
      <c r="G394" s="187" t="s">
        <v>1588</v>
      </c>
      <c r="H394" s="185" t="s">
        <v>35</v>
      </c>
      <c r="I394" s="186" t="s">
        <v>111</v>
      </c>
      <c r="J394" s="185" t="s">
        <v>1741</v>
      </c>
      <c r="K394" s="35" t="s">
        <v>111</v>
      </c>
    </row>
    <row r="395">
      <c r="A395" s="183" t="s">
        <v>322</v>
      </c>
      <c r="B395" s="35" t="s">
        <v>2093</v>
      </c>
      <c r="C395" s="187" t="s">
        <v>1641</v>
      </c>
      <c r="D395" s="187" t="s">
        <v>1642</v>
      </c>
      <c r="E395" s="187" t="s">
        <v>1638</v>
      </c>
      <c r="F395" s="187" t="s">
        <v>1643</v>
      </c>
      <c r="G395" s="187" t="s">
        <v>1594</v>
      </c>
      <c r="H395" s="185" t="s">
        <v>35</v>
      </c>
      <c r="I395" s="186" t="s">
        <v>111</v>
      </c>
      <c r="J395" s="185" t="s">
        <v>1741</v>
      </c>
      <c r="K395" s="35" t="s">
        <v>111</v>
      </c>
    </row>
    <row r="396">
      <c r="A396" s="183" t="s">
        <v>322</v>
      </c>
      <c r="B396" s="35" t="s">
        <v>2094</v>
      </c>
      <c r="C396" s="187" t="s">
        <v>1645</v>
      </c>
      <c r="D396" s="187" t="s">
        <v>1646</v>
      </c>
      <c r="E396" s="187" t="s">
        <v>1638</v>
      </c>
      <c r="F396" s="187" t="s">
        <v>1647</v>
      </c>
      <c r="G396" s="187" t="s">
        <v>1601</v>
      </c>
      <c r="H396" s="185" t="s">
        <v>35</v>
      </c>
      <c r="I396" s="186" t="s">
        <v>111</v>
      </c>
      <c r="J396" s="185" t="s">
        <v>1741</v>
      </c>
      <c r="K396" s="35" t="s">
        <v>111</v>
      </c>
    </row>
    <row r="397">
      <c r="A397" s="183" t="s">
        <v>322</v>
      </c>
      <c r="B397" s="35" t="s">
        <v>2095</v>
      </c>
      <c r="C397" s="187" t="s">
        <v>1649</v>
      </c>
      <c r="D397" s="187" t="s">
        <v>1650</v>
      </c>
      <c r="E397" s="187" t="s">
        <v>1638</v>
      </c>
      <c r="F397" s="187" t="s">
        <v>1554</v>
      </c>
      <c r="G397" s="187" t="s">
        <v>1651</v>
      </c>
      <c r="H397" s="185" t="s">
        <v>35</v>
      </c>
      <c r="I397" s="186" t="s">
        <v>111</v>
      </c>
      <c r="J397" s="185" t="s">
        <v>1741</v>
      </c>
      <c r="K397" s="35" t="s">
        <v>111</v>
      </c>
    </row>
    <row r="398">
      <c r="A398" s="183" t="s">
        <v>322</v>
      </c>
      <c r="B398" s="35" t="s">
        <v>2096</v>
      </c>
      <c r="C398" s="187" t="s">
        <v>1653</v>
      </c>
      <c r="D398" s="187" t="s">
        <v>1654</v>
      </c>
      <c r="E398" s="187" t="s">
        <v>1638</v>
      </c>
      <c r="F398" s="187" t="s">
        <v>1560</v>
      </c>
      <c r="G398" s="187" t="s">
        <v>1561</v>
      </c>
      <c r="H398" s="185" t="s">
        <v>35</v>
      </c>
      <c r="I398" s="186" t="s">
        <v>111</v>
      </c>
      <c r="J398" s="185" t="s">
        <v>1741</v>
      </c>
      <c r="K398" s="35" t="s">
        <v>111</v>
      </c>
    </row>
    <row r="399">
      <c r="A399" s="183" t="s">
        <v>322</v>
      </c>
      <c r="B399" s="35" t="s">
        <v>2097</v>
      </c>
      <c r="C399" s="187" t="s">
        <v>1656</v>
      </c>
      <c r="D399" s="187" t="s">
        <v>1564</v>
      </c>
      <c r="E399" s="187" t="s">
        <v>1638</v>
      </c>
      <c r="F399" s="187" t="s">
        <v>1657</v>
      </c>
      <c r="G399" s="187" t="s">
        <v>1566</v>
      </c>
      <c r="H399" s="185" t="s">
        <v>35</v>
      </c>
      <c r="I399" s="186" t="s">
        <v>111</v>
      </c>
      <c r="J399" s="185" t="s">
        <v>1741</v>
      </c>
      <c r="K399" s="35" t="s">
        <v>111</v>
      </c>
    </row>
    <row r="400">
      <c r="A400" s="183" t="s">
        <v>322</v>
      </c>
      <c r="B400" s="35" t="s">
        <v>2098</v>
      </c>
      <c r="C400" s="187" t="s">
        <v>1659</v>
      </c>
      <c r="D400" s="187" t="s">
        <v>1569</v>
      </c>
      <c r="E400" s="187" t="s">
        <v>1638</v>
      </c>
      <c r="F400" s="187" t="s">
        <v>1570</v>
      </c>
      <c r="G400" s="187" t="s">
        <v>1571</v>
      </c>
      <c r="H400" s="185" t="s">
        <v>35</v>
      </c>
      <c r="I400" s="186" t="s">
        <v>111</v>
      </c>
      <c r="J400" s="185" t="s">
        <v>1741</v>
      </c>
      <c r="K400" s="35" t="s">
        <v>111</v>
      </c>
    </row>
    <row r="401">
      <c r="A401" s="183" t="s">
        <v>322</v>
      </c>
      <c r="B401" s="35" t="s">
        <v>2099</v>
      </c>
      <c r="C401" s="187" t="s">
        <v>1661</v>
      </c>
      <c r="D401" s="187" t="s">
        <v>1574</v>
      </c>
      <c r="E401" s="187" t="s">
        <v>1638</v>
      </c>
      <c r="F401" s="187" t="s">
        <v>1575</v>
      </c>
      <c r="G401" s="187" t="s">
        <v>1576</v>
      </c>
      <c r="H401" s="185" t="s">
        <v>35</v>
      </c>
      <c r="I401" s="186" t="s">
        <v>111</v>
      </c>
      <c r="J401" s="185" t="s">
        <v>1741</v>
      </c>
      <c r="K401" s="35" t="s">
        <v>111</v>
      </c>
    </row>
    <row r="402">
      <c r="A402" s="183" t="s">
        <v>322</v>
      </c>
      <c r="B402" s="35" t="s">
        <v>2100</v>
      </c>
      <c r="C402" s="187" t="s">
        <v>1663</v>
      </c>
      <c r="D402" s="187" t="s">
        <v>1580</v>
      </c>
      <c r="E402" s="187" t="s">
        <v>1638</v>
      </c>
      <c r="F402" s="187" t="s">
        <v>1581</v>
      </c>
      <c r="G402" s="187" t="s">
        <v>1582</v>
      </c>
      <c r="H402" s="185" t="s">
        <v>35</v>
      </c>
      <c r="I402" s="186" t="s">
        <v>111</v>
      </c>
      <c r="J402" s="185" t="s">
        <v>1741</v>
      </c>
      <c r="K402" s="35" t="s">
        <v>111</v>
      </c>
    </row>
    <row r="403">
      <c r="A403" s="183" t="s">
        <v>322</v>
      </c>
      <c r="B403" s="35" t="s">
        <v>2101</v>
      </c>
      <c r="C403" s="187" t="s">
        <v>1666</v>
      </c>
      <c r="D403" s="187" t="s">
        <v>1667</v>
      </c>
      <c r="E403" s="187" t="s">
        <v>1668</v>
      </c>
      <c r="F403" s="187" t="s">
        <v>1669</v>
      </c>
      <c r="G403" s="187" t="s">
        <v>1670</v>
      </c>
      <c r="H403" s="185" t="s">
        <v>35</v>
      </c>
      <c r="I403" s="186" t="s">
        <v>111</v>
      </c>
      <c r="J403" s="185" t="s">
        <v>1741</v>
      </c>
      <c r="K403" s="35" t="s">
        <v>111</v>
      </c>
    </row>
    <row r="404">
      <c r="A404" s="183" t="s">
        <v>322</v>
      </c>
      <c r="B404" s="35" t="s">
        <v>2102</v>
      </c>
      <c r="C404" s="187" t="s">
        <v>1672</v>
      </c>
      <c r="D404" s="187" t="s">
        <v>1673</v>
      </c>
      <c r="E404" s="187" t="s">
        <v>1674</v>
      </c>
      <c r="F404" s="187" t="s">
        <v>1675</v>
      </c>
      <c r="G404" s="187" t="s">
        <v>1676</v>
      </c>
      <c r="H404" s="185" t="s">
        <v>35</v>
      </c>
      <c r="I404" s="186" t="s">
        <v>111</v>
      </c>
      <c r="J404" s="185" t="s">
        <v>1741</v>
      </c>
      <c r="K404" s="35" t="s">
        <v>111</v>
      </c>
    </row>
    <row r="405">
      <c r="A405" s="183" t="s">
        <v>322</v>
      </c>
      <c r="B405" s="35" t="s">
        <v>2103</v>
      </c>
      <c r="C405" s="187" t="s">
        <v>1678</v>
      </c>
      <c r="D405" s="187" t="s">
        <v>1679</v>
      </c>
      <c r="E405" s="187" t="s">
        <v>1680</v>
      </c>
      <c r="F405" s="187" t="s">
        <v>1681</v>
      </c>
      <c r="G405" s="187" t="s">
        <v>1682</v>
      </c>
      <c r="H405" s="185" t="s">
        <v>35</v>
      </c>
      <c r="I405" s="186" t="s">
        <v>111</v>
      </c>
      <c r="J405" s="185" t="s">
        <v>1741</v>
      </c>
      <c r="K405" s="35" t="s">
        <v>111</v>
      </c>
    </row>
    <row r="406">
      <c r="A406" s="183" t="s">
        <v>322</v>
      </c>
      <c r="B406" s="35" t="s">
        <v>2104</v>
      </c>
      <c r="C406" s="187" t="s">
        <v>1684</v>
      </c>
      <c r="D406" s="187" t="s">
        <v>1679</v>
      </c>
      <c r="E406" s="187" t="s">
        <v>1680</v>
      </c>
      <c r="F406" s="187" t="s">
        <v>1681</v>
      </c>
      <c r="G406" s="187" t="s">
        <v>1682</v>
      </c>
      <c r="H406" s="185" t="s">
        <v>35</v>
      </c>
      <c r="I406" s="186" t="s">
        <v>111</v>
      </c>
      <c r="J406" s="185" t="s">
        <v>1741</v>
      </c>
      <c r="K406" s="35" t="s">
        <v>111</v>
      </c>
    </row>
    <row r="407">
      <c r="A407" s="183" t="s">
        <v>322</v>
      </c>
      <c r="B407" s="35" t="s">
        <v>2105</v>
      </c>
      <c r="C407" s="187" t="s">
        <v>1686</v>
      </c>
      <c r="D407" s="187" t="s">
        <v>1687</v>
      </c>
      <c r="E407" s="187" t="s">
        <v>1688</v>
      </c>
      <c r="F407" s="187" t="s">
        <v>1689</v>
      </c>
      <c r="G407" s="187" t="s">
        <v>1690</v>
      </c>
      <c r="H407" s="185" t="s">
        <v>35</v>
      </c>
      <c r="I407" s="186" t="s">
        <v>111</v>
      </c>
      <c r="J407" s="185" t="s">
        <v>1741</v>
      </c>
      <c r="K407" s="35" t="s">
        <v>111</v>
      </c>
    </row>
    <row r="408">
      <c r="A408" s="183" t="s">
        <v>322</v>
      </c>
      <c r="B408" s="35" t="s">
        <v>2106</v>
      </c>
      <c r="C408" s="187" t="s">
        <v>1692</v>
      </c>
      <c r="D408" s="187" t="s">
        <v>1693</v>
      </c>
      <c r="E408" s="187" t="s">
        <v>1694</v>
      </c>
      <c r="F408" s="187" t="s">
        <v>1554</v>
      </c>
      <c r="G408" s="187" t="s">
        <v>1555</v>
      </c>
      <c r="H408" s="185" t="s">
        <v>35</v>
      </c>
      <c r="I408" s="186" t="s">
        <v>111</v>
      </c>
      <c r="J408" s="185" t="s">
        <v>1741</v>
      </c>
      <c r="K408" s="35" t="s">
        <v>111</v>
      </c>
    </row>
    <row r="409">
      <c r="A409" s="183" t="s">
        <v>322</v>
      </c>
      <c r="B409" s="35" t="s">
        <v>2107</v>
      </c>
      <c r="C409" s="187" t="s">
        <v>1696</v>
      </c>
      <c r="D409" s="187" t="s">
        <v>1564</v>
      </c>
      <c r="E409" s="187" t="s">
        <v>1697</v>
      </c>
      <c r="F409" s="187" t="s">
        <v>1657</v>
      </c>
      <c r="G409" s="187" t="s">
        <v>1566</v>
      </c>
      <c r="H409" s="185" t="s">
        <v>35</v>
      </c>
      <c r="I409" s="186" t="s">
        <v>111</v>
      </c>
      <c r="J409" s="185" t="s">
        <v>1741</v>
      </c>
      <c r="K409" s="35" t="s">
        <v>111</v>
      </c>
    </row>
    <row r="410">
      <c r="A410" s="183" t="s">
        <v>322</v>
      </c>
      <c r="B410" s="35" t="s">
        <v>2108</v>
      </c>
      <c r="C410" s="187" t="s">
        <v>1699</v>
      </c>
      <c r="D410" s="187" t="s">
        <v>1700</v>
      </c>
      <c r="E410" s="187" t="s">
        <v>1701</v>
      </c>
      <c r="F410" s="187" t="s">
        <v>1560</v>
      </c>
      <c r="G410" s="187" t="s">
        <v>1561</v>
      </c>
      <c r="H410" s="185" t="s">
        <v>35</v>
      </c>
      <c r="I410" s="186" t="s">
        <v>111</v>
      </c>
      <c r="J410" s="185" t="s">
        <v>1741</v>
      </c>
      <c r="K410" s="35" t="s">
        <v>111</v>
      </c>
    </row>
    <row r="411">
      <c r="A411" s="183" t="s">
        <v>322</v>
      </c>
      <c r="B411" s="35" t="s">
        <v>2109</v>
      </c>
      <c r="C411" s="187" t="s">
        <v>1703</v>
      </c>
      <c r="D411" s="187" t="s">
        <v>1569</v>
      </c>
      <c r="E411" s="187" t="s">
        <v>1622</v>
      </c>
      <c r="F411" s="187" t="s">
        <v>1570</v>
      </c>
      <c r="G411" s="187" t="s">
        <v>1571</v>
      </c>
      <c r="H411" s="185" t="s">
        <v>35</v>
      </c>
      <c r="I411" s="186" t="s">
        <v>111</v>
      </c>
      <c r="J411" s="185" t="s">
        <v>1741</v>
      </c>
      <c r="K411" s="35" t="s">
        <v>111</v>
      </c>
    </row>
    <row r="412">
      <c r="A412" s="183" t="s">
        <v>322</v>
      </c>
      <c r="B412" s="35" t="s">
        <v>2110</v>
      </c>
      <c r="C412" s="187" t="s">
        <v>1705</v>
      </c>
      <c r="D412" s="187" t="s">
        <v>1574</v>
      </c>
      <c r="E412" s="187" t="s">
        <v>1622</v>
      </c>
      <c r="F412" s="187" t="s">
        <v>1575</v>
      </c>
      <c r="G412" s="187" t="s">
        <v>1576</v>
      </c>
      <c r="H412" s="185" t="s">
        <v>35</v>
      </c>
      <c r="I412" s="186" t="s">
        <v>111</v>
      </c>
      <c r="J412" s="185" t="s">
        <v>1741</v>
      </c>
      <c r="K412" s="35" t="s">
        <v>111</v>
      </c>
    </row>
    <row r="413">
      <c r="A413" s="183" t="s">
        <v>322</v>
      </c>
      <c r="B413" s="35" t="s">
        <v>2111</v>
      </c>
      <c r="C413" s="187" t="s">
        <v>1707</v>
      </c>
      <c r="D413" s="187" t="s">
        <v>1580</v>
      </c>
      <c r="E413" s="187" t="s">
        <v>1622</v>
      </c>
      <c r="F413" s="187" t="s">
        <v>1581</v>
      </c>
      <c r="G413" s="187" t="s">
        <v>1582</v>
      </c>
      <c r="H413" s="185" t="s">
        <v>35</v>
      </c>
      <c r="I413" s="186" t="s">
        <v>111</v>
      </c>
      <c r="J413" s="185" t="s">
        <v>1741</v>
      </c>
      <c r="K413" s="35" t="s">
        <v>111</v>
      </c>
    </row>
    <row r="414">
      <c r="A414" s="183" t="s">
        <v>322</v>
      </c>
      <c r="B414" s="35" t="s">
        <v>2112</v>
      </c>
      <c r="C414" s="187" t="s">
        <v>1709</v>
      </c>
      <c r="D414" s="187" t="s">
        <v>1710</v>
      </c>
      <c r="E414" s="187" t="s">
        <v>1622</v>
      </c>
      <c r="F414" s="187" t="s">
        <v>1711</v>
      </c>
      <c r="G414" s="187" t="s">
        <v>1712</v>
      </c>
      <c r="H414" s="185" t="s">
        <v>35</v>
      </c>
      <c r="I414" s="186" t="s">
        <v>111</v>
      </c>
      <c r="J414" s="185" t="s">
        <v>1741</v>
      </c>
      <c r="K414" s="35" t="s">
        <v>111</v>
      </c>
    </row>
    <row r="415">
      <c r="A415" s="183" t="s">
        <v>322</v>
      </c>
      <c r="B415" s="35" t="s">
        <v>2113</v>
      </c>
      <c r="C415" s="187" t="s">
        <v>1714</v>
      </c>
      <c r="D415" s="187" t="s">
        <v>1715</v>
      </c>
      <c r="E415" s="187" t="s">
        <v>1716</v>
      </c>
      <c r="F415" s="187" t="s">
        <v>1717</v>
      </c>
      <c r="G415" s="187" t="s">
        <v>1718</v>
      </c>
      <c r="H415" s="185" t="s">
        <v>35</v>
      </c>
      <c r="I415" s="186" t="s">
        <v>111</v>
      </c>
      <c r="J415" s="185" t="s">
        <v>1741</v>
      </c>
      <c r="K415" s="35" t="s">
        <v>111</v>
      </c>
    </row>
    <row r="416">
      <c r="A416" s="183" t="s">
        <v>322</v>
      </c>
      <c r="B416" s="35" t="s">
        <v>2114</v>
      </c>
      <c r="C416" s="187" t="s">
        <v>1720</v>
      </c>
      <c r="D416" s="187" t="s">
        <v>1721</v>
      </c>
      <c r="E416" s="187" t="s">
        <v>1722</v>
      </c>
      <c r="F416" s="187" t="s">
        <v>1723</v>
      </c>
      <c r="G416" s="187" t="s">
        <v>1628</v>
      </c>
      <c r="H416" s="185" t="s">
        <v>35</v>
      </c>
      <c r="I416" s="186" t="s">
        <v>111</v>
      </c>
      <c r="J416" s="185" t="s">
        <v>1741</v>
      </c>
      <c r="K416" s="35" t="s">
        <v>111</v>
      </c>
    </row>
    <row r="417">
      <c r="A417" s="183" t="s">
        <v>322</v>
      </c>
      <c r="B417" s="35" t="s">
        <v>2115</v>
      </c>
      <c r="C417" s="35" t="s">
        <v>1725</v>
      </c>
      <c r="D417" s="35" t="s">
        <v>1726</v>
      </c>
      <c r="E417" s="35" t="s">
        <v>1727</v>
      </c>
      <c r="F417" s="35" t="s">
        <v>1728</v>
      </c>
      <c r="G417" s="35" t="s">
        <v>1729</v>
      </c>
      <c r="H417" s="185" t="s">
        <v>35</v>
      </c>
      <c r="I417" s="186" t="s">
        <v>111</v>
      </c>
      <c r="J417" s="185" t="s">
        <v>1741</v>
      </c>
      <c r="K417" s="35" t="s">
        <v>111</v>
      </c>
    </row>
    <row r="418">
      <c r="A418" s="183" t="s">
        <v>355</v>
      </c>
      <c r="B418" s="35" t="s">
        <v>2116</v>
      </c>
      <c r="C418" s="35" t="s">
        <v>1438</v>
      </c>
      <c r="D418" s="35" t="s">
        <v>1439</v>
      </c>
      <c r="E418" s="184" t="s">
        <v>1440</v>
      </c>
      <c r="F418" s="183" t="s">
        <v>1441</v>
      </c>
      <c r="G418" s="35" t="s">
        <v>1442</v>
      </c>
      <c r="H418" s="185" t="s">
        <v>35</v>
      </c>
      <c r="I418" s="186" t="s">
        <v>36</v>
      </c>
      <c r="J418" s="56"/>
      <c r="K418" s="35" t="s">
        <v>36</v>
      </c>
    </row>
    <row r="419">
      <c r="A419" s="183" t="s">
        <v>355</v>
      </c>
      <c r="B419" s="35" t="s">
        <v>2117</v>
      </c>
      <c r="C419" s="187" t="s">
        <v>1446</v>
      </c>
      <c r="D419" s="187" t="s">
        <v>1447</v>
      </c>
      <c r="E419" s="187" t="s">
        <v>1448</v>
      </c>
      <c r="F419" s="187" t="s">
        <v>1449</v>
      </c>
      <c r="G419" s="187" t="s">
        <v>1450</v>
      </c>
      <c r="H419" s="185" t="s">
        <v>35</v>
      </c>
      <c r="I419" s="186" t="s">
        <v>36</v>
      </c>
      <c r="J419" s="56"/>
      <c r="K419" s="35" t="s">
        <v>36</v>
      </c>
    </row>
    <row r="420">
      <c r="A420" s="183" t="s">
        <v>355</v>
      </c>
      <c r="B420" s="35" t="s">
        <v>2118</v>
      </c>
      <c r="C420" s="187" t="s">
        <v>1453</v>
      </c>
      <c r="D420" s="187" t="s">
        <v>1454</v>
      </c>
      <c r="E420" s="187" t="s">
        <v>1448</v>
      </c>
      <c r="F420" s="187" t="s">
        <v>1455</v>
      </c>
      <c r="G420" s="187" t="s">
        <v>1456</v>
      </c>
      <c r="H420" s="185" t="s">
        <v>35</v>
      </c>
      <c r="I420" s="186" t="s">
        <v>36</v>
      </c>
      <c r="J420" s="56"/>
      <c r="K420" s="35" t="s">
        <v>36</v>
      </c>
    </row>
    <row r="421">
      <c r="A421" s="183" t="s">
        <v>355</v>
      </c>
      <c r="B421" s="35" t="s">
        <v>2119</v>
      </c>
      <c r="C421" s="187" t="s">
        <v>1459</v>
      </c>
      <c r="D421" s="187" t="s">
        <v>1460</v>
      </c>
      <c r="E421" s="187" t="s">
        <v>1448</v>
      </c>
      <c r="F421" s="187" t="s">
        <v>1461</v>
      </c>
      <c r="G421" s="187" t="s">
        <v>1462</v>
      </c>
      <c r="H421" s="185" t="s">
        <v>35</v>
      </c>
      <c r="I421" s="186" t="s">
        <v>36</v>
      </c>
      <c r="J421" s="56"/>
      <c r="K421" s="35" t="s">
        <v>36</v>
      </c>
    </row>
    <row r="422">
      <c r="A422" s="183" t="s">
        <v>355</v>
      </c>
      <c r="B422" s="35" t="s">
        <v>2120</v>
      </c>
      <c r="C422" s="183" t="s">
        <v>1465</v>
      </c>
      <c r="D422" s="183" t="s">
        <v>1466</v>
      </c>
      <c r="E422" s="187" t="s">
        <v>1448</v>
      </c>
      <c r="F422" s="183" t="s">
        <v>1467</v>
      </c>
      <c r="G422" s="183" t="s">
        <v>1468</v>
      </c>
      <c r="H422" s="185" t="s">
        <v>35</v>
      </c>
      <c r="I422" s="186" t="s">
        <v>111</v>
      </c>
      <c r="J422" s="35" t="s">
        <v>1469</v>
      </c>
      <c r="K422" s="35" t="s">
        <v>111</v>
      </c>
    </row>
    <row r="423">
      <c r="A423" s="183" t="s">
        <v>355</v>
      </c>
      <c r="B423" s="35" t="s">
        <v>2121</v>
      </c>
      <c r="C423" s="183" t="s">
        <v>1471</v>
      </c>
      <c r="D423" s="183" t="s">
        <v>1472</v>
      </c>
      <c r="E423" s="187" t="s">
        <v>1448</v>
      </c>
      <c r="F423" s="183" t="s">
        <v>1473</v>
      </c>
      <c r="G423" s="183" t="s">
        <v>1474</v>
      </c>
      <c r="H423" s="185" t="s">
        <v>35</v>
      </c>
      <c r="I423" s="186" t="s">
        <v>111</v>
      </c>
      <c r="J423" s="35" t="s">
        <v>1475</v>
      </c>
      <c r="K423" s="35" t="s">
        <v>111</v>
      </c>
    </row>
    <row r="424">
      <c r="A424" s="183" t="s">
        <v>355</v>
      </c>
      <c r="B424" s="35" t="s">
        <v>2122</v>
      </c>
      <c r="C424" s="183" t="s">
        <v>1477</v>
      </c>
      <c r="D424" s="183" t="s">
        <v>1478</v>
      </c>
      <c r="E424" s="187" t="s">
        <v>1448</v>
      </c>
      <c r="F424" s="183" t="s">
        <v>1479</v>
      </c>
      <c r="G424" s="183" t="s">
        <v>1468</v>
      </c>
      <c r="H424" s="185" t="s">
        <v>35</v>
      </c>
      <c r="I424" s="186" t="s">
        <v>111</v>
      </c>
      <c r="J424" s="35" t="s">
        <v>1469</v>
      </c>
      <c r="K424" s="35" t="s">
        <v>111</v>
      </c>
    </row>
    <row r="425">
      <c r="A425" s="183" t="s">
        <v>355</v>
      </c>
      <c r="B425" s="35" t="s">
        <v>2123</v>
      </c>
      <c r="C425" s="183" t="s">
        <v>1481</v>
      </c>
      <c r="D425" s="183" t="s">
        <v>1472</v>
      </c>
      <c r="E425" s="187" t="s">
        <v>1448</v>
      </c>
      <c r="F425" s="183" t="s">
        <v>1482</v>
      </c>
      <c r="G425" s="183" t="s">
        <v>1474</v>
      </c>
      <c r="H425" s="185" t="s">
        <v>35</v>
      </c>
      <c r="I425" s="186" t="s">
        <v>111</v>
      </c>
      <c r="J425" s="183" t="s">
        <v>1475</v>
      </c>
      <c r="K425" s="35" t="s">
        <v>111</v>
      </c>
    </row>
    <row r="426">
      <c r="A426" s="183" t="s">
        <v>355</v>
      </c>
      <c r="B426" s="35" t="s">
        <v>2124</v>
      </c>
      <c r="C426" s="183" t="s">
        <v>1484</v>
      </c>
      <c r="D426" s="183" t="s">
        <v>1472</v>
      </c>
      <c r="E426" s="187" t="s">
        <v>1448</v>
      </c>
      <c r="F426" s="183" t="s">
        <v>1485</v>
      </c>
      <c r="G426" s="183" t="s">
        <v>1486</v>
      </c>
      <c r="H426" s="185" t="s">
        <v>35</v>
      </c>
      <c r="I426" s="186" t="s">
        <v>111</v>
      </c>
      <c r="J426" s="183" t="s">
        <v>1475</v>
      </c>
      <c r="K426" s="35" t="s">
        <v>111</v>
      </c>
    </row>
    <row r="427">
      <c r="A427" s="183" t="s">
        <v>355</v>
      </c>
      <c r="B427" s="35" t="s">
        <v>2125</v>
      </c>
      <c r="C427" s="187" t="s">
        <v>1488</v>
      </c>
      <c r="D427" s="187" t="s">
        <v>1489</v>
      </c>
      <c r="E427" s="187" t="s">
        <v>1490</v>
      </c>
      <c r="F427" s="187" t="s">
        <v>1491</v>
      </c>
      <c r="G427" s="187" t="s">
        <v>1492</v>
      </c>
      <c r="H427" s="185" t="s">
        <v>35</v>
      </c>
      <c r="I427" s="186" t="s">
        <v>36</v>
      </c>
      <c r="J427" s="56"/>
      <c r="K427" s="35" t="s">
        <v>36</v>
      </c>
    </row>
    <row r="428">
      <c r="A428" s="183" t="s">
        <v>355</v>
      </c>
      <c r="B428" s="35" t="s">
        <v>2126</v>
      </c>
      <c r="C428" s="187" t="s">
        <v>1494</v>
      </c>
      <c r="D428" s="183" t="s">
        <v>1495</v>
      </c>
      <c r="E428" s="187" t="s">
        <v>1496</v>
      </c>
      <c r="F428" s="187" t="s">
        <v>1497</v>
      </c>
      <c r="G428" s="187" t="s">
        <v>1498</v>
      </c>
      <c r="H428" s="185" t="s">
        <v>35</v>
      </c>
      <c r="I428" s="186" t="s">
        <v>111</v>
      </c>
      <c r="J428" s="35" t="s">
        <v>1499</v>
      </c>
      <c r="K428" s="35" t="s">
        <v>111</v>
      </c>
    </row>
    <row r="429">
      <c r="A429" s="183" t="s">
        <v>355</v>
      </c>
      <c r="B429" s="35" t="s">
        <v>2127</v>
      </c>
      <c r="C429" s="187" t="s">
        <v>1501</v>
      </c>
      <c r="D429" s="187" t="s">
        <v>1502</v>
      </c>
      <c r="E429" s="187" t="s">
        <v>1503</v>
      </c>
      <c r="F429" s="187" t="s">
        <v>1491</v>
      </c>
      <c r="G429" s="187" t="s">
        <v>1504</v>
      </c>
      <c r="H429" s="185" t="s">
        <v>35</v>
      </c>
      <c r="I429" s="186" t="s">
        <v>36</v>
      </c>
      <c r="J429" s="56"/>
      <c r="K429" s="35" t="s">
        <v>36</v>
      </c>
    </row>
    <row r="430">
      <c r="A430" s="183" t="s">
        <v>355</v>
      </c>
      <c r="B430" s="35" t="s">
        <v>2128</v>
      </c>
      <c r="C430" s="187" t="s">
        <v>1506</v>
      </c>
      <c r="D430" s="187" t="s">
        <v>1507</v>
      </c>
      <c r="E430" s="187" t="s">
        <v>1508</v>
      </c>
      <c r="F430" s="187" t="s">
        <v>1491</v>
      </c>
      <c r="G430" s="187" t="s">
        <v>1509</v>
      </c>
      <c r="H430" s="185" t="s">
        <v>35</v>
      </c>
      <c r="I430" s="186" t="s">
        <v>36</v>
      </c>
      <c r="J430" s="56"/>
      <c r="K430" s="35" t="s">
        <v>36</v>
      </c>
    </row>
    <row r="431">
      <c r="A431" s="183" t="s">
        <v>355</v>
      </c>
      <c r="B431" s="35" t="s">
        <v>2129</v>
      </c>
      <c r="C431" s="187" t="s">
        <v>1511</v>
      </c>
      <c r="D431" s="187" t="s">
        <v>1512</v>
      </c>
      <c r="E431" s="187" t="s">
        <v>1513</v>
      </c>
      <c r="F431" s="187" t="s">
        <v>1491</v>
      </c>
      <c r="G431" s="187" t="s">
        <v>1514</v>
      </c>
      <c r="H431" s="185" t="s">
        <v>35</v>
      </c>
      <c r="I431" s="186" t="s">
        <v>36</v>
      </c>
      <c r="J431" s="56"/>
      <c r="K431" s="35" t="s">
        <v>36</v>
      </c>
    </row>
    <row r="432">
      <c r="A432" s="183" t="s">
        <v>355</v>
      </c>
      <c r="B432" s="35" t="s">
        <v>2130</v>
      </c>
      <c r="C432" s="187" t="s">
        <v>1516</v>
      </c>
      <c r="D432" s="187" t="s">
        <v>1517</v>
      </c>
      <c r="E432" s="187" t="s">
        <v>1518</v>
      </c>
      <c r="F432" s="187" t="s">
        <v>1519</v>
      </c>
      <c r="G432" s="187" t="s">
        <v>1520</v>
      </c>
      <c r="H432" s="185" t="s">
        <v>35</v>
      </c>
      <c r="I432" s="186" t="s">
        <v>111</v>
      </c>
      <c r="J432" s="35" t="s">
        <v>1521</v>
      </c>
      <c r="K432" s="35" t="s">
        <v>111</v>
      </c>
    </row>
    <row r="433">
      <c r="A433" s="183" t="s">
        <v>355</v>
      </c>
      <c r="B433" s="35" t="s">
        <v>2131</v>
      </c>
      <c r="C433" s="187" t="s">
        <v>1523</v>
      </c>
      <c r="D433" s="187" t="s">
        <v>1524</v>
      </c>
      <c r="E433" s="187" t="s">
        <v>1525</v>
      </c>
      <c r="F433" s="187" t="s">
        <v>1526</v>
      </c>
      <c r="G433" s="187" t="s">
        <v>1527</v>
      </c>
      <c r="H433" s="185" t="s">
        <v>35</v>
      </c>
      <c r="I433" s="186" t="s">
        <v>111</v>
      </c>
      <c r="J433" s="35" t="s">
        <v>1521</v>
      </c>
      <c r="K433" s="35" t="s">
        <v>111</v>
      </c>
    </row>
    <row r="434">
      <c r="A434" s="183" t="s">
        <v>355</v>
      </c>
      <c r="B434" s="35" t="s">
        <v>2132</v>
      </c>
      <c r="C434" s="187" t="s">
        <v>1529</v>
      </c>
      <c r="D434" s="187" t="s">
        <v>1530</v>
      </c>
      <c r="E434" s="187" t="s">
        <v>1531</v>
      </c>
      <c r="F434" s="187" t="s">
        <v>1532</v>
      </c>
      <c r="G434" s="187" t="s">
        <v>1533</v>
      </c>
      <c r="H434" s="185" t="s">
        <v>35</v>
      </c>
      <c r="I434" s="186" t="s">
        <v>111</v>
      </c>
      <c r="J434" s="35" t="s">
        <v>1521</v>
      </c>
      <c r="K434" s="35" t="s">
        <v>111</v>
      </c>
    </row>
    <row r="435">
      <c r="A435" s="183" t="s">
        <v>355</v>
      </c>
      <c r="B435" s="35" t="s">
        <v>2133</v>
      </c>
      <c r="C435" s="187" t="s">
        <v>1535</v>
      </c>
      <c r="D435" s="187" t="s">
        <v>1536</v>
      </c>
      <c r="E435" s="187" t="s">
        <v>1537</v>
      </c>
      <c r="F435" s="187" t="s">
        <v>1538</v>
      </c>
      <c r="G435" s="187" t="s">
        <v>1539</v>
      </c>
      <c r="H435" s="185" t="s">
        <v>35</v>
      </c>
      <c r="I435" s="186" t="s">
        <v>111</v>
      </c>
      <c r="J435" s="35" t="s">
        <v>1521</v>
      </c>
      <c r="K435" s="35" t="s">
        <v>111</v>
      </c>
    </row>
    <row r="436">
      <c r="A436" s="183" t="s">
        <v>355</v>
      </c>
      <c r="B436" s="35" t="s">
        <v>2134</v>
      </c>
      <c r="C436" s="187" t="s">
        <v>1541</v>
      </c>
      <c r="D436" s="187" t="s">
        <v>1542</v>
      </c>
      <c r="E436" s="187" t="s">
        <v>1543</v>
      </c>
      <c r="F436" s="187" t="s">
        <v>1544</v>
      </c>
      <c r="G436" s="187" t="s">
        <v>1545</v>
      </c>
      <c r="H436" s="185" t="s">
        <v>35</v>
      </c>
      <c r="I436" s="186" t="s">
        <v>36</v>
      </c>
      <c r="J436" s="56"/>
      <c r="K436" s="35" t="s">
        <v>36</v>
      </c>
    </row>
    <row r="437">
      <c r="A437" s="183" t="s">
        <v>355</v>
      </c>
      <c r="B437" s="35" t="s">
        <v>2135</v>
      </c>
      <c r="C437" s="187" t="s">
        <v>1547</v>
      </c>
      <c r="D437" s="187" t="s">
        <v>1548</v>
      </c>
      <c r="E437" s="187" t="s">
        <v>1448</v>
      </c>
      <c r="F437" s="187" t="s">
        <v>1549</v>
      </c>
      <c r="G437" s="187" t="s">
        <v>1550</v>
      </c>
      <c r="H437" s="185" t="s">
        <v>35</v>
      </c>
      <c r="I437" s="186" t="s">
        <v>111</v>
      </c>
      <c r="J437" s="56"/>
      <c r="K437" s="35" t="s">
        <v>111</v>
      </c>
    </row>
    <row r="438">
      <c r="A438" s="183" t="s">
        <v>355</v>
      </c>
      <c r="B438" s="35" t="s">
        <v>2136</v>
      </c>
      <c r="C438" s="187" t="s">
        <v>1552</v>
      </c>
      <c r="D438" s="187" t="s">
        <v>1553</v>
      </c>
      <c r="E438" s="187" t="s">
        <v>1448</v>
      </c>
      <c r="F438" s="187" t="s">
        <v>1554</v>
      </c>
      <c r="G438" s="187" t="s">
        <v>1555</v>
      </c>
      <c r="H438" s="185" t="s">
        <v>35</v>
      </c>
      <c r="I438" s="186" t="s">
        <v>111</v>
      </c>
      <c r="J438" s="35" t="s">
        <v>1556</v>
      </c>
      <c r="K438" s="35" t="s">
        <v>111</v>
      </c>
    </row>
    <row r="439">
      <c r="A439" s="183" t="s">
        <v>355</v>
      </c>
      <c r="B439" s="35" t="s">
        <v>2137</v>
      </c>
      <c r="C439" s="187" t="s">
        <v>1558</v>
      </c>
      <c r="D439" s="187" t="s">
        <v>1559</v>
      </c>
      <c r="E439" s="187" t="s">
        <v>1448</v>
      </c>
      <c r="F439" s="187" t="s">
        <v>1560</v>
      </c>
      <c r="G439" s="187" t="s">
        <v>1561</v>
      </c>
      <c r="H439" s="185" t="s">
        <v>35</v>
      </c>
      <c r="I439" s="186" t="s">
        <v>36</v>
      </c>
      <c r="J439" s="35"/>
      <c r="K439" s="35" t="s">
        <v>36</v>
      </c>
    </row>
    <row r="440">
      <c r="A440" s="183" t="s">
        <v>355</v>
      </c>
      <c r="B440" s="35" t="s">
        <v>2138</v>
      </c>
      <c r="C440" s="187" t="s">
        <v>1563</v>
      </c>
      <c r="D440" s="187" t="s">
        <v>1564</v>
      </c>
      <c r="E440" s="187" t="s">
        <v>1448</v>
      </c>
      <c r="F440" s="187" t="s">
        <v>1565</v>
      </c>
      <c r="G440" s="187" t="s">
        <v>1566</v>
      </c>
      <c r="H440" s="185" t="s">
        <v>35</v>
      </c>
      <c r="I440" s="186" t="s">
        <v>36</v>
      </c>
      <c r="J440" s="35"/>
      <c r="K440" s="35" t="s">
        <v>36</v>
      </c>
    </row>
    <row r="441">
      <c r="A441" s="183" t="s">
        <v>355</v>
      </c>
      <c r="B441" s="35" t="s">
        <v>2139</v>
      </c>
      <c r="C441" s="187" t="s">
        <v>1568</v>
      </c>
      <c r="D441" s="187" t="s">
        <v>1569</v>
      </c>
      <c r="E441" s="187" t="s">
        <v>1448</v>
      </c>
      <c r="F441" s="187" t="s">
        <v>1570</v>
      </c>
      <c r="G441" s="187" t="s">
        <v>1571</v>
      </c>
      <c r="H441" s="185" t="s">
        <v>35</v>
      </c>
      <c r="I441" s="186" t="s">
        <v>36</v>
      </c>
      <c r="J441" s="56"/>
      <c r="K441" s="35" t="s">
        <v>36</v>
      </c>
    </row>
    <row r="442">
      <c r="A442" s="183" t="s">
        <v>355</v>
      </c>
      <c r="B442" s="35" t="s">
        <v>2140</v>
      </c>
      <c r="C442" s="187" t="s">
        <v>1573</v>
      </c>
      <c r="D442" s="187" t="s">
        <v>1574</v>
      </c>
      <c r="E442" s="187" t="s">
        <v>1448</v>
      </c>
      <c r="F442" s="187" t="s">
        <v>1575</v>
      </c>
      <c r="G442" s="187" t="s">
        <v>1576</v>
      </c>
      <c r="H442" s="185" t="s">
        <v>35</v>
      </c>
      <c r="I442" s="186" t="s">
        <v>111</v>
      </c>
      <c r="J442" s="35" t="s">
        <v>1577</v>
      </c>
      <c r="K442" s="35" t="s">
        <v>111</v>
      </c>
    </row>
    <row r="443">
      <c r="A443" s="183" t="s">
        <v>355</v>
      </c>
      <c r="B443" s="35" t="s">
        <v>2141</v>
      </c>
      <c r="C443" s="187" t="s">
        <v>1579</v>
      </c>
      <c r="D443" s="187" t="s">
        <v>1580</v>
      </c>
      <c r="E443" s="187" t="s">
        <v>1448</v>
      </c>
      <c r="F443" s="187" t="s">
        <v>1581</v>
      </c>
      <c r="G443" s="187" t="s">
        <v>1582</v>
      </c>
      <c r="H443" s="185" t="s">
        <v>35</v>
      </c>
      <c r="I443" s="186" t="s">
        <v>36</v>
      </c>
      <c r="J443" s="56"/>
      <c r="K443" s="35" t="s">
        <v>36</v>
      </c>
    </row>
    <row r="444">
      <c r="A444" s="183" t="s">
        <v>355</v>
      </c>
      <c r="B444" s="35" t="s">
        <v>2142</v>
      </c>
      <c r="C444" s="187" t="s">
        <v>1584</v>
      </c>
      <c r="D444" s="187" t="s">
        <v>1585</v>
      </c>
      <c r="E444" s="187" t="s">
        <v>1586</v>
      </c>
      <c r="F444" s="187" t="s">
        <v>1587</v>
      </c>
      <c r="G444" s="187" t="s">
        <v>1588</v>
      </c>
      <c r="H444" s="185" t="s">
        <v>35</v>
      </c>
      <c r="I444" s="186" t="s">
        <v>36</v>
      </c>
      <c r="J444" s="56"/>
      <c r="K444" s="35" t="s">
        <v>36</v>
      </c>
    </row>
    <row r="445">
      <c r="A445" s="183" t="s">
        <v>355</v>
      </c>
      <c r="B445" s="35" t="s">
        <v>2143</v>
      </c>
      <c r="C445" s="187" t="s">
        <v>1590</v>
      </c>
      <c r="D445" s="187" t="s">
        <v>1591</v>
      </c>
      <c r="E445" s="187" t="s">
        <v>1592</v>
      </c>
      <c r="F445" s="187" t="s">
        <v>1593</v>
      </c>
      <c r="G445" s="187" t="s">
        <v>1594</v>
      </c>
      <c r="H445" s="185" t="s">
        <v>35</v>
      </c>
      <c r="I445" s="186" t="s">
        <v>111</v>
      </c>
      <c r="J445" s="35" t="s">
        <v>1595</v>
      </c>
      <c r="K445" s="35" t="s">
        <v>111</v>
      </c>
    </row>
    <row r="446">
      <c r="A446" s="183" t="s">
        <v>355</v>
      </c>
      <c r="B446" s="35" t="s">
        <v>2144</v>
      </c>
      <c r="C446" s="187" t="s">
        <v>1597</v>
      </c>
      <c r="D446" s="187" t="s">
        <v>1598</v>
      </c>
      <c r="E446" s="187" t="s">
        <v>1599</v>
      </c>
      <c r="F446" s="187" t="s">
        <v>1600</v>
      </c>
      <c r="G446" s="187" t="s">
        <v>1601</v>
      </c>
      <c r="H446" s="185" t="s">
        <v>35</v>
      </c>
      <c r="I446" s="186" t="s">
        <v>36</v>
      </c>
      <c r="J446" s="56"/>
      <c r="K446" s="35" t="s">
        <v>36</v>
      </c>
    </row>
    <row r="447">
      <c r="A447" s="183" t="s">
        <v>355</v>
      </c>
      <c r="B447" s="35" t="s">
        <v>2145</v>
      </c>
      <c r="C447" s="187" t="s">
        <v>1603</v>
      </c>
      <c r="D447" s="187" t="s">
        <v>1604</v>
      </c>
      <c r="E447" s="187" t="s">
        <v>1605</v>
      </c>
      <c r="F447" s="187" t="s">
        <v>1606</v>
      </c>
      <c r="G447" s="187" t="s">
        <v>1607</v>
      </c>
      <c r="H447" s="185" t="s">
        <v>35</v>
      </c>
      <c r="I447" s="186" t="s">
        <v>36</v>
      </c>
      <c r="J447" s="56"/>
      <c r="K447" s="35" t="s">
        <v>36</v>
      </c>
    </row>
    <row r="448">
      <c r="A448" s="183" t="s">
        <v>355</v>
      </c>
      <c r="B448" s="35" t="s">
        <v>2146</v>
      </c>
      <c r="C448" s="187" t="s">
        <v>1609</v>
      </c>
      <c r="D448" s="187" t="s">
        <v>1610</v>
      </c>
      <c r="E448" s="187" t="s">
        <v>1611</v>
      </c>
      <c r="F448" s="187" t="s">
        <v>1612</v>
      </c>
      <c r="G448" s="187" t="s">
        <v>1613</v>
      </c>
      <c r="H448" s="185" t="s">
        <v>35</v>
      </c>
      <c r="I448" s="186" t="s">
        <v>36</v>
      </c>
      <c r="J448" s="56"/>
      <c r="K448" s="35" t="s">
        <v>36</v>
      </c>
    </row>
    <row r="449">
      <c r="A449" s="183" t="s">
        <v>355</v>
      </c>
      <c r="B449" s="35" t="s">
        <v>2147</v>
      </c>
      <c r="C449" s="187" t="s">
        <v>1615</v>
      </c>
      <c r="D449" s="187" t="s">
        <v>1616</v>
      </c>
      <c r="E449" s="187" t="s">
        <v>1611</v>
      </c>
      <c r="F449" s="187" t="s">
        <v>1617</v>
      </c>
      <c r="G449" s="187" t="s">
        <v>1618</v>
      </c>
      <c r="H449" s="185" t="s">
        <v>35</v>
      </c>
      <c r="I449" s="186" t="s">
        <v>36</v>
      </c>
      <c r="J449" s="56"/>
      <c r="K449" s="35" t="s">
        <v>36</v>
      </c>
    </row>
    <row r="450">
      <c r="A450" s="183" t="s">
        <v>355</v>
      </c>
      <c r="B450" s="35" t="s">
        <v>2148</v>
      </c>
      <c r="C450" s="187" t="s">
        <v>1620</v>
      </c>
      <c r="D450" s="187" t="s">
        <v>1621</v>
      </c>
      <c r="E450" s="187" t="s">
        <v>1622</v>
      </c>
      <c r="F450" s="187" t="s">
        <v>1623</v>
      </c>
      <c r="G450" s="187" t="s">
        <v>1624</v>
      </c>
      <c r="H450" s="185" t="s">
        <v>35</v>
      </c>
      <c r="I450" s="186" t="s">
        <v>36</v>
      </c>
      <c r="J450" s="56"/>
      <c r="K450" s="35" t="s">
        <v>36</v>
      </c>
    </row>
    <row r="451">
      <c r="A451" s="183" t="s">
        <v>355</v>
      </c>
      <c r="B451" s="35" t="s">
        <v>2149</v>
      </c>
      <c r="C451" s="187" t="s">
        <v>1626</v>
      </c>
      <c r="D451" s="187" t="s">
        <v>1627</v>
      </c>
      <c r="E451" s="187" t="s">
        <v>1622</v>
      </c>
      <c r="F451" s="187" t="s">
        <v>1549</v>
      </c>
      <c r="G451" s="187" t="s">
        <v>1628</v>
      </c>
      <c r="H451" s="185" t="s">
        <v>35</v>
      </c>
      <c r="I451" s="186" t="s">
        <v>36</v>
      </c>
      <c r="J451" s="56"/>
      <c r="K451" s="35" t="s">
        <v>36</v>
      </c>
    </row>
    <row r="452">
      <c r="A452" s="183" t="s">
        <v>355</v>
      </c>
      <c r="B452" s="35" t="s">
        <v>2150</v>
      </c>
      <c r="C452" s="187" t="s">
        <v>1630</v>
      </c>
      <c r="D452" s="187" t="s">
        <v>1631</v>
      </c>
      <c r="E452" s="187" t="s">
        <v>1632</v>
      </c>
      <c r="F452" s="187" t="s">
        <v>1633</v>
      </c>
      <c r="G452" s="187" t="s">
        <v>1634</v>
      </c>
      <c r="H452" s="185" t="s">
        <v>35</v>
      </c>
      <c r="I452" s="186" t="s">
        <v>36</v>
      </c>
      <c r="J452" s="35" t="s">
        <v>1827</v>
      </c>
      <c r="K452" s="35" t="s">
        <v>36</v>
      </c>
    </row>
    <row r="453">
      <c r="A453" s="183" t="s">
        <v>355</v>
      </c>
      <c r="B453" s="35" t="s">
        <v>2151</v>
      </c>
      <c r="C453" s="187" t="s">
        <v>1636</v>
      </c>
      <c r="D453" s="187" t="s">
        <v>1637</v>
      </c>
      <c r="E453" s="187" t="s">
        <v>1638</v>
      </c>
      <c r="F453" s="187" t="s">
        <v>1639</v>
      </c>
      <c r="G453" s="187" t="s">
        <v>1588</v>
      </c>
      <c r="H453" s="185" t="s">
        <v>35</v>
      </c>
      <c r="I453" s="186" t="s">
        <v>36</v>
      </c>
      <c r="J453" s="56"/>
      <c r="K453" s="35" t="s">
        <v>36</v>
      </c>
    </row>
    <row r="454">
      <c r="A454" s="183" t="s">
        <v>355</v>
      </c>
      <c r="B454" s="35" t="s">
        <v>2152</v>
      </c>
      <c r="C454" s="187" t="s">
        <v>1641</v>
      </c>
      <c r="D454" s="187" t="s">
        <v>1642</v>
      </c>
      <c r="E454" s="187" t="s">
        <v>1638</v>
      </c>
      <c r="F454" s="187" t="s">
        <v>1643</v>
      </c>
      <c r="G454" s="187" t="s">
        <v>1594</v>
      </c>
      <c r="H454" s="185" t="s">
        <v>35</v>
      </c>
      <c r="I454" s="186" t="s">
        <v>111</v>
      </c>
      <c r="J454" s="35" t="s">
        <v>1595</v>
      </c>
      <c r="K454" s="35" t="s">
        <v>111</v>
      </c>
    </row>
    <row r="455">
      <c r="A455" s="183" t="s">
        <v>355</v>
      </c>
      <c r="B455" s="35" t="s">
        <v>2153</v>
      </c>
      <c r="C455" s="187" t="s">
        <v>1645</v>
      </c>
      <c r="D455" s="187" t="s">
        <v>1646</v>
      </c>
      <c r="E455" s="187" t="s">
        <v>1638</v>
      </c>
      <c r="F455" s="187" t="s">
        <v>1647</v>
      </c>
      <c r="G455" s="187" t="s">
        <v>1601</v>
      </c>
      <c r="H455" s="185" t="s">
        <v>35</v>
      </c>
      <c r="I455" s="186" t="s">
        <v>36</v>
      </c>
      <c r="J455" s="56"/>
      <c r="K455" s="35" t="s">
        <v>36</v>
      </c>
    </row>
    <row r="456">
      <c r="A456" s="183" t="s">
        <v>355</v>
      </c>
      <c r="B456" s="35" t="s">
        <v>2154</v>
      </c>
      <c r="C456" s="187" t="s">
        <v>1649</v>
      </c>
      <c r="D456" s="187" t="s">
        <v>1650</v>
      </c>
      <c r="E456" s="187" t="s">
        <v>1638</v>
      </c>
      <c r="F456" s="187" t="s">
        <v>1554</v>
      </c>
      <c r="G456" s="187" t="s">
        <v>1651</v>
      </c>
      <c r="H456" s="185" t="s">
        <v>35</v>
      </c>
      <c r="I456" s="186" t="s">
        <v>111</v>
      </c>
      <c r="J456" s="56"/>
      <c r="K456" s="35" t="s">
        <v>111</v>
      </c>
    </row>
    <row r="457">
      <c r="A457" s="183" t="s">
        <v>355</v>
      </c>
      <c r="B457" s="35" t="s">
        <v>2155</v>
      </c>
      <c r="C457" s="187" t="s">
        <v>1653</v>
      </c>
      <c r="D457" s="187" t="s">
        <v>1654</v>
      </c>
      <c r="E457" s="187" t="s">
        <v>1638</v>
      </c>
      <c r="F457" s="187" t="s">
        <v>1560</v>
      </c>
      <c r="G457" s="187" t="s">
        <v>1561</v>
      </c>
      <c r="H457" s="185" t="s">
        <v>35</v>
      </c>
      <c r="I457" s="186" t="s">
        <v>36</v>
      </c>
      <c r="J457" s="56"/>
      <c r="K457" s="35" t="s">
        <v>36</v>
      </c>
    </row>
    <row r="458">
      <c r="A458" s="183" t="s">
        <v>355</v>
      </c>
      <c r="B458" s="35" t="s">
        <v>2156</v>
      </c>
      <c r="C458" s="187" t="s">
        <v>1656</v>
      </c>
      <c r="D458" s="187" t="s">
        <v>1564</v>
      </c>
      <c r="E458" s="187" t="s">
        <v>1638</v>
      </c>
      <c r="F458" s="187" t="s">
        <v>1657</v>
      </c>
      <c r="G458" s="187" t="s">
        <v>1566</v>
      </c>
      <c r="H458" s="185" t="s">
        <v>35</v>
      </c>
      <c r="I458" s="186" t="s">
        <v>36</v>
      </c>
      <c r="J458" s="56"/>
      <c r="K458" s="35" t="s">
        <v>36</v>
      </c>
    </row>
    <row r="459">
      <c r="A459" s="183" t="s">
        <v>355</v>
      </c>
      <c r="B459" s="35" t="s">
        <v>2157</v>
      </c>
      <c r="C459" s="187" t="s">
        <v>1659</v>
      </c>
      <c r="D459" s="187" t="s">
        <v>1569</v>
      </c>
      <c r="E459" s="187" t="s">
        <v>1638</v>
      </c>
      <c r="F459" s="187" t="s">
        <v>1570</v>
      </c>
      <c r="G459" s="187" t="s">
        <v>1571</v>
      </c>
      <c r="H459" s="185" t="s">
        <v>35</v>
      </c>
      <c r="I459" s="186" t="s">
        <v>36</v>
      </c>
      <c r="J459" s="56"/>
      <c r="K459" s="35" t="s">
        <v>36</v>
      </c>
    </row>
    <row r="460">
      <c r="A460" s="183" t="s">
        <v>355</v>
      </c>
      <c r="B460" s="35" t="s">
        <v>2158</v>
      </c>
      <c r="C460" s="187" t="s">
        <v>1661</v>
      </c>
      <c r="D460" s="187" t="s">
        <v>1574</v>
      </c>
      <c r="E460" s="187" t="s">
        <v>1638</v>
      </c>
      <c r="F460" s="187" t="s">
        <v>1575</v>
      </c>
      <c r="G460" s="187" t="s">
        <v>1576</v>
      </c>
      <c r="H460" s="185" t="s">
        <v>35</v>
      </c>
      <c r="I460" s="186" t="s">
        <v>111</v>
      </c>
      <c r="J460" s="35" t="s">
        <v>1577</v>
      </c>
      <c r="K460" s="35" t="s">
        <v>111</v>
      </c>
    </row>
    <row r="461">
      <c r="A461" s="183" t="s">
        <v>355</v>
      </c>
      <c r="B461" s="35" t="s">
        <v>2159</v>
      </c>
      <c r="C461" s="187" t="s">
        <v>1663</v>
      </c>
      <c r="D461" s="187" t="s">
        <v>1580</v>
      </c>
      <c r="E461" s="187" t="s">
        <v>1638</v>
      </c>
      <c r="F461" s="187" t="s">
        <v>1581</v>
      </c>
      <c r="G461" s="187" t="s">
        <v>1582</v>
      </c>
      <c r="H461" s="185" t="s">
        <v>35</v>
      </c>
      <c r="I461" s="186" t="s">
        <v>111</v>
      </c>
      <c r="J461" s="35" t="s">
        <v>1664</v>
      </c>
      <c r="K461" s="35" t="s">
        <v>111</v>
      </c>
    </row>
    <row r="462">
      <c r="A462" s="183" t="s">
        <v>355</v>
      </c>
      <c r="B462" s="35" t="s">
        <v>2160</v>
      </c>
      <c r="C462" s="187" t="s">
        <v>1666</v>
      </c>
      <c r="D462" s="187" t="s">
        <v>1667</v>
      </c>
      <c r="E462" s="187" t="s">
        <v>1668</v>
      </c>
      <c r="F462" s="187" t="s">
        <v>1669</v>
      </c>
      <c r="G462" s="187" t="s">
        <v>1670</v>
      </c>
      <c r="H462" s="185" t="s">
        <v>35</v>
      </c>
      <c r="I462" s="186" t="s">
        <v>36</v>
      </c>
      <c r="J462" s="56"/>
      <c r="K462" s="35" t="s">
        <v>36</v>
      </c>
    </row>
    <row r="463">
      <c r="A463" s="183" t="s">
        <v>355</v>
      </c>
      <c r="B463" s="35" t="s">
        <v>2161</v>
      </c>
      <c r="C463" s="187" t="s">
        <v>1672</v>
      </c>
      <c r="D463" s="187" t="s">
        <v>1673</v>
      </c>
      <c r="E463" s="187" t="s">
        <v>1674</v>
      </c>
      <c r="F463" s="187" t="s">
        <v>1675</v>
      </c>
      <c r="G463" s="187" t="s">
        <v>1676</v>
      </c>
      <c r="H463" s="185" t="s">
        <v>35</v>
      </c>
      <c r="I463" s="186" t="s">
        <v>36</v>
      </c>
      <c r="J463" s="35" t="s">
        <v>1827</v>
      </c>
      <c r="K463" s="35" t="s">
        <v>36</v>
      </c>
    </row>
    <row r="464">
      <c r="A464" s="183" t="s">
        <v>355</v>
      </c>
      <c r="B464" s="35" t="s">
        <v>2162</v>
      </c>
      <c r="C464" s="187" t="s">
        <v>1678</v>
      </c>
      <c r="D464" s="187" t="s">
        <v>1679</v>
      </c>
      <c r="E464" s="187" t="s">
        <v>1680</v>
      </c>
      <c r="F464" s="187" t="s">
        <v>1681</v>
      </c>
      <c r="G464" s="187" t="s">
        <v>1682</v>
      </c>
      <c r="H464" s="185" t="s">
        <v>35</v>
      </c>
      <c r="I464" s="186" t="s">
        <v>36</v>
      </c>
      <c r="J464" s="56"/>
      <c r="K464" s="35" t="s">
        <v>36</v>
      </c>
    </row>
    <row r="465">
      <c r="A465" s="183" t="s">
        <v>355</v>
      </c>
      <c r="B465" s="35" t="s">
        <v>2163</v>
      </c>
      <c r="C465" s="187" t="s">
        <v>1684</v>
      </c>
      <c r="D465" s="187" t="s">
        <v>1679</v>
      </c>
      <c r="E465" s="187" t="s">
        <v>1680</v>
      </c>
      <c r="F465" s="187" t="s">
        <v>1681</v>
      </c>
      <c r="G465" s="187" t="s">
        <v>1682</v>
      </c>
      <c r="H465" s="185" t="s">
        <v>35</v>
      </c>
      <c r="I465" s="186" t="s">
        <v>36</v>
      </c>
      <c r="J465" s="56"/>
      <c r="K465" s="35" t="s">
        <v>36</v>
      </c>
    </row>
    <row r="466">
      <c r="A466" s="183" t="s">
        <v>355</v>
      </c>
      <c r="B466" s="35" t="s">
        <v>2164</v>
      </c>
      <c r="C466" s="187" t="s">
        <v>1686</v>
      </c>
      <c r="D466" s="187" t="s">
        <v>1687</v>
      </c>
      <c r="E466" s="187" t="s">
        <v>1688</v>
      </c>
      <c r="F466" s="187" t="s">
        <v>1689</v>
      </c>
      <c r="G466" s="187" t="s">
        <v>1690</v>
      </c>
      <c r="H466" s="185" t="s">
        <v>35</v>
      </c>
      <c r="I466" s="186" t="s">
        <v>36</v>
      </c>
      <c r="J466" s="35" t="s">
        <v>1827</v>
      </c>
      <c r="K466" s="35" t="s">
        <v>36</v>
      </c>
    </row>
    <row r="467">
      <c r="A467" s="183" t="s">
        <v>355</v>
      </c>
      <c r="B467" s="35" t="s">
        <v>2165</v>
      </c>
      <c r="C467" s="187" t="s">
        <v>1692</v>
      </c>
      <c r="D467" s="187" t="s">
        <v>1693</v>
      </c>
      <c r="E467" s="187" t="s">
        <v>1694</v>
      </c>
      <c r="F467" s="187" t="s">
        <v>1554</v>
      </c>
      <c r="G467" s="187" t="s">
        <v>1555</v>
      </c>
      <c r="H467" s="185" t="s">
        <v>35</v>
      </c>
      <c r="I467" s="186" t="s">
        <v>111</v>
      </c>
      <c r="J467" s="35" t="s">
        <v>1556</v>
      </c>
      <c r="K467" s="35" t="s">
        <v>111</v>
      </c>
    </row>
    <row r="468">
      <c r="A468" s="183" t="s">
        <v>355</v>
      </c>
      <c r="B468" s="35" t="s">
        <v>2166</v>
      </c>
      <c r="C468" s="187" t="s">
        <v>1696</v>
      </c>
      <c r="D468" s="187" t="s">
        <v>1564</v>
      </c>
      <c r="E468" s="187" t="s">
        <v>1697</v>
      </c>
      <c r="F468" s="187" t="s">
        <v>1657</v>
      </c>
      <c r="G468" s="187" t="s">
        <v>1566</v>
      </c>
      <c r="H468" s="185" t="s">
        <v>35</v>
      </c>
      <c r="I468" s="186" t="s">
        <v>36</v>
      </c>
      <c r="J468" s="56"/>
      <c r="K468" s="35" t="s">
        <v>36</v>
      </c>
    </row>
    <row r="469">
      <c r="A469" s="183" t="s">
        <v>355</v>
      </c>
      <c r="B469" s="35" t="s">
        <v>2167</v>
      </c>
      <c r="C469" s="187" t="s">
        <v>1699</v>
      </c>
      <c r="D469" s="187" t="s">
        <v>1700</v>
      </c>
      <c r="E469" s="187" t="s">
        <v>1701</v>
      </c>
      <c r="F469" s="187" t="s">
        <v>1560</v>
      </c>
      <c r="G469" s="187" t="s">
        <v>1561</v>
      </c>
      <c r="H469" s="185" t="s">
        <v>35</v>
      </c>
      <c r="I469" s="186" t="s">
        <v>36</v>
      </c>
      <c r="J469" s="35"/>
      <c r="K469" s="35" t="s">
        <v>36</v>
      </c>
    </row>
    <row r="470">
      <c r="A470" s="183" t="s">
        <v>355</v>
      </c>
      <c r="B470" s="35" t="s">
        <v>2168</v>
      </c>
      <c r="C470" s="187" t="s">
        <v>1703</v>
      </c>
      <c r="D470" s="187" t="s">
        <v>1569</v>
      </c>
      <c r="E470" s="187" t="s">
        <v>1622</v>
      </c>
      <c r="F470" s="187" t="s">
        <v>1570</v>
      </c>
      <c r="G470" s="187" t="s">
        <v>1571</v>
      </c>
      <c r="H470" s="185" t="s">
        <v>35</v>
      </c>
      <c r="I470" s="186" t="s">
        <v>36</v>
      </c>
      <c r="J470" s="56"/>
      <c r="K470" s="35" t="s">
        <v>36</v>
      </c>
    </row>
    <row r="471">
      <c r="A471" s="183" t="s">
        <v>355</v>
      </c>
      <c r="B471" s="35" t="s">
        <v>2169</v>
      </c>
      <c r="C471" s="187" t="s">
        <v>1705</v>
      </c>
      <c r="D471" s="187" t="s">
        <v>1574</v>
      </c>
      <c r="E471" s="187" t="s">
        <v>1622</v>
      </c>
      <c r="F471" s="187" t="s">
        <v>1575</v>
      </c>
      <c r="G471" s="187" t="s">
        <v>1576</v>
      </c>
      <c r="H471" s="185" t="s">
        <v>35</v>
      </c>
      <c r="I471" s="186" t="s">
        <v>111</v>
      </c>
      <c r="J471" s="35" t="s">
        <v>1577</v>
      </c>
      <c r="K471" s="35" t="s">
        <v>111</v>
      </c>
    </row>
    <row r="472">
      <c r="A472" s="183" t="s">
        <v>355</v>
      </c>
      <c r="B472" s="35" t="s">
        <v>2170</v>
      </c>
      <c r="C472" s="187" t="s">
        <v>1707</v>
      </c>
      <c r="D472" s="187" t="s">
        <v>1580</v>
      </c>
      <c r="E472" s="187" t="s">
        <v>1622</v>
      </c>
      <c r="F472" s="187" t="s">
        <v>1581</v>
      </c>
      <c r="G472" s="187" t="s">
        <v>1582</v>
      </c>
      <c r="H472" s="185" t="s">
        <v>35</v>
      </c>
      <c r="I472" s="186" t="s">
        <v>36</v>
      </c>
      <c r="J472" s="56"/>
      <c r="K472" s="35" t="s">
        <v>36</v>
      </c>
    </row>
    <row r="473">
      <c r="A473" s="183" t="s">
        <v>355</v>
      </c>
      <c r="B473" s="35" t="s">
        <v>2171</v>
      </c>
      <c r="C473" s="187" t="s">
        <v>1709</v>
      </c>
      <c r="D473" s="187" t="s">
        <v>1710</v>
      </c>
      <c r="E473" s="187" t="s">
        <v>1622</v>
      </c>
      <c r="F473" s="187" t="s">
        <v>1711</v>
      </c>
      <c r="G473" s="187" t="s">
        <v>1712</v>
      </c>
      <c r="H473" s="185" t="s">
        <v>35</v>
      </c>
      <c r="I473" s="186" t="s">
        <v>36</v>
      </c>
      <c r="J473" s="56"/>
      <c r="K473" s="35" t="s">
        <v>36</v>
      </c>
    </row>
    <row r="474">
      <c r="A474" s="183" t="s">
        <v>355</v>
      </c>
      <c r="B474" s="35" t="s">
        <v>2172</v>
      </c>
      <c r="C474" s="187" t="s">
        <v>1714</v>
      </c>
      <c r="D474" s="187" t="s">
        <v>1715</v>
      </c>
      <c r="E474" s="187" t="s">
        <v>1716</v>
      </c>
      <c r="F474" s="187" t="s">
        <v>1717</v>
      </c>
      <c r="G474" s="187" t="s">
        <v>1718</v>
      </c>
      <c r="H474" s="185" t="s">
        <v>35</v>
      </c>
      <c r="I474" s="186" t="s">
        <v>36</v>
      </c>
      <c r="J474" s="56"/>
      <c r="K474" s="35" t="s">
        <v>36</v>
      </c>
    </row>
    <row r="475">
      <c r="A475" s="183" t="s">
        <v>355</v>
      </c>
      <c r="B475" s="35" t="s">
        <v>2173</v>
      </c>
      <c r="C475" s="187" t="s">
        <v>1720</v>
      </c>
      <c r="D475" s="187" t="s">
        <v>1721</v>
      </c>
      <c r="E475" s="187" t="s">
        <v>1722</v>
      </c>
      <c r="F475" s="187" t="s">
        <v>1723</v>
      </c>
      <c r="G475" s="187" t="s">
        <v>1628</v>
      </c>
      <c r="H475" s="185" t="s">
        <v>35</v>
      </c>
      <c r="I475" s="186" t="s">
        <v>36</v>
      </c>
      <c r="J475" s="35" t="s">
        <v>1827</v>
      </c>
      <c r="K475" s="35" t="s">
        <v>36</v>
      </c>
    </row>
    <row r="476">
      <c r="A476" s="190" t="s">
        <v>383</v>
      </c>
      <c r="B476" s="35" t="s">
        <v>2174</v>
      </c>
      <c r="C476" s="35" t="s">
        <v>1438</v>
      </c>
      <c r="D476" s="35" t="s">
        <v>1439</v>
      </c>
      <c r="E476" s="184" t="s">
        <v>1440</v>
      </c>
      <c r="F476" s="183" t="s">
        <v>1441</v>
      </c>
      <c r="G476" s="35" t="s">
        <v>1442</v>
      </c>
      <c r="H476" s="185" t="s">
        <v>35</v>
      </c>
      <c r="I476" s="186" t="s">
        <v>36</v>
      </c>
      <c r="J476" s="56"/>
      <c r="K476" s="35" t="s">
        <v>36</v>
      </c>
    </row>
    <row r="477">
      <c r="A477" s="183" t="s">
        <v>383</v>
      </c>
      <c r="B477" s="35" t="s">
        <v>2175</v>
      </c>
      <c r="C477" s="187" t="s">
        <v>1446</v>
      </c>
      <c r="D477" s="187" t="s">
        <v>1447</v>
      </c>
      <c r="E477" s="187" t="s">
        <v>1448</v>
      </c>
      <c r="F477" s="187" t="s">
        <v>1449</v>
      </c>
      <c r="G477" s="187" t="s">
        <v>1450</v>
      </c>
      <c r="H477" s="185" t="s">
        <v>35</v>
      </c>
      <c r="I477" s="186" t="s">
        <v>36</v>
      </c>
      <c r="J477" s="56"/>
      <c r="K477" s="35" t="s">
        <v>36</v>
      </c>
    </row>
    <row r="478">
      <c r="A478" s="183" t="s">
        <v>383</v>
      </c>
      <c r="B478" s="35" t="s">
        <v>2176</v>
      </c>
      <c r="C478" s="187" t="s">
        <v>1453</v>
      </c>
      <c r="D478" s="187" t="s">
        <v>1454</v>
      </c>
      <c r="E478" s="187" t="s">
        <v>1448</v>
      </c>
      <c r="F478" s="187" t="s">
        <v>1455</v>
      </c>
      <c r="G478" s="187" t="s">
        <v>1456</v>
      </c>
      <c r="H478" s="185" t="s">
        <v>35</v>
      </c>
      <c r="I478" s="186" t="s">
        <v>111</v>
      </c>
      <c r="J478" s="35" t="s">
        <v>1854</v>
      </c>
      <c r="K478" s="35" t="s">
        <v>111</v>
      </c>
    </row>
    <row r="479">
      <c r="A479" s="183" t="s">
        <v>383</v>
      </c>
      <c r="B479" s="35" t="s">
        <v>2177</v>
      </c>
      <c r="C479" s="187" t="s">
        <v>1459</v>
      </c>
      <c r="D479" s="187" t="s">
        <v>1460</v>
      </c>
      <c r="E479" s="187" t="s">
        <v>1448</v>
      </c>
      <c r="F479" s="187" t="s">
        <v>1461</v>
      </c>
      <c r="G479" s="187" t="s">
        <v>1462</v>
      </c>
      <c r="H479" s="185" t="s">
        <v>35</v>
      </c>
      <c r="I479" s="186" t="s">
        <v>36</v>
      </c>
      <c r="J479" s="56"/>
      <c r="K479" s="35" t="s">
        <v>36</v>
      </c>
    </row>
    <row r="480">
      <c r="A480" s="183" t="s">
        <v>383</v>
      </c>
      <c r="B480" s="35" t="s">
        <v>2178</v>
      </c>
      <c r="C480" s="183" t="s">
        <v>1465</v>
      </c>
      <c r="D480" s="183" t="s">
        <v>1466</v>
      </c>
      <c r="E480" s="187" t="s">
        <v>1448</v>
      </c>
      <c r="F480" s="183" t="s">
        <v>1467</v>
      </c>
      <c r="G480" s="183" t="s">
        <v>1468</v>
      </c>
      <c r="H480" s="185" t="s">
        <v>35</v>
      </c>
      <c r="I480" s="186" t="s">
        <v>111</v>
      </c>
      <c r="J480" s="35" t="s">
        <v>1469</v>
      </c>
      <c r="K480" s="35" t="s">
        <v>111</v>
      </c>
    </row>
    <row r="481">
      <c r="A481" s="183" t="s">
        <v>383</v>
      </c>
      <c r="B481" s="35" t="s">
        <v>2179</v>
      </c>
      <c r="C481" s="183" t="s">
        <v>1471</v>
      </c>
      <c r="D481" s="183" t="s">
        <v>1472</v>
      </c>
      <c r="E481" s="187" t="s">
        <v>1448</v>
      </c>
      <c r="F481" s="183" t="s">
        <v>1473</v>
      </c>
      <c r="G481" s="183" t="s">
        <v>1474</v>
      </c>
      <c r="H481" s="185" t="s">
        <v>35</v>
      </c>
      <c r="I481" s="186" t="s">
        <v>111</v>
      </c>
      <c r="J481" s="35" t="s">
        <v>1475</v>
      </c>
      <c r="K481" s="35" t="s">
        <v>111</v>
      </c>
    </row>
    <row r="482">
      <c r="A482" s="183" t="s">
        <v>383</v>
      </c>
      <c r="B482" s="35" t="s">
        <v>2180</v>
      </c>
      <c r="C482" s="183" t="s">
        <v>1477</v>
      </c>
      <c r="D482" s="183" t="s">
        <v>1478</v>
      </c>
      <c r="E482" s="187" t="s">
        <v>1448</v>
      </c>
      <c r="F482" s="183" t="s">
        <v>1479</v>
      </c>
      <c r="G482" s="183" t="s">
        <v>1468</v>
      </c>
      <c r="H482" s="185" t="s">
        <v>35</v>
      </c>
      <c r="I482" s="186" t="s">
        <v>111</v>
      </c>
      <c r="J482" s="35" t="s">
        <v>1469</v>
      </c>
      <c r="K482" s="35" t="s">
        <v>111</v>
      </c>
    </row>
    <row r="483">
      <c r="A483" s="183" t="s">
        <v>383</v>
      </c>
      <c r="B483" s="35" t="s">
        <v>2181</v>
      </c>
      <c r="C483" s="183" t="s">
        <v>1481</v>
      </c>
      <c r="D483" s="183" t="s">
        <v>1472</v>
      </c>
      <c r="E483" s="187" t="s">
        <v>1448</v>
      </c>
      <c r="F483" s="183" t="s">
        <v>1482</v>
      </c>
      <c r="G483" s="183" t="s">
        <v>1474</v>
      </c>
      <c r="H483" s="185" t="s">
        <v>35</v>
      </c>
      <c r="I483" s="186" t="s">
        <v>111</v>
      </c>
      <c r="J483" s="183" t="s">
        <v>1475</v>
      </c>
      <c r="K483" s="35" t="s">
        <v>111</v>
      </c>
    </row>
    <row r="484">
      <c r="A484" s="183" t="s">
        <v>383</v>
      </c>
      <c r="B484" s="35" t="s">
        <v>2182</v>
      </c>
      <c r="C484" s="183" t="s">
        <v>1484</v>
      </c>
      <c r="D484" s="183" t="s">
        <v>1472</v>
      </c>
      <c r="E484" s="187" t="s">
        <v>1448</v>
      </c>
      <c r="F484" s="183" t="s">
        <v>1485</v>
      </c>
      <c r="G484" s="183" t="s">
        <v>1486</v>
      </c>
      <c r="H484" s="185" t="s">
        <v>35</v>
      </c>
      <c r="I484" s="186" t="s">
        <v>111</v>
      </c>
      <c r="J484" s="183" t="s">
        <v>1475</v>
      </c>
      <c r="K484" s="35" t="s">
        <v>111</v>
      </c>
    </row>
    <row r="485">
      <c r="A485" s="183" t="s">
        <v>383</v>
      </c>
      <c r="B485" s="35" t="s">
        <v>2183</v>
      </c>
      <c r="C485" s="187" t="s">
        <v>1488</v>
      </c>
      <c r="D485" s="187" t="s">
        <v>1489</v>
      </c>
      <c r="E485" s="187" t="s">
        <v>1490</v>
      </c>
      <c r="F485" s="187" t="s">
        <v>1491</v>
      </c>
      <c r="G485" s="187" t="s">
        <v>1492</v>
      </c>
      <c r="H485" s="185" t="s">
        <v>35</v>
      </c>
      <c r="I485" s="186" t="s">
        <v>111</v>
      </c>
      <c r="J485" s="35" t="s">
        <v>1862</v>
      </c>
      <c r="K485" s="35" t="s">
        <v>111</v>
      </c>
    </row>
    <row r="486">
      <c r="A486" s="183" t="s">
        <v>383</v>
      </c>
      <c r="B486" s="35" t="s">
        <v>2184</v>
      </c>
      <c r="C486" s="187" t="s">
        <v>1494</v>
      </c>
      <c r="D486" s="183" t="s">
        <v>1495</v>
      </c>
      <c r="E486" s="187" t="s">
        <v>1496</v>
      </c>
      <c r="F486" s="187" t="s">
        <v>1497</v>
      </c>
      <c r="G486" s="187" t="s">
        <v>1498</v>
      </c>
      <c r="H486" s="185" t="s">
        <v>35</v>
      </c>
      <c r="I486" s="186" t="s">
        <v>111</v>
      </c>
      <c r="J486" s="35" t="s">
        <v>1499</v>
      </c>
      <c r="K486" s="35" t="s">
        <v>111</v>
      </c>
    </row>
    <row r="487">
      <c r="A487" s="183" t="s">
        <v>383</v>
      </c>
      <c r="B487" s="35" t="s">
        <v>2185</v>
      </c>
      <c r="C487" s="187" t="s">
        <v>1501</v>
      </c>
      <c r="D487" s="187" t="s">
        <v>1502</v>
      </c>
      <c r="E487" s="187" t="s">
        <v>1503</v>
      </c>
      <c r="F487" s="187" t="s">
        <v>1491</v>
      </c>
      <c r="G487" s="187" t="s">
        <v>1504</v>
      </c>
      <c r="H487" s="185" t="s">
        <v>35</v>
      </c>
      <c r="I487" s="186" t="s">
        <v>36</v>
      </c>
      <c r="J487" s="56"/>
      <c r="K487" s="35" t="s">
        <v>36</v>
      </c>
    </row>
    <row r="488">
      <c r="A488" s="183" t="s">
        <v>383</v>
      </c>
      <c r="B488" s="35" t="s">
        <v>2186</v>
      </c>
      <c r="C488" s="187" t="s">
        <v>1506</v>
      </c>
      <c r="D488" s="187" t="s">
        <v>1507</v>
      </c>
      <c r="E488" s="187" t="s">
        <v>1508</v>
      </c>
      <c r="F488" s="187" t="s">
        <v>1491</v>
      </c>
      <c r="G488" s="187" t="s">
        <v>1509</v>
      </c>
      <c r="H488" s="185" t="s">
        <v>35</v>
      </c>
      <c r="I488" s="186" t="s">
        <v>111</v>
      </c>
      <c r="J488" s="35" t="s">
        <v>1862</v>
      </c>
      <c r="K488" s="35" t="s">
        <v>111</v>
      </c>
    </row>
    <row r="489">
      <c r="A489" s="183" t="s">
        <v>383</v>
      </c>
      <c r="B489" s="35" t="s">
        <v>2187</v>
      </c>
      <c r="C489" s="187" t="s">
        <v>1511</v>
      </c>
      <c r="D489" s="187" t="s">
        <v>1512</v>
      </c>
      <c r="E489" s="187" t="s">
        <v>1513</v>
      </c>
      <c r="F489" s="187" t="s">
        <v>1491</v>
      </c>
      <c r="G489" s="187" t="s">
        <v>1514</v>
      </c>
      <c r="H489" s="185" t="s">
        <v>35</v>
      </c>
      <c r="I489" s="186" t="s">
        <v>36</v>
      </c>
      <c r="J489" s="56"/>
      <c r="K489" s="35" t="s">
        <v>36</v>
      </c>
    </row>
    <row r="490">
      <c r="A490" s="183" t="s">
        <v>383</v>
      </c>
      <c r="B490" s="35" t="s">
        <v>2188</v>
      </c>
      <c r="C490" s="187" t="s">
        <v>1516</v>
      </c>
      <c r="D490" s="187" t="s">
        <v>1517</v>
      </c>
      <c r="E490" s="187" t="s">
        <v>1518</v>
      </c>
      <c r="F490" s="187" t="s">
        <v>1519</v>
      </c>
      <c r="G490" s="187" t="s">
        <v>1520</v>
      </c>
      <c r="H490" s="185" t="s">
        <v>35</v>
      </c>
      <c r="I490" s="186" t="s">
        <v>111</v>
      </c>
      <c r="J490" s="35" t="s">
        <v>1521</v>
      </c>
      <c r="K490" s="35" t="s">
        <v>111</v>
      </c>
    </row>
    <row r="491">
      <c r="A491" s="183" t="s">
        <v>383</v>
      </c>
      <c r="B491" s="35" t="s">
        <v>2189</v>
      </c>
      <c r="C491" s="187" t="s">
        <v>1523</v>
      </c>
      <c r="D491" s="187" t="s">
        <v>1524</v>
      </c>
      <c r="E491" s="187" t="s">
        <v>1525</v>
      </c>
      <c r="F491" s="187" t="s">
        <v>1526</v>
      </c>
      <c r="G491" s="187" t="s">
        <v>1527</v>
      </c>
      <c r="H491" s="185" t="s">
        <v>35</v>
      </c>
      <c r="I491" s="186" t="s">
        <v>111</v>
      </c>
      <c r="J491" s="35" t="s">
        <v>1862</v>
      </c>
      <c r="K491" s="35" t="s">
        <v>111</v>
      </c>
    </row>
    <row r="492">
      <c r="A492" s="183" t="s">
        <v>383</v>
      </c>
      <c r="B492" s="35" t="s">
        <v>2190</v>
      </c>
      <c r="C492" s="187" t="s">
        <v>1529</v>
      </c>
      <c r="D492" s="187" t="s">
        <v>1530</v>
      </c>
      <c r="E492" s="187" t="s">
        <v>1531</v>
      </c>
      <c r="F492" s="187" t="s">
        <v>1532</v>
      </c>
      <c r="G492" s="187" t="s">
        <v>1533</v>
      </c>
      <c r="H492" s="185" t="s">
        <v>35</v>
      </c>
      <c r="I492" s="186" t="s">
        <v>111</v>
      </c>
      <c r="J492" s="35" t="s">
        <v>1521</v>
      </c>
      <c r="K492" s="35" t="s">
        <v>111</v>
      </c>
    </row>
    <row r="493">
      <c r="A493" s="183" t="s">
        <v>383</v>
      </c>
      <c r="B493" s="35" t="s">
        <v>2191</v>
      </c>
      <c r="C493" s="187" t="s">
        <v>1535</v>
      </c>
      <c r="D493" s="187" t="s">
        <v>1536</v>
      </c>
      <c r="E493" s="187" t="s">
        <v>1537</v>
      </c>
      <c r="F493" s="187" t="s">
        <v>1538</v>
      </c>
      <c r="G493" s="187" t="s">
        <v>1539</v>
      </c>
      <c r="H493" s="185" t="s">
        <v>35</v>
      </c>
      <c r="I493" s="186" t="s">
        <v>111</v>
      </c>
      <c r="J493" s="35" t="s">
        <v>1521</v>
      </c>
      <c r="K493" s="35" t="s">
        <v>111</v>
      </c>
    </row>
    <row r="494">
      <c r="A494" s="183" t="s">
        <v>383</v>
      </c>
      <c r="B494" s="35" t="s">
        <v>2192</v>
      </c>
      <c r="C494" s="187" t="s">
        <v>1541</v>
      </c>
      <c r="D494" s="187" t="s">
        <v>1542</v>
      </c>
      <c r="E494" s="187" t="s">
        <v>1543</v>
      </c>
      <c r="F494" s="187" t="s">
        <v>1544</v>
      </c>
      <c r="G494" s="187" t="s">
        <v>1545</v>
      </c>
      <c r="H494" s="185" t="s">
        <v>35</v>
      </c>
      <c r="I494" s="186" t="s">
        <v>36</v>
      </c>
      <c r="J494" s="56"/>
      <c r="K494" s="35" t="s">
        <v>36</v>
      </c>
    </row>
    <row r="495">
      <c r="A495" s="183" t="s">
        <v>383</v>
      </c>
      <c r="B495" s="35" t="s">
        <v>2193</v>
      </c>
      <c r="C495" s="187" t="s">
        <v>1547</v>
      </c>
      <c r="D495" s="187" t="s">
        <v>1548</v>
      </c>
      <c r="E495" s="187" t="s">
        <v>1448</v>
      </c>
      <c r="F495" s="187" t="s">
        <v>1549</v>
      </c>
      <c r="G495" s="187" t="s">
        <v>1550</v>
      </c>
      <c r="H495" s="185" t="s">
        <v>35</v>
      </c>
      <c r="I495" s="186" t="s">
        <v>36</v>
      </c>
      <c r="J495" s="56"/>
      <c r="K495" s="35" t="s">
        <v>36</v>
      </c>
    </row>
    <row r="496">
      <c r="A496" s="183" t="s">
        <v>383</v>
      </c>
      <c r="B496" s="35" t="s">
        <v>2194</v>
      </c>
      <c r="C496" s="187" t="s">
        <v>1552</v>
      </c>
      <c r="D496" s="187" t="s">
        <v>1553</v>
      </c>
      <c r="E496" s="187" t="s">
        <v>1448</v>
      </c>
      <c r="F496" s="187" t="s">
        <v>1554</v>
      </c>
      <c r="G496" s="187" t="s">
        <v>1555</v>
      </c>
      <c r="H496" s="185" t="s">
        <v>35</v>
      </c>
      <c r="I496" s="186" t="s">
        <v>111</v>
      </c>
      <c r="J496" s="35" t="s">
        <v>1556</v>
      </c>
      <c r="K496" s="35" t="s">
        <v>111</v>
      </c>
    </row>
    <row r="497">
      <c r="A497" s="183" t="s">
        <v>383</v>
      </c>
      <c r="B497" s="35" t="s">
        <v>2195</v>
      </c>
      <c r="C497" s="187" t="s">
        <v>1558</v>
      </c>
      <c r="D497" s="187" t="s">
        <v>1559</v>
      </c>
      <c r="E497" s="187" t="s">
        <v>1448</v>
      </c>
      <c r="F497" s="187" t="s">
        <v>1560</v>
      </c>
      <c r="G497" s="187" t="s">
        <v>1561</v>
      </c>
      <c r="H497" s="185" t="s">
        <v>35</v>
      </c>
      <c r="I497" s="186" t="s">
        <v>36</v>
      </c>
      <c r="J497" s="35"/>
      <c r="K497" s="35" t="s">
        <v>36</v>
      </c>
    </row>
    <row r="498">
      <c r="A498" s="183" t="s">
        <v>383</v>
      </c>
      <c r="B498" s="35" t="s">
        <v>2196</v>
      </c>
      <c r="C498" s="187" t="s">
        <v>1563</v>
      </c>
      <c r="D498" s="187" t="s">
        <v>1564</v>
      </c>
      <c r="E498" s="187" t="s">
        <v>1448</v>
      </c>
      <c r="F498" s="187" t="s">
        <v>1565</v>
      </c>
      <c r="G498" s="187" t="s">
        <v>1566</v>
      </c>
      <c r="H498" s="185" t="s">
        <v>35</v>
      </c>
      <c r="I498" s="186" t="s">
        <v>36</v>
      </c>
      <c r="J498" s="35"/>
      <c r="K498" s="35" t="s">
        <v>36</v>
      </c>
    </row>
    <row r="499">
      <c r="A499" s="183" t="s">
        <v>383</v>
      </c>
      <c r="B499" s="35" t="s">
        <v>2197</v>
      </c>
      <c r="C499" s="187" t="s">
        <v>1568</v>
      </c>
      <c r="D499" s="187" t="s">
        <v>1569</v>
      </c>
      <c r="E499" s="187" t="s">
        <v>1448</v>
      </c>
      <c r="F499" s="187" t="s">
        <v>1570</v>
      </c>
      <c r="G499" s="187" t="s">
        <v>1571</v>
      </c>
      <c r="H499" s="185" t="s">
        <v>35</v>
      </c>
      <c r="I499" s="186" t="s">
        <v>36</v>
      </c>
      <c r="J499" s="56"/>
      <c r="K499" s="35" t="s">
        <v>36</v>
      </c>
    </row>
    <row r="500">
      <c r="A500" s="183" t="s">
        <v>383</v>
      </c>
      <c r="B500" s="35" t="s">
        <v>2198</v>
      </c>
      <c r="C500" s="187" t="s">
        <v>1573</v>
      </c>
      <c r="D500" s="187" t="s">
        <v>1574</v>
      </c>
      <c r="E500" s="187" t="s">
        <v>1448</v>
      </c>
      <c r="F500" s="187" t="s">
        <v>1575</v>
      </c>
      <c r="G500" s="187" t="s">
        <v>1576</v>
      </c>
      <c r="H500" s="185" t="s">
        <v>35</v>
      </c>
      <c r="I500" s="186" t="s">
        <v>111</v>
      </c>
      <c r="J500" s="35" t="s">
        <v>1577</v>
      </c>
      <c r="K500" s="35" t="s">
        <v>111</v>
      </c>
    </row>
    <row r="501">
      <c r="A501" s="183" t="s">
        <v>383</v>
      </c>
      <c r="B501" s="35" t="s">
        <v>2199</v>
      </c>
      <c r="C501" s="187" t="s">
        <v>1579</v>
      </c>
      <c r="D501" s="187" t="s">
        <v>1580</v>
      </c>
      <c r="E501" s="187" t="s">
        <v>1448</v>
      </c>
      <c r="F501" s="187" t="s">
        <v>1581</v>
      </c>
      <c r="G501" s="187" t="s">
        <v>1582</v>
      </c>
      <c r="H501" s="185" t="s">
        <v>35</v>
      </c>
      <c r="I501" s="186" t="s">
        <v>36</v>
      </c>
      <c r="J501" s="56"/>
      <c r="K501" s="35" t="s">
        <v>36</v>
      </c>
    </row>
    <row r="502">
      <c r="A502" s="183" t="s">
        <v>383</v>
      </c>
      <c r="B502" s="35" t="s">
        <v>2200</v>
      </c>
      <c r="C502" s="187" t="s">
        <v>1584</v>
      </c>
      <c r="D502" s="187" t="s">
        <v>1585</v>
      </c>
      <c r="E502" s="187" t="s">
        <v>1586</v>
      </c>
      <c r="F502" s="187" t="s">
        <v>1587</v>
      </c>
      <c r="G502" s="187" t="s">
        <v>1588</v>
      </c>
      <c r="H502" s="185" t="s">
        <v>35</v>
      </c>
      <c r="I502" s="186" t="s">
        <v>36</v>
      </c>
      <c r="J502" s="56"/>
      <c r="K502" s="35" t="s">
        <v>36</v>
      </c>
    </row>
    <row r="503">
      <c r="A503" s="183" t="s">
        <v>383</v>
      </c>
      <c r="B503" s="35" t="s">
        <v>2201</v>
      </c>
      <c r="C503" s="187" t="s">
        <v>1590</v>
      </c>
      <c r="D503" s="187" t="s">
        <v>1591</v>
      </c>
      <c r="E503" s="187" t="s">
        <v>1592</v>
      </c>
      <c r="F503" s="187" t="s">
        <v>1593</v>
      </c>
      <c r="G503" s="187" t="s">
        <v>1594</v>
      </c>
      <c r="H503" s="185" t="s">
        <v>35</v>
      </c>
      <c r="I503" s="186" t="s">
        <v>111</v>
      </c>
      <c r="J503" s="35" t="s">
        <v>1595</v>
      </c>
      <c r="K503" s="35" t="s">
        <v>111</v>
      </c>
    </row>
    <row r="504">
      <c r="A504" s="183" t="s">
        <v>383</v>
      </c>
      <c r="B504" s="35" t="s">
        <v>2202</v>
      </c>
      <c r="C504" s="187" t="s">
        <v>1597</v>
      </c>
      <c r="D504" s="187" t="s">
        <v>1598</v>
      </c>
      <c r="E504" s="187" t="s">
        <v>1599</v>
      </c>
      <c r="F504" s="187" t="s">
        <v>1600</v>
      </c>
      <c r="G504" s="187" t="s">
        <v>1601</v>
      </c>
      <c r="H504" s="185" t="s">
        <v>35</v>
      </c>
      <c r="I504" s="186" t="s">
        <v>36</v>
      </c>
      <c r="J504" s="56"/>
      <c r="K504" s="35" t="s">
        <v>36</v>
      </c>
    </row>
    <row r="505">
      <c r="A505" s="183" t="s">
        <v>383</v>
      </c>
      <c r="B505" s="35" t="s">
        <v>2203</v>
      </c>
      <c r="C505" s="187" t="s">
        <v>1603</v>
      </c>
      <c r="D505" s="187" t="s">
        <v>1604</v>
      </c>
      <c r="E505" s="187" t="s">
        <v>1605</v>
      </c>
      <c r="F505" s="187" t="s">
        <v>1606</v>
      </c>
      <c r="G505" s="187" t="s">
        <v>1607</v>
      </c>
      <c r="H505" s="185" t="s">
        <v>35</v>
      </c>
      <c r="I505" s="186" t="s">
        <v>36</v>
      </c>
      <c r="J505" s="56"/>
      <c r="K505" s="35" t="s">
        <v>36</v>
      </c>
    </row>
    <row r="506">
      <c r="A506" s="183" t="s">
        <v>383</v>
      </c>
      <c r="B506" s="35" t="s">
        <v>2204</v>
      </c>
      <c r="C506" s="187" t="s">
        <v>1609</v>
      </c>
      <c r="D506" s="187" t="s">
        <v>1610</v>
      </c>
      <c r="E506" s="187" t="s">
        <v>1611</v>
      </c>
      <c r="F506" s="187" t="s">
        <v>1612</v>
      </c>
      <c r="G506" s="187" t="s">
        <v>1613</v>
      </c>
      <c r="H506" s="185" t="s">
        <v>35</v>
      </c>
      <c r="I506" s="186" t="s">
        <v>36</v>
      </c>
      <c r="J506" s="56"/>
      <c r="K506" s="35" t="s">
        <v>36</v>
      </c>
    </row>
    <row r="507">
      <c r="A507" s="183" t="s">
        <v>383</v>
      </c>
      <c r="B507" s="35" t="s">
        <v>2205</v>
      </c>
      <c r="C507" s="187" t="s">
        <v>1615</v>
      </c>
      <c r="D507" s="187" t="s">
        <v>1616</v>
      </c>
      <c r="E507" s="187" t="s">
        <v>1611</v>
      </c>
      <c r="F507" s="187" t="s">
        <v>1617</v>
      </c>
      <c r="G507" s="187" t="s">
        <v>1618</v>
      </c>
      <c r="H507" s="185" t="s">
        <v>35</v>
      </c>
      <c r="I507" s="186" t="s">
        <v>36</v>
      </c>
      <c r="J507" s="56"/>
      <c r="K507" s="35" t="s">
        <v>36</v>
      </c>
    </row>
    <row r="508">
      <c r="A508" s="183" t="s">
        <v>383</v>
      </c>
      <c r="B508" s="35" t="s">
        <v>2206</v>
      </c>
      <c r="C508" s="187" t="s">
        <v>1620</v>
      </c>
      <c r="D508" s="187" t="s">
        <v>1621</v>
      </c>
      <c r="E508" s="187" t="s">
        <v>1622</v>
      </c>
      <c r="F508" s="187" t="s">
        <v>1623</v>
      </c>
      <c r="G508" s="187" t="s">
        <v>1624</v>
      </c>
      <c r="H508" s="185" t="s">
        <v>35</v>
      </c>
      <c r="I508" s="186" t="s">
        <v>36</v>
      </c>
      <c r="J508" s="56"/>
      <c r="K508" s="35" t="s">
        <v>36</v>
      </c>
    </row>
    <row r="509">
      <c r="A509" s="183" t="s">
        <v>383</v>
      </c>
      <c r="B509" s="35" t="s">
        <v>2207</v>
      </c>
      <c r="C509" s="187" t="s">
        <v>1626</v>
      </c>
      <c r="D509" s="187" t="s">
        <v>1627</v>
      </c>
      <c r="E509" s="187" t="s">
        <v>1622</v>
      </c>
      <c r="F509" s="187" t="s">
        <v>1549</v>
      </c>
      <c r="G509" s="187" t="s">
        <v>1628</v>
      </c>
      <c r="H509" s="185" t="s">
        <v>35</v>
      </c>
      <c r="I509" s="186" t="s">
        <v>36</v>
      </c>
      <c r="J509" s="56"/>
      <c r="K509" s="35" t="s">
        <v>36</v>
      </c>
    </row>
    <row r="510">
      <c r="A510" s="183" t="s">
        <v>383</v>
      </c>
      <c r="B510" s="35" t="s">
        <v>2208</v>
      </c>
      <c r="C510" s="187" t="s">
        <v>1630</v>
      </c>
      <c r="D510" s="187" t="s">
        <v>1631</v>
      </c>
      <c r="E510" s="187" t="s">
        <v>1632</v>
      </c>
      <c r="F510" s="187" t="s">
        <v>1633</v>
      </c>
      <c r="G510" s="187" t="s">
        <v>1634</v>
      </c>
      <c r="H510" s="185" t="s">
        <v>35</v>
      </c>
      <c r="I510" s="186" t="s">
        <v>111</v>
      </c>
      <c r="J510" s="56"/>
      <c r="K510" s="35" t="s">
        <v>111</v>
      </c>
    </row>
    <row r="511">
      <c r="A511" s="183" t="s">
        <v>383</v>
      </c>
      <c r="B511" s="35" t="s">
        <v>2209</v>
      </c>
      <c r="C511" s="187" t="s">
        <v>1636</v>
      </c>
      <c r="D511" s="187" t="s">
        <v>1637</v>
      </c>
      <c r="E511" s="187" t="s">
        <v>1638</v>
      </c>
      <c r="F511" s="187" t="s">
        <v>1639</v>
      </c>
      <c r="G511" s="187" t="s">
        <v>1588</v>
      </c>
      <c r="H511" s="185" t="s">
        <v>35</v>
      </c>
      <c r="I511" s="186" t="s">
        <v>36</v>
      </c>
      <c r="J511" s="56"/>
      <c r="K511" s="35" t="s">
        <v>36</v>
      </c>
    </row>
    <row r="512">
      <c r="A512" s="183" t="s">
        <v>383</v>
      </c>
      <c r="B512" s="35" t="s">
        <v>2210</v>
      </c>
      <c r="C512" s="187" t="s">
        <v>1641</v>
      </c>
      <c r="D512" s="187" t="s">
        <v>1642</v>
      </c>
      <c r="E512" s="187" t="s">
        <v>1638</v>
      </c>
      <c r="F512" s="187" t="s">
        <v>1643</v>
      </c>
      <c r="G512" s="187" t="s">
        <v>1594</v>
      </c>
      <c r="H512" s="185" t="s">
        <v>35</v>
      </c>
      <c r="I512" s="186" t="s">
        <v>111</v>
      </c>
      <c r="J512" s="35" t="s">
        <v>1890</v>
      </c>
      <c r="K512" s="35" t="s">
        <v>111</v>
      </c>
    </row>
    <row r="513">
      <c r="A513" s="183" t="s">
        <v>383</v>
      </c>
      <c r="B513" s="35" t="s">
        <v>2211</v>
      </c>
      <c r="C513" s="187" t="s">
        <v>1645</v>
      </c>
      <c r="D513" s="187" t="s">
        <v>1646</v>
      </c>
      <c r="E513" s="187" t="s">
        <v>1638</v>
      </c>
      <c r="F513" s="187" t="s">
        <v>1647</v>
      </c>
      <c r="G513" s="187" t="s">
        <v>1601</v>
      </c>
      <c r="H513" s="185" t="s">
        <v>35</v>
      </c>
      <c r="I513" s="186" t="s">
        <v>36</v>
      </c>
      <c r="J513" s="56"/>
      <c r="K513" s="35" t="s">
        <v>36</v>
      </c>
    </row>
    <row r="514">
      <c r="A514" s="183" t="s">
        <v>383</v>
      </c>
      <c r="B514" s="35" t="s">
        <v>2212</v>
      </c>
      <c r="C514" s="187" t="s">
        <v>1649</v>
      </c>
      <c r="D514" s="187" t="s">
        <v>1650</v>
      </c>
      <c r="E514" s="187" t="s">
        <v>1638</v>
      </c>
      <c r="F514" s="187" t="s">
        <v>1554</v>
      </c>
      <c r="G514" s="187" t="s">
        <v>1651</v>
      </c>
      <c r="H514" s="185" t="s">
        <v>35</v>
      </c>
      <c r="I514" s="186" t="s">
        <v>111</v>
      </c>
      <c r="J514" s="56"/>
      <c r="K514" s="35" t="s">
        <v>111</v>
      </c>
    </row>
    <row r="515">
      <c r="A515" s="183" t="s">
        <v>383</v>
      </c>
      <c r="B515" s="35" t="s">
        <v>2213</v>
      </c>
      <c r="C515" s="187" t="s">
        <v>1653</v>
      </c>
      <c r="D515" s="187" t="s">
        <v>1654</v>
      </c>
      <c r="E515" s="187" t="s">
        <v>1638</v>
      </c>
      <c r="F515" s="187" t="s">
        <v>1560</v>
      </c>
      <c r="G515" s="187" t="s">
        <v>1561</v>
      </c>
      <c r="H515" s="185" t="s">
        <v>35</v>
      </c>
      <c r="I515" s="186" t="s">
        <v>36</v>
      </c>
      <c r="J515" s="56"/>
      <c r="K515" s="35" t="s">
        <v>36</v>
      </c>
    </row>
    <row r="516">
      <c r="A516" s="183" t="s">
        <v>383</v>
      </c>
      <c r="B516" s="35" t="s">
        <v>2214</v>
      </c>
      <c r="C516" s="187" t="s">
        <v>1656</v>
      </c>
      <c r="D516" s="187" t="s">
        <v>1564</v>
      </c>
      <c r="E516" s="187" t="s">
        <v>1638</v>
      </c>
      <c r="F516" s="187" t="s">
        <v>1657</v>
      </c>
      <c r="G516" s="187" t="s">
        <v>1566</v>
      </c>
      <c r="H516" s="185" t="s">
        <v>35</v>
      </c>
      <c r="I516" s="186" t="s">
        <v>36</v>
      </c>
      <c r="J516" s="56"/>
      <c r="K516" s="35" t="s">
        <v>36</v>
      </c>
    </row>
    <row r="517">
      <c r="A517" s="183" t="s">
        <v>383</v>
      </c>
      <c r="B517" s="35" t="s">
        <v>2215</v>
      </c>
      <c r="C517" s="187" t="s">
        <v>1659</v>
      </c>
      <c r="D517" s="187" t="s">
        <v>1569</v>
      </c>
      <c r="E517" s="187" t="s">
        <v>1638</v>
      </c>
      <c r="F517" s="187" t="s">
        <v>1570</v>
      </c>
      <c r="G517" s="187" t="s">
        <v>1571</v>
      </c>
      <c r="H517" s="185" t="s">
        <v>35</v>
      </c>
      <c r="I517" s="186" t="s">
        <v>36</v>
      </c>
      <c r="J517" s="56"/>
      <c r="K517" s="35" t="s">
        <v>36</v>
      </c>
    </row>
    <row r="518">
      <c r="A518" s="183" t="s">
        <v>383</v>
      </c>
      <c r="B518" s="35" t="s">
        <v>2216</v>
      </c>
      <c r="C518" s="187" t="s">
        <v>1661</v>
      </c>
      <c r="D518" s="187" t="s">
        <v>1574</v>
      </c>
      <c r="E518" s="187" t="s">
        <v>1638</v>
      </c>
      <c r="F518" s="187" t="s">
        <v>1575</v>
      </c>
      <c r="G518" s="187" t="s">
        <v>1576</v>
      </c>
      <c r="H518" s="185" t="s">
        <v>35</v>
      </c>
      <c r="I518" s="186" t="s">
        <v>111</v>
      </c>
      <c r="J518" s="35" t="s">
        <v>1577</v>
      </c>
      <c r="K518" s="35" t="s">
        <v>111</v>
      </c>
    </row>
    <row r="519">
      <c r="A519" s="183" t="s">
        <v>383</v>
      </c>
      <c r="B519" s="35" t="s">
        <v>2217</v>
      </c>
      <c r="C519" s="187" t="s">
        <v>1663</v>
      </c>
      <c r="D519" s="187" t="s">
        <v>1580</v>
      </c>
      <c r="E519" s="187" t="s">
        <v>1638</v>
      </c>
      <c r="F519" s="187" t="s">
        <v>1581</v>
      </c>
      <c r="G519" s="187" t="s">
        <v>1582</v>
      </c>
      <c r="H519" s="185" t="s">
        <v>35</v>
      </c>
      <c r="I519" s="186" t="s">
        <v>111</v>
      </c>
      <c r="J519" s="35" t="s">
        <v>1664</v>
      </c>
      <c r="K519" s="35" t="s">
        <v>111</v>
      </c>
    </row>
    <row r="520">
      <c r="A520" s="183" t="s">
        <v>383</v>
      </c>
      <c r="B520" s="35" t="s">
        <v>2218</v>
      </c>
      <c r="C520" s="187" t="s">
        <v>1666</v>
      </c>
      <c r="D520" s="187" t="s">
        <v>1667</v>
      </c>
      <c r="E520" s="187" t="s">
        <v>1668</v>
      </c>
      <c r="F520" s="187" t="s">
        <v>1669</v>
      </c>
      <c r="G520" s="187" t="s">
        <v>1670</v>
      </c>
      <c r="H520" s="185" t="s">
        <v>35</v>
      </c>
      <c r="I520" s="186" t="s">
        <v>111</v>
      </c>
      <c r="J520" s="35" t="s">
        <v>1899</v>
      </c>
      <c r="K520" s="35" t="s">
        <v>111</v>
      </c>
    </row>
    <row r="521">
      <c r="A521" s="183" t="s">
        <v>383</v>
      </c>
      <c r="B521" s="35" t="s">
        <v>2219</v>
      </c>
      <c r="C521" s="187" t="s">
        <v>1672</v>
      </c>
      <c r="D521" s="187" t="s">
        <v>1673</v>
      </c>
      <c r="E521" s="187" t="s">
        <v>1674</v>
      </c>
      <c r="F521" s="187" t="s">
        <v>1675</v>
      </c>
      <c r="G521" s="187" t="s">
        <v>1651</v>
      </c>
      <c r="H521" s="185" t="s">
        <v>35</v>
      </c>
      <c r="I521" s="186" t="s">
        <v>111</v>
      </c>
      <c r="J521" s="56"/>
      <c r="K521" s="35" t="s">
        <v>111</v>
      </c>
    </row>
    <row r="522">
      <c r="A522" s="183" t="s">
        <v>383</v>
      </c>
      <c r="B522" s="35" t="s">
        <v>2220</v>
      </c>
      <c r="C522" s="187" t="s">
        <v>1678</v>
      </c>
      <c r="D522" s="187" t="s">
        <v>1679</v>
      </c>
      <c r="E522" s="187" t="s">
        <v>1680</v>
      </c>
      <c r="F522" s="187" t="s">
        <v>1681</v>
      </c>
      <c r="G522" s="187" t="s">
        <v>1682</v>
      </c>
      <c r="H522" s="185" t="s">
        <v>35</v>
      </c>
      <c r="I522" s="186" t="s">
        <v>111</v>
      </c>
      <c r="J522" s="35" t="s">
        <v>1899</v>
      </c>
      <c r="K522" s="35" t="s">
        <v>111</v>
      </c>
    </row>
    <row r="523">
      <c r="A523" s="183" t="s">
        <v>383</v>
      </c>
      <c r="B523" s="35" t="s">
        <v>2221</v>
      </c>
      <c r="C523" s="187" t="s">
        <v>1684</v>
      </c>
      <c r="D523" s="187" t="s">
        <v>1679</v>
      </c>
      <c r="E523" s="187" t="s">
        <v>1680</v>
      </c>
      <c r="F523" s="187" t="s">
        <v>1675</v>
      </c>
      <c r="G523" s="187" t="s">
        <v>1682</v>
      </c>
      <c r="H523" s="185" t="s">
        <v>35</v>
      </c>
      <c r="I523" s="186" t="s">
        <v>111</v>
      </c>
      <c r="J523" s="56"/>
      <c r="K523" s="35" t="s">
        <v>111</v>
      </c>
    </row>
    <row r="524">
      <c r="A524" s="183" t="s">
        <v>383</v>
      </c>
      <c r="B524" s="35" t="s">
        <v>2222</v>
      </c>
      <c r="C524" s="187" t="s">
        <v>1686</v>
      </c>
      <c r="D524" s="187" t="s">
        <v>1687</v>
      </c>
      <c r="E524" s="187" t="s">
        <v>1688</v>
      </c>
      <c r="F524" s="187" t="s">
        <v>1689</v>
      </c>
      <c r="G524" s="187" t="s">
        <v>1690</v>
      </c>
      <c r="H524" s="185" t="s">
        <v>35</v>
      </c>
      <c r="I524" s="186" t="s">
        <v>36</v>
      </c>
      <c r="J524" s="56"/>
      <c r="K524" s="35" t="s">
        <v>36</v>
      </c>
    </row>
    <row r="525">
      <c r="A525" s="183" t="s">
        <v>383</v>
      </c>
      <c r="B525" s="35" t="s">
        <v>2223</v>
      </c>
      <c r="C525" s="187" t="s">
        <v>1692</v>
      </c>
      <c r="D525" s="187" t="s">
        <v>1693</v>
      </c>
      <c r="E525" s="187" t="s">
        <v>1694</v>
      </c>
      <c r="F525" s="187" t="s">
        <v>1554</v>
      </c>
      <c r="G525" s="187" t="s">
        <v>1555</v>
      </c>
      <c r="H525" s="185" t="s">
        <v>35</v>
      </c>
      <c r="I525" s="186" t="s">
        <v>111</v>
      </c>
      <c r="J525" s="35" t="s">
        <v>1556</v>
      </c>
      <c r="K525" s="35" t="s">
        <v>111</v>
      </c>
    </row>
    <row r="526">
      <c r="A526" s="183" t="s">
        <v>383</v>
      </c>
      <c r="B526" s="35" t="s">
        <v>2224</v>
      </c>
      <c r="C526" s="187" t="s">
        <v>1696</v>
      </c>
      <c r="D526" s="187" t="s">
        <v>1564</v>
      </c>
      <c r="E526" s="187" t="s">
        <v>1697</v>
      </c>
      <c r="F526" s="187" t="s">
        <v>1657</v>
      </c>
      <c r="G526" s="187" t="s">
        <v>1566</v>
      </c>
      <c r="H526" s="185" t="s">
        <v>35</v>
      </c>
      <c r="I526" s="186" t="s">
        <v>36</v>
      </c>
      <c r="J526" s="56"/>
      <c r="K526" s="35" t="s">
        <v>36</v>
      </c>
    </row>
    <row r="527">
      <c r="A527" s="183" t="s">
        <v>383</v>
      </c>
      <c r="B527" s="35" t="s">
        <v>2225</v>
      </c>
      <c r="C527" s="187" t="s">
        <v>1699</v>
      </c>
      <c r="D527" s="187" t="s">
        <v>1700</v>
      </c>
      <c r="E527" s="187" t="s">
        <v>1701</v>
      </c>
      <c r="F527" s="187" t="s">
        <v>1560</v>
      </c>
      <c r="G527" s="187" t="s">
        <v>1561</v>
      </c>
      <c r="H527" s="185" t="s">
        <v>35</v>
      </c>
      <c r="I527" s="186" t="s">
        <v>36</v>
      </c>
      <c r="J527" s="35"/>
      <c r="K527" s="35" t="s">
        <v>36</v>
      </c>
    </row>
    <row r="528">
      <c r="A528" s="183" t="s">
        <v>383</v>
      </c>
      <c r="B528" s="35" t="s">
        <v>2226</v>
      </c>
      <c r="C528" s="187" t="s">
        <v>1703</v>
      </c>
      <c r="D528" s="187" t="s">
        <v>1569</v>
      </c>
      <c r="E528" s="187" t="s">
        <v>1622</v>
      </c>
      <c r="F528" s="187" t="s">
        <v>1570</v>
      </c>
      <c r="G528" s="187" t="s">
        <v>1571</v>
      </c>
      <c r="H528" s="185" t="s">
        <v>35</v>
      </c>
      <c r="I528" s="186" t="s">
        <v>36</v>
      </c>
      <c r="J528" s="56"/>
      <c r="K528" s="35" t="s">
        <v>36</v>
      </c>
    </row>
    <row r="529">
      <c r="A529" s="183" t="s">
        <v>383</v>
      </c>
      <c r="B529" s="35" t="s">
        <v>2227</v>
      </c>
      <c r="C529" s="187" t="s">
        <v>1705</v>
      </c>
      <c r="D529" s="187" t="s">
        <v>1574</v>
      </c>
      <c r="E529" s="187" t="s">
        <v>1622</v>
      </c>
      <c r="F529" s="187" t="s">
        <v>1575</v>
      </c>
      <c r="G529" s="187" t="s">
        <v>1576</v>
      </c>
      <c r="H529" s="185" t="s">
        <v>35</v>
      </c>
      <c r="I529" s="186" t="s">
        <v>111</v>
      </c>
      <c r="J529" s="35" t="s">
        <v>1577</v>
      </c>
      <c r="K529" s="35" t="s">
        <v>111</v>
      </c>
    </row>
    <row r="530">
      <c r="A530" s="183" t="s">
        <v>383</v>
      </c>
      <c r="B530" s="35" t="s">
        <v>2228</v>
      </c>
      <c r="C530" s="187" t="s">
        <v>1707</v>
      </c>
      <c r="D530" s="187" t="s">
        <v>1580</v>
      </c>
      <c r="E530" s="187" t="s">
        <v>1622</v>
      </c>
      <c r="F530" s="187" t="s">
        <v>1581</v>
      </c>
      <c r="G530" s="187" t="s">
        <v>1582</v>
      </c>
      <c r="H530" s="185" t="s">
        <v>35</v>
      </c>
      <c r="I530" s="186" t="s">
        <v>36</v>
      </c>
      <c r="J530" s="56"/>
      <c r="K530" s="35" t="s">
        <v>36</v>
      </c>
    </row>
    <row r="531">
      <c r="A531" s="183" t="s">
        <v>383</v>
      </c>
      <c r="B531" s="35" t="s">
        <v>2229</v>
      </c>
      <c r="C531" s="187" t="s">
        <v>1709</v>
      </c>
      <c r="D531" s="187" t="s">
        <v>1710</v>
      </c>
      <c r="E531" s="187" t="s">
        <v>1622</v>
      </c>
      <c r="F531" s="187" t="s">
        <v>1711</v>
      </c>
      <c r="G531" s="187" t="s">
        <v>1712</v>
      </c>
      <c r="H531" s="185" t="s">
        <v>35</v>
      </c>
      <c r="I531" s="186" t="s">
        <v>111</v>
      </c>
      <c r="J531" s="35" t="s">
        <v>1911</v>
      </c>
      <c r="K531" s="35" t="s">
        <v>111</v>
      </c>
    </row>
    <row r="532">
      <c r="A532" s="183" t="s">
        <v>383</v>
      </c>
      <c r="B532" s="35" t="s">
        <v>2230</v>
      </c>
      <c r="C532" s="187" t="s">
        <v>1714</v>
      </c>
      <c r="D532" s="187" t="s">
        <v>1715</v>
      </c>
      <c r="E532" s="187" t="s">
        <v>1716</v>
      </c>
      <c r="F532" s="187" t="s">
        <v>1717</v>
      </c>
      <c r="G532" s="187" t="s">
        <v>1718</v>
      </c>
      <c r="H532" s="185" t="s">
        <v>35</v>
      </c>
      <c r="I532" s="186" t="s">
        <v>111</v>
      </c>
      <c r="J532" s="35" t="s">
        <v>1913</v>
      </c>
      <c r="K532" s="35" t="s">
        <v>111</v>
      </c>
    </row>
    <row r="533">
      <c r="A533" s="183" t="s">
        <v>383</v>
      </c>
      <c r="B533" s="35" t="s">
        <v>2231</v>
      </c>
      <c r="C533" s="187" t="s">
        <v>1720</v>
      </c>
      <c r="D533" s="187" t="s">
        <v>1721</v>
      </c>
      <c r="E533" s="187" t="s">
        <v>1722</v>
      </c>
      <c r="F533" s="187" t="s">
        <v>1723</v>
      </c>
      <c r="G533" s="187" t="s">
        <v>1628</v>
      </c>
      <c r="H533" s="185" t="s">
        <v>35</v>
      </c>
      <c r="I533" s="186" t="s">
        <v>111</v>
      </c>
      <c r="J533" s="35" t="s">
        <v>1913</v>
      </c>
      <c r="K533" s="35" t="s">
        <v>111</v>
      </c>
    </row>
    <row r="534">
      <c r="A534" s="183" t="s">
        <v>413</v>
      </c>
      <c r="B534" s="35" t="s">
        <v>2232</v>
      </c>
      <c r="C534" s="35" t="s">
        <v>1438</v>
      </c>
      <c r="D534" s="35" t="s">
        <v>1439</v>
      </c>
      <c r="E534" s="184" t="s">
        <v>1440</v>
      </c>
      <c r="F534" s="183" t="s">
        <v>1441</v>
      </c>
      <c r="G534" s="35" t="s">
        <v>1442</v>
      </c>
      <c r="H534" s="185" t="s">
        <v>35</v>
      </c>
      <c r="I534" s="186" t="s">
        <v>36</v>
      </c>
      <c r="J534" s="56"/>
      <c r="K534" s="35" t="s">
        <v>36</v>
      </c>
    </row>
    <row r="535">
      <c r="A535" s="183" t="s">
        <v>413</v>
      </c>
      <c r="B535" s="35" t="s">
        <v>2233</v>
      </c>
      <c r="C535" s="187" t="s">
        <v>1446</v>
      </c>
      <c r="D535" s="187" t="s">
        <v>1447</v>
      </c>
      <c r="E535" s="187" t="s">
        <v>1448</v>
      </c>
      <c r="F535" s="187" t="s">
        <v>1449</v>
      </c>
      <c r="G535" s="187" t="s">
        <v>1450</v>
      </c>
      <c r="H535" s="185" t="s">
        <v>35</v>
      </c>
      <c r="I535" s="186" t="s">
        <v>36</v>
      </c>
      <c r="J535" s="56"/>
      <c r="K535" s="35" t="s">
        <v>36</v>
      </c>
    </row>
    <row r="536">
      <c r="A536" s="183" t="s">
        <v>413</v>
      </c>
      <c r="B536" s="35" t="s">
        <v>2234</v>
      </c>
      <c r="C536" s="187" t="s">
        <v>1453</v>
      </c>
      <c r="D536" s="187" t="s">
        <v>1454</v>
      </c>
      <c r="E536" s="187" t="s">
        <v>1448</v>
      </c>
      <c r="F536" s="187" t="s">
        <v>1455</v>
      </c>
      <c r="G536" s="187" t="s">
        <v>1456</v>
      </c>
      <c r="H536" s="185" t="s">
        <v>35</v>
      </c>
      <c r="I536" s="186" t="s">
        <v>36</v>
      </c>
      <c r="J536" s="56"/>
      <c r="K536" s="35" t="s">
        <v>36</v>
      </c>
    </row>
    <row r="537">
      <c r="A537" s="183" t="s">
        <v>413</v>
      </c>
      <c r="B537" s="35" t="s">
        <v>2235</v>
      </c>
      <c r="C537" s="187" t="s">
        <v>1459</v>
      </c>
      <c r="D537" s="187" t="s">
        <v>1460</v>
      </c>
      <c r="E537" s="187" t="s">
        <v>1448</v>
      </c>
      <c r="F537" s="187" t="s">
        <v>1461</v>
      </c>
      <c r="G537" s="187" t="s">
        <v>1462</v>
      </c>
      <c r="H537" s="185" t="s">
        <v>35</v>
      </c>
      <c r="I537" s="186" t="s">
        <v>36</v>
      </c>
      <c r="J537" s="56"/>
      <c r="K537" s="35" t="s">
        <v>36</v>
      </c>
    </row>
    <row r="538">
      <c r="A538" s="183" t="s">
        <v>413</v>
      </c>
      <c r="B538" s="35" t="s">
        <v>2236</v>
      </c>
      <c r="C538" s="183" t="s">
        <v>1465</v>
      </c>
      <c r="D538" s="183" t="s">
        <v>1466</v>
      </c>
      <c r="E538" s="187" t="s">
        <v>1448</v>
      </c>
      <c r="F538" s="183" t="s">
        <v>1467</v>
      </c>
      <c r="G538" s="183" t="s">
        <v>1468</v>
      </c>
      <c r="H538" s="185" t="s">
        <v>35</v>
      </c>
      <c r="I538" s="186" t="s">
        <v>111</v>
      </c>
      <c r="J538" s="35" t="s">
        <v>1469</v>
      </c>
      <c r="K538" s="35" t="s">
        <v>111</v>
      </c>
    </row>
    <row r="539">
      <c r="A539" s="183" t="s">
        <v>413</v>
      </c>
      <c r="B539" s="35" t="s">
        <v>2237</v>
      </c>
      <c r="C539" s="183" t="s">
        <v>1471</v>
      </c>
      <c r="D539" s="183" t="s">
        <v>1472</v>
      </c>
      <c r="E539" s="187" t="s">
        <v>1448</v>
      </c>
      <c r="F539" s="183" t="s">
        <v>1473</v>
      </c>
      <c r="G539" s="183" t="s">
        <v>1474</v>
      </c>
      <c r="H539" s="185" t="s">
        <v>35</v>
      </c>
      <c r="I539" s="186" t="s">
        <v>111</v>
      </c>
      <c r="J539" s="35" t="s">
        <v>1475</v>
      </c>
      <c r="K539" s="35" t="s">
        <v>111</v>
      </c>
    </row>
    <row r="540">
      <c r="A540" s="183" t="s">
        <v>413</v>
      </c>
      <c r="B540" s="35" t="s">
        <v>2238</v>
      </c>
      <c r="C540" s="183" t="s">
        <v>1477</v>
      </c>
      <c r="D540" s="183" t="s">
        <v>1478</v>
      </c>
      <c r="E540" s="187" t="s">
        <v>1448</v>
      </c>
      <c r="F540" s="183" t="s">
        <v>1479</v>
      </c>
      <c r="G540" s="183" t="s">
        <v>1468</v>
      </c>
      <c r="H540" s="185" t="s">
        <v>35</v>
      </c>
      <c r="I540" s="186" t="s">
        <v>111</v>
      </c>
      <c r="J540" s="35" t="s">
        <v>1469</v>
      </c>
      <c r="K540" s="35" t="s">
        <v>111</v>
      </c>
    </row>
    <row r="541">
      <c r="A541" s="183" t="s">
        <v>413</v>
      </c>
      <c r="B541" s="35" t="s">
        <v>2239</v>
      </c>
      <c r="C541" s="183" t="s">
        <v>1481</v>
      </c>
      <c r="D541" s="183" t="s">
        <v>1472</v>
      </c>
      <c r="E541" s="187" t="s">
        <v>1448</v>
      </c>
      <c r="F541" s="183" t="s">
        <v>1482</v>
      </c>
      <c r="G541" s="183" t="s">
        <v>1474</v>
      </c>
      <c r="H541" s="185" t="s">
        <v>35</v>
      </c>
      <c r="I541" s="186" t="s">
        <v>111</v>
      </c>
      <c r="J541" s="183" t="s">
        <v>1475</v>
      </c>
      <c r="K541" s="35" t="s">
        <v>111</v>
      </c>
    </row>
    <row r="542">
      <c r="A542" s="183" t="s">
        <v>413</v>
      </c>
      <c r="B542" s="35" t="s">
        <v>2240</v>
      </c>
      <c r="C542" s="183" t="s">
        <v>1484</v>
      </c>
      <c r="D542" s="183" t="s">
        <v>1472</v>
      </c>
      <c r="E542" s="187" t="s">
        <v>1448</v>
      </c>
      <c r="F542" s="183" t="s">
        <v>1485</v>
      </c>
      <c r="G542" s="183" t="s">
        <v>1486</v>
      </c>
      <c r="H542" s="185" t="s">
        <v>35</v>
      </c>
      <c r="I542" s="186" t="s">
        <v>111</v>
      </c>
      <c r="J542" s="183" t="s">
        <v>1475</v>
      </c>
      <c r="K542" s="35" t="s">
        <v>111</v>
      </c>
    </row>
    <row r="543">
      <c r="A543" s="183" t="s">
        <v>413</v>
      </c>
      <c r="B543" s="35" t="s">
        <v>2241</v>
      </c>
      <c r="C543" s="187" t="s">
        <v>1488</v>
      </c>
      <c r="D543" s="187" t="s">
        <v>1489</v>
      </c>
      <c r="E543" s="187" t="s">
        <v>1490</v>
      </c>
      <c r="F543" s="187" t="s">
        <v>1491</v>
      </c>
      <c r="G543" s="187" t="s">
        <v>1492</v>
      </c>
      <c r="H543" s="185" t="s">
        <v>35</v>
      </c>
      <c r="I543" s="186" t="s">
        <v>36</v>
      </c>
      <c r="J543" s="56"/>
      <c r="K543" s="35" t="s">
        <v>36</v>
      </c>
    </row>
    <row r="544">
      <c r="A544" s="183" t="s">
        <v>413</v>
      </c>
      <c r="B544" s="35" t="s">
        <v>2242</v>
      </c>
      <c r="C544" s="187" t="s">
        <v>1494</v>
      </c>
      <c r="D544" s="183" t="s">
        <v>1495</v>
      </c>
      <c r="E544" s="187" t="s">
        <v>1496</v>
      </c>
      <c r="F544" s="187" t="s">
        <v>1497</v>
      </c>
      <c r="G544" s="187" t="s">
        <v>1498</v>
      </c>
      <c r="H544" s="185" t="s">
        <v>35</v>
      </c>
      <c r="I544" s="186" t="s">
        <v>111</v>
      </c>
      <c r="J544" s="35" t="s">
        <v>1499</v>
      </c>
      <c r="K544" s="35" t="s">
        <v>111</v>
      </c>
    </row>
    <row r="545">
      <c r="A545" s="183" t="s">
        <v>413</v>
      </c>
      <c r="B545" s="35" t="s">
        <v>2243</v>
      </c>
      <c r="C545" s="187" t="s">
        <v>1501</v>
      </c>
      <c r="D545" s="187" t="s">
        <v>1502</v>
      </c>
      <c r="E545" s="187" t="s">
        <v>1503</v>
      </c>
      <c r="F545" s="187" t="s">
        <v>1491</v>
      </c>
      <c r="G545" s="187" t="s">
        <v>1504</v>
      </c>
      <c r="H545" s="185" t="s">
        <v>35</v>
      </c>
      <c r="I545" s="186" t="s">
        <v>36</v>
      </c>
      <c r="J545" s="56"/>
      <c r="K545" s="35" t="s">
        <v>36</v>
      </c>
    </row>
    <row r="546">
      <c r="A546" s="183" t="s">
        <v>413</v>
      </c>
      <c r="B546" s="35" t="s">
        <v>2244</v>
      </c>
      <c r="C546" s="187" t="s">
        <v>1506</v>
      </c>
      <c r="D546" s="187" t="s">
        <v>1507</v>
      </c>
      <c r="E546" s="187" t="s">
        <v>1508</v>
      </c>
      <c r="F546" s="187" t="s">
        <v>1491</v>
      </c>
      <c r="G546" s="187" t="s">
        <v>1509</v>
      </c>
      <c r="H546" s="185" t="s">
        <v>35</v>
      </c>
      <c r="I546" s="186" t="s">
        <v>36</v>
      </c>
      <c r="J546" s="56"/>
      <c r="K546" s="35" t="s">
        <v>36</v>
      </c>
    </row>
    <row r="547">
      <c r="A547" s="183" t="s">
        <v>413</v>
      </c>
      <c r="B547" s="35" t="s">
        <v>2245</v>
      </c>
      <c r="C547" s="187" t="s">
        <v>1511</v>
      </c>
      <c r="D547" s="187" t="s">
        <v>1512</v>
      </c>
      <c r="E547" s="187" t="s">
        <v>1513</v>
      </c>
      <c r="F547" s="187" t="s">
        <v>1491</v>
      </c>
      <c r="G547" s="187" t="s">
        <v>1514</v>
      </c>
      <c r="H547" s="185" t="s">
        <v>35</v>
      </c>
      <c r="I547" s="186" t="s">
        <v>36</v>
      </c>
      <c r="J547" s="56"/>
      <c r="K547" s="35" t="s">
        <v>36</v>
      </c>
    </row>
    <row r="548">
      <c r="A548" s="183" t="s">
        <v>413</v>
      </c>
      <c r="B548" s="35" t="s">
        <v>2246</v>
      </c>
      <c r="C548" s="187" t="s">
        <v>1516</v>
      </c>
      <c r="D548" s="187" t="s">
        <v>1517</v>
      </c>
      <c r="E548" s="187" t="s">
        <v>1518</v>
      </c>
      <c r="F548" s="187" t="s">
        <v>1519</v>
      </c>
      <c r="G548" s="187" t="s">
        <v>1520</v>
      </c>
      <c r="H548" s="185" t="s">
        <v>35</v>
      </c>
      <c r="I548" s="186" t="s">
        <v>111</v>
      </c>
      <c r="J548" s="35" t="s">
        <v>1521</v>
      </c>
      <c r="K548" s="35" t="s">
        <v>111</v>
      </c>
    </row>
    <row r="549">
      <c r="A549" s="183" t="s">
        <v>413</v>
      </c>
      <c r="B549" s="35" t="s">
        <v>2247</v>
      </c>
      <c r="C549" s="187" t="s">
        <v>1523</v>
      </c>
      <c r="D549" s="187" t="s">
        <v>1524</v>
      </c>
      <c r="E549" s="187" t="s">
        <v>1525</v>
      </c>
      <c r="F549" s="187" t="s">
        <v>1526</v>
      </c>
      <c r="G549" s="187" t="s">
        <v>1527</v>
      </c>
      <c r="H549" s="185" t="s">
        <v>35</v>
      </c>
      <c r="I549" s="186" t="s">
        <v>111</v>
      </c>
      <c r="J549" s="35" t="s">
        <v>1521</v>
      </c>
      <c r="K549" s="35" t="s">
        <v>111</v>
      </c>
    </row>
    <row r="550">
      <c r="A550" s="183" t="s">
        <v>413</v>
      </c>
      <c r="B550" s="35" t="s">
        <v>2248</v>
      </c>
      <c r="C550" s="187" t="s">
        <v>1529</v>
      </c>
      <c r="D550" s="187" t="s">
        <v>1530</v>
      </c>
      <c r="E550" s="187" t="s">
        <v>1531</v>
      </c>
      <c r="F550" s="187" t="s">
        <v>1532</v>
      </c>
      <c r="G550" s="187" t="s">
        <v>1533</v>
      </c>
      <c r="H550" s="185" t="s">
        <v>35</v>
      </c>
      <c r="I550" s="186" t="s">
        <v>111</v>
      </c>
      <c r="J550" s="35" t="s">
        <v>1521</v>
      </c>
      <c r="K550" s="35" t="s">
        <v>111</v>
      </c>
    </row>
    <row r="551">
      <c r="A551" s="183" t="s">
        <v>413</v>
      </c>
      <c r="B551" s="35" t="s">
        <v>2249</v>
      </c>
      <c r="C551" s="187" t="s">
        <v>1535</v>
      </c>
      <c r="D551" s="187" t="s">
        <v>1536</v>
      </c>
      <c r="E551" s="187" t="s">
        <v>1537</v>
      </c>
      <c r="F551" s="187" t="s">
        <v>1538</v>
      </c>
      <c r="G551" s="187" t="s">
        <v>1539</v>
      </c>
      <c r="H551" s="185" t="s">
        <v>35</v>
      </c>
      <c r="I551" s="186" t="s">
        <v>111</v>
      </c>
      <c r="J551" s="35" t="s">
        <v>1521</v>
      </c>
      <c r="K551" s="35" t="s">
        <v>111</v>
      </c>
    </row>
    <row r="552">
      <c r="A552" s="183" t="s">
        <v>413</v>
      </c>
      <c r="B552" s="35" t="s">
        <v>2250</v>
      </c>
      <c r="C552" s="187" t="s">
        <v>1541</v>
      </c>
      <c r="D552" s="187" t="s">
        <v>1542</v>
      </c>
      <c r="E552" s="187" t="s">
        <v>1543</v>
      </c>
      <c r="F552" s="187" t="s">
        <v>1544</v>
      </c>
      <c r="G552" s="187" t="s">
        <v>1545</v>
      </c>
      <c r="H552" s="185" t="s">
        <v>35</v>
      </c>
      <c r="I552" s="186" t="s">
        <v>36</v>
      </c>
      <c r="J552" s="56"/>
      <c r="K552" s="35" t="s">
        <v>36</v>
      </c>
    </row>
    <row r="553">
      <c r="A553" s="183" t="s">
        <v>413</v>
      </c>
      <c r="B553" s="35" t="s">
        <v>2251</v>
      </c>
      <c r="C553" s="187" t="s">
        <v>1547</v>
      </c>
      <c r="D553" s="187" t="s">
        <v>1548</v>
      </c>
      <c r="E553" s="187" t="s">
        <v>1448</v>
      </c>
      <c r="F553" s="187" t="s">
        <v>1549</v>
      </c>
      <c r="G553" s="187" t="s">
        <v>1550</v>
      </c>
      <c r="H553" s="185" t="s">
        <v>35</v>
      </c>
      <c r="I553" s="186" t="s">
        <v>36</v>
      </c>
      <c r="J553" s="56"/>
      <c r="K553" s="35" t="s">
        <v>36</v>
      </c>
    </row>
    <row r="554">
      <c r="A554" s="183" t="s">
        <v>413</v>
      </c>
      <c r="B554" s="35" t="s">
        <v>2252</v>
      </c>
      <c r="C554" s="187" t="s">
        <v>1552</v>
      </c>
      <c r="D554" s="187" t="s">
        <v>1553</v>
      </c>
      <c r="E554" s="187" t="s">
        <v>1448</v>
      </c>
      <c r="F554" s="187" t="s">
        <v>1554</v>
      </c>
      <c r="G554" s="187" t="s">
        <v>1555</v>
      </c>
      <c r="H554" s="185" t="s">
        <v>35</v>
      </c>
      <c r="I554" s="186" t="s">
        <v>111</v>
      </c>
      <c r="J554" s="35" t="s">
        <v>1556</v>
      </c>
      <c r="K554" s="35" t="s">
        <v>111</v>
      </c>
    </row>
    <row r="555">
      <c r="A555" s="183" t="s">
        <v>413</v>
      </c>
      <c r="B555" s="35" t="s">
        <v>2253</v>
      </c>
      <c r="C555" s="187" t="s">
        <v>1558</v>
      </c>
      <c r="D555" s="187" t="s">
        <v>1559</v>
      </c>
      <c r="E555" s="187" t="s">
        <v>1448</v>
      </c>
      <c r="F555" s="187" t="s">
        <v>1560</v>
      </c>
      <c r="G555" s="187" t="s">
        <v>1561</v>
      </c>
      <c r="H555" s="185" t="s">
        <v>35</v>
      </c>
      <c r="I555" s="186" t="s">
        <v>36</v>
      </c>
      <c r="J555" s="35"/>
      <c r="K555" s="35" t="s">
        <v>36</v>
      </c>
    </row>
    <row r="556">
      <c r="A556" s="183" t="s">
        <v>413</v>
      </c>
      <c r="B556" s="35" t="s">
        <v>2254</v>
      </c>
      <c r="C556" s="187" t="s">
        <v>1563</v>
      </c>
      <c r="D556" s="187" t="s">
        <v>1564</v>
      </c>
      <c r="E556" s="187" t="s">
        <v>1448</v>
      </c>
      <c r="F556" s="187" t="s">
        <v>1565</v>
      </c>
      <c r="G556" s="187" t="s">
        <v>1566</v>
      </c>
      <c r="H556" s="185" t="s">
        <v>35</v>
      </c>
      <c r="I556" s="186" t="s">
        <v>36</v>
      </c>
      <c r="J556" s="35"/>
      <c r="K556" s="35" t="s">
        <v>36</v>
      </c>
    </row>
    <row r="557">
      <c r="A557" s="183" t="s">
        <v>413</v>
      </c>
      <c r="B557" s="35" t="s">
        <v>2255</v>
      </c>
      <c r="C557" s="187" t="s">
        <v>1568</v>
      </c>
      <c r="D557" s="187" t="s">
        <v>1569</v>
      </c>
      <c r="E557" s="187" t="s">
        <v>1448</v>
      </c>
      <c r="F557" s="187" t="s">
        <v>1570</v>
      </c>
      <c r="G557" s="187" t="s">
        <v>1571</v>
      </c>
      <c r="H557" s="185" t="s">
        <v>35</v>
      </c>
      <c r="I557" s="186" t="s">
        <v>36</v>
      </c>
      <c r="J557" s="56"/>
      <c r="K557" s="35" t="s">
        <v>36</v>
      </c>
    </row>
    <row r="558">
      <c r="A558" s="183" t="s">
        <v>413</v>
      </c>
      <c r="B558" s="35" t="s">
        <v>2256</v>
      </c>
      <c r="C558" s="187" t="s">
        <v>1573</v>
      </c>
      <c r="D558" s="187" t="s">
        <v>1574</v>
      </c>
      <c r="E558" s="187" t="s">
        <v>1448</v>
      </c>
      <c r="F558" s="187" t="s">
        <v>1575</v>
      </c>
      <c r="G558" s="187" t="s">
        <v>1576</v>
      </c>
      <c r="H558" s="185" t="s">
        <v>35</v>
      </c>
      <c r="I558" s="186" t="s">
        <v>111</v>
      </c>
      <c r="J558" s="35" t="s">
        <v>1577</v>
      </c>
      <c r="K558" s="35" t="s">
        <v>111</v>
      </c>
    </row>
    <row r="559">
      <c r="A559" s="183" t="s">
        <v>413</v>
      </c>
      <c r="B559" s="35" t="s">
        <v>2257</v>
      </c>
      <c r="C559" s="187" t="s">
        <v>1579</v>
      </c>
      <c r="D559" s="187" t="s">
        <v>1580</v>
      </c>
      <c r="E559" s="187" t="s">
        <v>1448</v>
      </c>
      <c r="F559" s="187" t="s">
        <v>1581</v>
      </c>
      <c r="G559" s="187" t="s">
        <v>1582</v>
      </c>
      <c r="H559" s="185" t="s">
        <v>35</v>
      </c>
      <c r="I559" s="186" t="s">
        <v>36</v>
      </c>
      <c r="J559" s="56"/>
      <c r="K559" s="35" t="s">
        <v>36</v>
      </c>
    </row>
    <row r="560">
      <c r="A560" s="183" t="s">
        <v>413</v>
      </c>
      <c r="B560" s="35" t="s">
        <v>2258</v>
      </c>
      <c r="C560" s="187" t="s">
        <v>1584</v>
      </c>
      <c r="D560" s="187" t="s">
        <v>1585</v>
      </c>
      <c r="E560" s="187" t="s">
        <v>1586</v>
      </c>
      <c r="F560" s="187" t="s">
        <v>1587</v>
      </c>
      <c r="G560" s="187" t="s">
        <v>1588</v>
      </c>
      <c r="H560" s="185" t="s">
        <v>35</v>
      </c>
      <c r="I560" s="186" t="s">
        <v>36</v>
      </c>
      <c r="J560" s="56"/>
      <c r="K560" s="35" t="s">
        <v>36</v>
      </c>
    </row>
    <row r="561">
      <c r="A561" s="183" t="s">
        <v>413</v>
      </c>
      <c r="B561" s="35" t="s">
        <v>2259</v>
      </c>
      <c r="C561" s="187" t="s">
        <v>1590</v>
      </c>
      <c r="D561" s="187" t="s">
        <v>1591</v>
      </c>
      <c r="E561" s="187" t="s">
        <v>1592</v>
      </c>
      <c r="F561" s="187" t="s">
        <v>1593</v>
      </c>
      <c r="G561" s="187" t="s">
        <v>1594</v>
      </c>
      <c r="H561" s="185" t="s">
        <v>35</v>
      </c>
      <c r="I561" s="186" t="s">
        <v>111</v>
      </c>
      <c r="J561" s="35" t="s">
        <v>1595</v>
      </c>
      <c r="K561" s="35" t="s">
        <v>111</v>
      </c>
    </row>
    <row r="562">
      <c r="A562" s="183" t="s">
        <v>413</v>
      </c>
      <c r="B562" s="35" t="s">
        <v>2260</v>
      </c>
      <c r="C562" s="187" t="s">
        <v>1597</v>
      </c>
      <c r="D562" s="187" t="s">
        <v>1598</v>
      </c>
      <c r="E562" s="187" t="s">
        <v>1599</v>
      </c>
      <c r="F562" s="187" t="s">
        <v>1600</v>
      </c>
      <c r="G562" s="187" t="s">
        <v>1601</v>
      </c>
      <c r="H562" s="185" t="s">
        <v>35</v>
      </c>
      <c r="I562" s="186" t="s">
        <v>111</v>
      </c>
      <c r="J562" s="35" t="s">
        <v>1944</v>
      </c>
      <c r="K562" s="35" t="s">
        <v>111</v>
      </c>
    </row>
    <row r="563">
      <c r="A563" s="183" t="s">
        <v>413</v>
      </c>
      <c r="B563" s="35" t="s">
        <v>2261</v>
      </c>
      <c r="C563" s="187" t="s">
        <v>1603</v>
      </c>
      <c r="D563" s="187" t="s">
        <v>1604</v>
      </c>
      <c r="E563" s="187" t="s">
        <v>1605</v>
      </c>
      <c r="F563" s="187" t="s">
        <v>1606</v>
      </c>
      <c r="G563" s="187" t="s">
        <v>1607</v>
      </c>
      <c r="H563" s="185" t="s">
        <v>35</v>
      </c>
      <c r="I563" s="186" t="s">
        <v>36</v>
      </c>
      <c r="J563" s="35"/>
      <c r="K563" s="35" t="s">
        <v>36</v>
      </c>
    </row>
    <row r="564">
      <c r="A564" s="183" t="s">
        <v>413</v>
      </c>
      <c r="B564" s="35" t="s">
        <v>2262</v>
      </c>
      <c r="C564" s="187" t="s">
        <v>1609</v>
      </c>
      <c r="D564" s="187" t="s">
        <v>1610</v>
      </c>
      <c r="E564" s="187" t="s">
        <v>1611</v>
      </c>
      <c r="F564" s="187" t="s">
        <v>1612</v>
      </c>
      <c r="G564" s="187" t="s">
        <v>1613</v>
      </c>
      <c r="H564" s="185" t="s">
        <v>35</v>
      </c>
      <c r="I564" s="186" t="s">
        <v>36</v>
      </c>
      <c r="J564" s="56"/>
      <c r="K564" s="35" t="s">
        <v>36</v>
      </c>
    </row>
    <row r="565">
      <c r="A565" s="183" t="s">
        <v>413</v>
      </c>
      <c r="B565" s="35" t="s">
        <v>2263</v>
      </c>
      <c r="C565" s="187" t="s">
        <v>1615</v>
      </c>
      <c r="D565" s="187" t="s">
        <v>1616</v>
      </c>
      <c r="E565" s="187" t="s">
        <v>1611</v>
      </c>
      <c r="F565" s="187" t="s">
        <v>1617</v>
      </c>
      <c r="G565" s="187" t="s">
        <v>1618</v>
      </c>
      <c r="H565" s="185" t="s">
        <v>35</v>
      </c>
      <c r="I565" s="186" t="s">
        <v>36</v>
      </c>
      <c r="J565" s="56"/>
      <c r="K565" s="35" t="s">
        <v>36</v>
      </c>
    </row>
    <row r="566">
      <c r="A566" s="183" t="s">
        <v>413</v>
      </c>
      <c r="B566" s="35" t="s">
        <v>2264</v>
      </c>
      <c r="C566" s="187" t="s">
        <v>1620</v>
      </c>
      <c r="D566" s="187" t="s">
        <v>1621</v>
      </c>
      <c r="E566" s="187" t="s">
        <v>1622</v>
      </c>
      <c r="F566" s="187" t="s">
        <v>1623</v>
      </c>
      <c r="G566" s="187" t="s">
        <v>1624</v>
      </c>
      <c r="H566" s="185" t="s">
        <v>35</v>
      </c>
      <c r="I566" s="186" t="s">
        <v>36</v>
      </c>
      <c r="J566" s="56"/>
      <c r="K566" s="35" t="s">
        <v>36</v>
      </c>
    </row>
    <row r="567">
      <c r="A567" s="183" t="s">
        <v>413</v>
      </c>
      <c r="B567" s="35" t="s">
        <v>2265</v>
      </c>
      <c r="C567" s="187" t="s">
        <v>1626</v>
      </c>
      <c r="D567" s="187" t="s">
        <v>1627</v>
      </c>
      <c r="E567" s="187" t="s">
        <v>1622</v>
      </c>
      <c r="F567" s="187" t="s">
        <v>1549</v>
      </c>
      <c r="G567" s="187" t="s">
        <v>1628</v>
      </c>
      <c r="H567" s="185" t="s">
        <v>35</v>
      </c>
      <c r="I567" s="186" t="s">
        <v>36</v>
      </c>
      <c r="J567" s="56"/>
      <c r="K567" s="35" t="s">
        <v>36</v>
      </c>
    </row>
    <row r="568">
      <c r="A568" s="183" t="s">
        <v>413</v>
      </c>
      <c r="B568" s="35" t="s">
        <v>2266</v>
      </c>
      <c r="C568" s="187" t="s">
        <v>1630</v>
      </c>
      <c r="D568" s="187" t="s">
        <v>1631</v>
      </c>
      <c r="E568" s="187" t="s">
        <v>1632</v>
      </c>
      <c r="F568" s="187" t="s">
        <v>1633</v>
      </c>
      <c r="G568" s="187" t="s">
        <v>1634</v>
      </c>
      <c r="H568" s="185" t="s">
        <v>35</v>
      </c>
      <c r="I568" s="186" t="s">
        <v>36</v>
      </c>
      <c r="J568" s="56"/>
      <c r="K568" s="35" t="s">
        <v>36</v>
      </c>
    </row>
    <row r="569">
      <c r="A569" s="183" t="s">
        <v>413</v>
      </c>
      <c r="B569" s="35" t="s">
        <v>2267</v>
      </c>
      <c r="C569" s="187" t="s">
        <v>1636</v>
      </c>
      <c r="D569" s="187" t="s">
        <v>1637</v>
      </c>
      <c r="E569" s="187" t="s">
        <v>1638</v>
      </c>
      <c r="F569" s="187" t="s">
        <v>1639</v>
      </c>
      <c r="G569" s="187" t="s">
        <v>1588</v>
      </c>
      <c r="H569" s="185" t="s">
        <v>35</v>
      </c>
      <c r="I569" s="186" t="s">
        <v>36</v>
      </c>
      <c r="J569" s="56"/>
      <c r="K569" s="35" t="s">
        <v>36</v>
      </c>
    </row>
    <row r="570">
      <c r="A570" s="183" t="s">
        <v>413</v>
      </c>
      <c r="B570" s="35" t="s">
        <v>2268</v>
      </c>
      <c r="C570" s="187" t="s">
        <v>1641</v>
      </c>
      <c r="D570" s="187" t="s">
        <v>1642</v>
      </c>
      <c r="E570" s="187" t="s">
        <v>1638</v>
      </c>
      <c r="F570" s="187" t="s">
        <v>1643</v>
      </c>
      <c r="G570" s="187" t="s">
        <v>1594</v>
      </c>
      <c r="H570" s="185" t="s">
        <v>35</v>
      </c>
      <c r="I570" s="186" t="s">
        <v>111</v>
      </c>
      <c r="J570" s="35" t="s">
        <v>1595</v>
      </c>
      <c r="K570" s="35" t="s">
        <v>111</v>
      </c>
    </row>
    <row r="571">
      <c r="A571" s="183" t="s">
        <v>413</v>
      </c>
      <c r="B571" s="35" t="s">
        <v>2269</v>
      </c>
      <c r="C571" s="187" t="s">
        <v>1645</v>
      </c>
      <c r="D571" s="187" t="s">
        <v>1646</v>
      </c>
      <c r="E571" s="187" t="s">
        <v>1638</v>
      </c>
      <c r="F571" s="187" t="s">
        <v>1647</v>
      </c>
      <c r="G571" s="187" t="s">
        <v>1601</v>
      </c>
      <c r="H571" s="185" t="s">
        <v>35</v>
      </c>
      <c r="I571" s="186" t="s">
        <v>111</v>
      </c>
      <c r="J571" s="35" t="s">
        <v>1944</v>
      </c>
      <c r="K571" s="35" t="s">
        <v>111</v>
      </c>
    </row>
    <row r="572">
      <c r="A572" s="183" t="s">
        <v>413</v>
      </c>
      <c r="B572" s="35" t="s">
        <v>2270</v>
      </c>
      <c r="C572" s="187" t="s">
        <v>1649</v>
      </c>
      <c r="D572" s="187" t="s">
        <v>1650</v>
      </c>
      <c r="E572" s="187" t="s">
        <v>1638</v>
      </c>
      <c r="F572" s="187" t="s">
        <v>1554</v>
      </c>
      <c r="G572" s="187" t="s">
        <v>1651</v>
      </c>
      <c r="H572" s="185" t="s">
        <v>35</v>
      </c>
      <c r="I572" s="186" t="s">
        <v>111</v>
      </c>
      <c r="J572" s="56"/>
      <c r="K572" s="35" t="s">
        <v>111</v>
      </c>
    </row>
    <row r="573">
      <c r="A573" s="183" t="s">
        <v>413</v>
      </c>
      <c r="B573" s="35" t="s">
        <v>2271</v>
      </c>
      <c r="C573" s="187" t="s">
        <v>1653</v>
      </c>
      <c r="D573" s="187" t="s">
        <v>1654</v>
      </c>
      <c r="E573" s="187" t="s">
        <v>1638</v>
      </c>
      <c r="F573" s="187" t="s">
        <v>1560</v>
      </c>
      <c r="G573" s="187" t="s">
        <v>1561</v>
      </c>
      <c r="H573" s="185" t="s">
        <v>35</v>
      </c>
      <c r="I573" s="186" t="s">
        <v>36</v>
      </c>
      <c r="J573" s="56"/>
      <c r="K573" s="35" t="s">
        <v>36</v>
      </c>
    </row>
    <row r="574">
      <c r="A574" s="183" t="s">
        <v>413</v>
      </c>
      <c r="B574" s="35" t="s">
        <v>2272</v>
      </c>
      <c r="C574" s="187" t="s">
        <v>1656</v>
      </c>
      <c r="D574" s="187" t="s">
        <v>1564</v>
      </c>
      <c r="E574" s="187" t="s">
        <v>1638</v>
      </c>
      <c r="F574" s="187" t="s">
        <v>1657</v>
      </c>
      <c r="G574" s="187" t="s">
        <v>1566</v>
      </c>
      <c r="H574" s="185" t="s">
        <v>35</v>
      </c>
      <c r="I574" s="186" t="s">
        <v>36</v>
      </c>
      <c r="J574" s="56"/>
      <c r="K574" s="35" t="s">
        <v>36</v>
      </c>
    </row>
    <row r="575">
      <c r="A575" s="183" t="s">
        <v>413</v>
      </c>
      <c r="B575" s="35" t="s">
        <v>2273</v>
      </c>
      <c r="C575" s="187" t="s">
        <v>1659</v>
      </c>
      <c r="D575" s="187" t="s">
        <v>1569</v>
      </c>
      <c r="E575" s="187" t="s">
        <v>1638</v>
      </c>
      <c r="F575" s="187" t="s">
        <v>1570</v>
      </c>
      <c r="G575" s="187" t="s">
        <v>1571</v>
      </c>
      <c r="H575" s="185" t="s">
        <v>35</v>
      </c>
      <c r="I575" s="186" t="s">
        <v>36</v>
      </c>
      <c r="J575" s="56"/>
      <c r="K575" s="35" t="s">
        <v>36</v>
      </c>
    </row>
    <row r="576">
      <c r="A576" s="183" t="s">
        <v>413</v>
      </c>
      <c r="B576" s="35" t="s">
        <v>2274</v>
      </c>
      <c r="C576" s="187" t="s">
        <v>1661</v>
      </c>
      <c r="D576" s="187" t="s">
        <v>1574</v>
      </c>
      <c r="E576" s="187" t="s">
        <v>1638</v>
      </c>
      <c r="F576" s="187" t="s">
        <v>1575</v>
      </c>
      <c r="G576" s="187" t="s">
        <v>1576</v>
      </c>
      <c r="H576" s="185" t="s">
        <v>35</v>
      </c>
      <c r="I576" s="186" t="s">
        <v>111</v>
      </c>
      <c r="J576" s="35" t="s">
        <v>1577</v>
      </c>
      <c r="K576" s="35" t="s">
        <v>111</v>
      </c>
    </row>
    <row r="577">
      <c r="A577" s="183" t="s">
        <v>413</v>
      </c>
      <c r="B577" s="35" t="s">
        <v>2275</v>
      </c>
      <c r="C577" s="187" t="s">
        <v>1663</v>
      </c>
      <c r="D577" s="187" t="s">
        <v>1580</v>
      </c>
      <c r="E577" s="187" t="s">
        <v>1638</v>
      </c>
      <c r="F577" s="187" t="s">
        <v>1581</v>
      </c>
      <c r="G577" s="187" t="s">
        <v>1582</v>
      </c>
      <c r="H577" s="185" t="s">
        <v>35</v>
      </c>
      <c r="I577" s="186" t="s">
        <v>111</v>
      </c>
      <c r="J577" s="35" t="s">
        <v>1664</v>
      </c>
      <c r="K577" s="35" t="s">
        <v>111</v>
      </c>
    </row>
    <row r="578">
      <c r="A578" s="183" t="s">
        <v>413</v>
      </c>
      <c r="B578" s="35" t="s">
        <v>2276</v>
      </c>
      <c r="C578" s="187" t="s">
        <v>1666</v>
      </c>
      <c r="D578" s="187" t="s">
        <v>1667</v>
      </c>
      <c r="E578" s="187" t="s">
        <v>1668</v>
      </c>
      <c r="F578" s="187" t="s">
        <v>1669</v>
      </c>
      <c r="G578" s="187" t="s">
        <v>1670</v>
      </c>
      <c r="H578" s="185" t="s">
        <v>35</v>
      </c>
      <c r="I578" s="186" t="s">
        <v>36</v>
      </c>
      <c r="J578" s="56"/>
      <c r="K578" s="35" t="s">
        <v>36</v>
      </c>
    </row>
    <row r="579">
      <c r="A579" s="183" t="s">
        <v>413</v>
      </c>
      <c r="B579" s="35" t="s">
        <v>2277</v>
      </c>
      <c r="C579" s="187" t="s">
        <v>1672</v>
      </c>
      <c r="D579" s="187" t="s">
        <v>1673</v>
      </c>
      <c r="E579" s="187" t="s">
        <v>1674</v>
      </c>
      <c r="F579" s="187" t="s">
        <v>1675</v>
      </c>
      <c r="G579" s="187" t="s">
        <v>1962</v>
      </c>
      <c r="H579" s="185" t="s">
        <v>35</v>
      </c>
      <c r="I579" s="186" t="s">
        <v>36</v>
      </c>
      <c r="J579" s="56"/>
      <c r="K579" s="35" t="s">
        <v>36</v>
      </c>
    </row>
    <row r="580">
      <c r="A580" s="183" t="s">
        <v>413</v>
      </c>
      <c r="B580" s="35" t="s">
        <v>2278</v>
      </c>
      <c r="C580" s="187" t="s">
        <v>1678</v>
      </c>
      <c r="D580" s="187" t="s">
        <v>1679</v>
      </c>
      <c r="E580" s="187" t="s">
        <v>1680</v>
      </c>
      <c r="F580" s="187" t="s">
        <v>1681</v>
      </c>
      <c r="G580" s="187" t="s">
        <v>1682</v>
      </c>
      <c r="H580" s="185" t="s">
        <v>35</v>
      </c>
      <c r="I580" s="186" t="s">
        <v>36</v>
      </c>
      <c r="J580" s="56"/>
      <c r="K580" s="35" t="s">
        <v>36</v>
      </c>
    </row>
    <row r="581">
      <c r="A581" s="183" t="s">
        <v>413</v>
      </c>
      <c r="B581" s="35" t="s">
        <v>2279</v>
      </c>
      <c r="C581" s="187" t="s">
        <v>1684</v>
      </c>
      <c r="D581" s="187" t="s">
        <v>1679</v>
      </c>
      <c r="E581" s="187" t="s">
        <v>1680</v>
      </c>
      <c r="F581" s="187" t="s">
        <v>1681</v>
      </c>
      <c r="G581" s="187" t="s">
        <v>1682</v>
      </c>
      <c r="H581" s="185" t="s">
        <v>35</v>
      </c>
      <c r="I581" s="186" t="s">
        <v>36</v>
      </c>
      <c r="J581" s="56"/>
      <c r="K581" s="35" t="s">
        <v>36</v>
      </c>
    </row>
    <row r="582">
      <c r="A582" s="183" t="s">
        <v>413</v>
      </c>
      <c r="B582" s="35" t="s">
        <v>2280</v>
      </c>
      <c r="C582" s="187" t="s">
        <v>1686</v>
      </c>
      <c r="D582" s="187" t="s">
        <v>1687</v>
      </c>
      <c r="E582" s="187" t="s">
        <v>1688</v>
      </c>
      <c r="F582" s="187" t="s">
        <v>1689</v>
      </c>
      <c r="G582" s="187" t="s">
        <v>1690</v>
      </c>
      <c r="H582" s="185" t="s">
        <v>35</v>
      </c>
      <c r="I582" s="186" t="s">
        <v>36</v>
      </c>
      <c r="J582" s="56"/>
      <c r="K582" s="35" t="s">
        <v>36</v>
      </c>
    </row>
    <row r="583">
      <c r="A583" s="183" t="s">
        <v>413</v>
      </c>
      <c r="B583" s="35" t="s">
        <v>2281</v>
      </c>
      <c r="C583" s="187" t="s">
        <v>1692</v>
      </c>
      <c r="D583" s="187" t="s">
        <v>1693</v>
      </c>
      <c r="E583" s="187" t="s">
        <v>1694</v>
      </c>
      <c r="F583" s="187" t="s">
        <v>1554</v>
      </c>
      <c r="G583" s="187" t="s">
        <v>1555</v>
      </c>
      <c r="H583" s="185" t="s">
        <v>35</v>
      </c>
      <c r="I583" s="186" t="s">
        <v>111</v>
      </c>
      <c r="J583" s="35" t="s">
        <v>1556</v>
      </c>
      <c r="K583" s="35" t="s">
        <v>111</v>
      </c>
    </row>
    <row r="584">
      <c r="A584" s="183" t="s">
        <v>413</v>
      </c>
      <c r="B584" s="35" t="s">
        <v>2282</v>
      </c>
      <c r="C584" s="187" t="s">
        <v>1696</v>
      </c>
      <c r="D584" s="187" t="s">
        <v>1564</v>
      </c>
      <c r="E584" s="187" t="s">
        <v>1697</v>
      </c>
      <c r="F584" s="187" t="s">
        <v>1657</v>
      </c>
      <c r="G584" s="187" t="s">
        <v>1566</v>
      </c>
      <c r="H584" s="185" t="s">
        <v>35</v>
      </c>
      <c r="I584" s="186" t="s">
        <v>36</v>
      </c>
      <c r="J584" s="56"/>
      <c r="K584" s="35" t="s">
        <v>36</v>
      </c>
    </row>
    <row r="585">
      <c r="A585" s="183" t="s">
        <v>413</v>
      </c>
      <c r="B585" s="35" t="s">
        <v>2283</v>
      </c>
      <c r="C585" s="187" t="s">
        <v>1699</v>
      </c>
      <c r="D585" s="187" t="s">
        <v>1700</v>
      </c>
      <c r="E585" s="187" t="s">
        <v>1701</v>
      </c>
      <c r="F585" s="187" t="s">
        <v>1560</v>
      </c>
      <c r="G585" s="187" t="s">
        <v>1561</v>
      </c>
      <c r="H585" s="185" t="s">
        <v>35</v>
      </c>
      <c r="I585" s="186" t="s">
        <v>36</v>
      </c>
      <c r="J585" s="35"/>
      <c r="K585" s="35" t="s">
        <v>36</v>
      </c>
    </row>
    <row r="586">
      <c r="A586" s="183" t="s">
        <v>413</v>
      </c>
      <c r="B586" s="35" t="s">
        <v>2284</v>
      </c>
      <c r="C586" s="187" t="s">
        <v>1703</v>
      </c>
      <c r="D586" s="187" t="s">
        <v>1569</v>
      </c>
      <c r="E586" s="187" t="s">
        <v>1622</v>
      </c>
      <c r="F586" s="187" t="s">
        <v>1570</v>
      </c>
      <c r="G586" s="187" t="s">
        <v>1571</v>
      </c>
      <c r="H586" s="185" t="s">
        <v>35</v>
      </c>
      <c r="I586" s="186" t="s">
        <v>36</v>
      </c>
      <c r="J586" s="56"/>
      <c r="K586" s="35" t="s">
        <v>36</v>
      </c>
    </row>
    <row r="587">
      <c r="A587" s="183" t="s">
        <v>413</v>
      </c>
      <c r="B587" s="35" t="s">
        <v>2285</v>
      </c>
      <c r="C587" s="187" t="s">
        <v>1705</v>
      </c>
      <c r="D587" s="187" t="s">
        <v>1574</v>
      </c>
      <c r="E587" s="187" t="s">
        <v>1622</v>
      </c>
      <c r="F587" s="187" t="s">
        <v>1575</v>
      </c>
      <c r="G587" s="187" t="s">
        <v>1576</v>
      </c>
      <c r="H587" s="185" t="s">
        <v>35</v>
      </c>
      <c r="I587" s="186" t="s">
        <v>111</v>
      </c>
      <c r="J587" s="35" t="s">
        <v>1577</v>
      </c>
      <c r="K587" s="35" t="s">
        <v>111</v>
      </c>
    </row>
    <row r="588">
      <c r="A588" s="183" t="s">
        <v>413</v>
      </c>
      <c r="B588" s="35" t="s">
        <v>2286</v>
      </c>
      <c r="C588" s="187" t="s">
        <v>1707</v>
      </c>
      <c r="D588" s="187" t="s">
        <v>1580</v>
      </c>
      <c r="E588" s="187" t="s">
        <v>1622</v>
      </c>
      <c r="F588" s="187" t="s">
        <v>1581</v>
      </c>
      <c r="G588" s="187" t="s">
        <v>1582</v>
      </c>
      <c r="H588" s="185" t="s">
        <v>35</v>
      </c>
      <c r="I588" s="186" t="s">
        <v>36</v>
      </c>
      <c r="J588" s="56"/>
      <c r="K588" s="35" t="s">
        <v>36</v>
      </c>
    </row>
    <row r="589">
      <c r="A589" s="183" t="s">
        <v>413</v>
      </c>
      <c r="B589" s="35" t="s">
        <v>2287</v>
      </c>
      <c r="C589" s="187" t="s">
        <v>1709</v>
      </c>
      <c r="D589" s="187" t="s">
        <v>1710</v>
      </c>
      <c r="E589" s="187" t="s">
        <v>1622</v>
      </c>
      <c r="F589" s="187" t="s">
        <v>1711</v>
      </c>
      <c r="G589" s="187" t="s">
        <v>1712</v>
      </c>
      <c r="H589" s="185" t="s">
        <v>35</v>
      </c>
      <c r="I589" s="186" t="s">
        <v>36</v>
      </c>
      <c r="J589" s="56"/>
      <c r="K589" s="35" t="s">
        <v>36</v>
      </c>
    </row>
    <row r="590">
      <c r="A590" s="183" t="s">
        <v>413</v>
      </c>
      <c r="B590" s="35" t="s">
        <v>2288</v>
      </c>
      <c r="C590" s="187" t="s">
        <v>1714</v>
      </c>
      <c r="D590" s="187" t="s">
        <v>1715</v>
      </c>
      <c r="E590" s="187" t="s">
        <v>1716</v>
      </c>
      <c r="F590" s="187" t="s">
        <v>1717</v>
      </c>
      <c r="G590" s="187" t="s">
        <v>1718</v>
      </c>
      <c r="H590" s="185" t="s">
        <v>35</v>
      </c>
      <c r="I590" s="186" t="s">
        <v>36</v>
      </c>
      <c r="J590" s="56"/>
      <c r="K590" s="35" t="s">
        <v>36</v>
      </c>
    </row>
    <row r="591">
      <c r="A591" s="183" t="s">
        <v>413</v>
      </c>
      <c r="B591" s="35" t="s">
        <v>2289</v>
      </c>
      <c r="C591" s="187" t="s">
        <v>1720</v>
      </c>
      <c r="D591" s="187" t="s">
        <v>1721</v>
      </c>
      <c r="E591" s="187" t="s">
        <v>1722</v>
      </c>
      <c r="F591" s="187" t="s">
        <v>1723</v>
      </c>
      <c r="G591" s="187" t="s">
        <v>1628</v>
      </c>
      <c r="H591" s="185" t="s">
        <v>35</v>
      </c>
      <c r="I591" s="186" t="s">
        <v>36</v>
      </c>
      <c r="J591" s="56"/>
      <c r="K591" s="35" t="s">
        <v>36</v>
      </c>
    </row>
    <row r="592">
      <c r="A592" s="35" t="s">
        <v>413</v>
      </c>
      <c r="B592" s="35" t="s">
        <v>2290</v>
      </c>
      <c r="C592" s="183" t="s">
        <v>1438</v>
      </c>
      <c r="D592" s="183" t="s">
        <v>1976</v>
      </c>
      <c r="E592" s="183" t="s">
        <v>1977</v>
      </c>
      <c r="F592" s="183" t="s">
        <v>1978</v>
      </c>
      <c r="G592" s="183" t="s">
        <v>1979</v>
      </c>
      <c r="H592" s="185" t="s">
        <v>35</v>
      </c>
      <c r="I592" s="186" t="s">
        <v>111</v>
      </c>
      <c r="J592" s="35" t="s">
        <v>1980</v>
      </c>
      <c r="K592" s="35" t="s">
        <v>111</v>
      </c>
    </row>
    <row r="593">
      <c r="A593" s="35" t="s">
        <v>413</v>
      </c>
      <c r="B593" s="35" t="s">
        <v>2291</v>
      </c>
      <c r="C593" s="183" t="s">
        <v>1982</v>
      </c>
      <c r="D593" s="183" t="s">
        <v>1983</v>
      </c>
      <c r="E593" s="183" t="s">
        <v>1984</v>
      </c>
      <c r="F593" s="183" t="s">
        <v>1985</v>
      </c>
      <c r="G593" s="183" t="s">
        <v>1986</v>
      </c>
      <c r="H593" s="185" t="s">
        <v>35</v>
      </c>
      <c r="I593" s="186" t="s">
        <v>36</v>
      </c>
      <c r="J593" s="56"/>
      <c r="K593" s="35" t="s">
        <v>111</v>
      </c>
    </row>
    <row r="594">
      <c r="A594" s="35" t="s">
        <v>413</v>
      </c>
      <c r="B594" s="35" t="s">
        <v>2292</v>
      </c>
      <c r="C594" s="183" t="s">
        <v>1988</v>
      </c>
      <c r="D594" s="183" t="s">
        <v>1989</v>
      </c>
      <c r="E594" s="183" t="s">
        <v>1990</v>
      </c>
      <c r="F594" s="183" t="s">
        <v>1991</v>
      </c>
      <c r="G594" s="183" t="s">
        <v>1992</v>
      </c>
      <c r="H594" s="185" t="s">
        <v>35</v>
      </c>
      <c r="I594" s="186" t="s">
        <v>36</v>
      </c>
      <c r="J594" s="56"/>
      <c r="K594" s="35" t="s">
        <v>111</v>
      </c>
    </row>
    <row r="595">
      <c r="A595" s="35" t="s">
        <v>413</v>
      </c>
      <c r="B595" s="35" t="s">
        <v>2293</v>
      </c>
      <c r="C595" s="183" t="s">
        <v>1994</v>
      </c>
      <c r="D595" s="183" t="s">
        <v>1995</v>
      </c>
      <c r="E595" s="183" t="s">
        <v>1996</v>
      </c>
      <c r="F595" s="183" t="s">
        <v>1997</v>
      </c>
      <c r="G595" s="183" t="s">
        <v>1998</v>
      </c>
      <c r="H595" s="185" t="s">
        <v>35</v>
      </c>
      <c r="I595" s="186" t="s">
        <v>36</v>
      </c>
      <c r="J595" s="56"/>
      <c r="K595" s="35" t="s">
        <v>111</v>
      </c>
    </row>
    <row r="596" ht="34.5" customHeight="1">
      <c r="A596" s="180" t="s">
        <v>188</v>
      </c>
      <c r="B596" s="181"/>
      <c r="C596" s="181"/>
      <c r="D596" s="181"/>
      <c r="E596" s="181"/>
      <c r="F596" s="181"/>
      <c r="G596" s="181"/>
      <c r="H596" s="181"/>
      <c r="I596" s="181"/>
      <c r="J596" s="181"/>
      <c r="K596" s="182"/>
    </row>
    <row r="597">
      <c r="A597" s="183" t="s">
        <v>195</v>
      </c>
      <c r="B597" s="35" t="s">
        <v>2293</v>
      </c>
      <c r="C597" s="35" t="s">
        <v>1438</v>
      </c>
      <c r="D597" s="35" t="s">
        <v>1439</v>
      </c>
      <c r="E597" s="184" t="s">
        <v>1440</v>
      </c>
      <c r="F597" s="183" t="s">
        <v>1441</v>
      </c>
      <c r="G597" s="35" t="s">
        <v>1442</v>
      </c>
      <c r="H597" s="185" t="s">
        <v>189</v>
      </c>
      <c r="I597" s="186" t="s">
        <v>36</v>
      </c>
      <c r="J597" s="56"/>
      <c r="K597" s="35" t="s">
        <v>36</v>
      </c>
    </row>
    <row r="598">
      <c r="A598" s="183" t="s">
        <v>195</v>
      </c>
      <c r="B598" s="35" t="s">
        <v>2294</v>
      </c>
      <c r="C598" s="187" t="s">
        <v>1446</v>
      </c>
      <c r="D598" s="187" t="s">
        <v>1447</v>
      </c>
      <c r="E598" s="187" t="s">
        <v>1448</v>
      </c>
      <c r="F598" s="187" t="s">
        <v>1449</v>
      </c>
      <c r="G598" s="187" t="s">
        <v>1450</v>
      </c>
      <c r="H598" s="185" t="s">
        <v>189</v>
      </c>
      <c r="I598" s="186" t="s">
        <v>36</v>
      </c>
      <c r="J598" s="56"/>
      <c r="K598" s="35" t="s">
        <v>36</v>
      </c>
    </row>
    <row r="599">
      <c r="A599" s="183" t="s">
        <v>195</v>
      </c>
      <c r="B599" s="35" t="s">
        <v>2295</v>
      </c>
      <c r="C599" s="187" t="s">
        <v>1453</v>
      </c>
      <c r="D599" s="187" t="s">
        <v>1454</v>
      </c>
      <c r="E599" s="187" t="s">
        <v>1448</v>
      </c>
      <c r="F599" s="187" t="s">
        <v>1455</v>
      </c>
      <c r="G599" s="187" t="s">
        <v>1456</v>
      </c>
      <c r="H599" s="185" t="s">
        <v>189</v>
      </c>
      <c r="I599" s="186" t="s">
        <v>36</v>
      </c>
      <c r="J599" s="56"/>
      <c r="K599" s="35" t="s">
        <v>36</v>
      </c>
    </row>
    <row r="600">
      <c r="A600" s="183" t="s">
        <v>195</v>
      </c>
      <c r="B600" s="35" t="s">
        <v>2296</v>
      </c>
      <c r="C600" s="187" t="s">
        <v>1459</v>
      </c>
      <c r="D600" s="187" t="s">
        <v>1460</v>
      </c>
      <c r="E600" s="187" t="s">
        <v>1448</v>
      </c>
      <c r="F600" s="187" t="s">
        <v>1461</v>
      </c>
      <c r="G600" s="187" t="s">
        <v>1462</v>
      </c>
      <c r="H600" s="185" t="s">
        <v>189</v>
      </c>
      <c r="I600" s="186" t="s">
        <v>36</v>
      </c>
      <c r="J600" s="56"/>
      <c r="K600" s="35" t="s">
        <v>36</v>
      </c>
    </row>
    <row r="601">
      <c r="A601" s="183" t="s">
        <v>195</v>
      </c>
      <c r="B601" s="35" t="s">
        <v>2297</v>
      </c>
      <c r="C601" s="183" t="s">
        <v>1465</v>
      </c>
      <c r="D601" s="183" t="s">
        <v>1466</v>
      </c>
      <c r="E601" s="187" t="s">
        <v>1448</v>
      </c>
      <c r="F601" s="183" t="s">
        <v>1467</v>
      </c>
      <c r="G601" s="183" t="s">
        <v>1468</v>
      </c>
      <c r="H601" s="185" t="s">
        <v>189</v>
      </c>
      <c r="I601" s="188" t="s">
        <v>111</v>
      </c>
      <c r="J601" s="35" t="s">
        <v>1469</v>
      </c>
      <c r="K601" s="35" t="s">
        <v>111</v>
      </c>
    </row>
    <row r="602">
      <c r="A602" s="183" t="s">
        <v>195</v>
      </c>
      <c r="B602" s="35" t="s">
        <v>2298</v>
      </c>
      <c r="C602" s="183" t="s">
        <v>1471</v>
      </c>
      <c r="D602" s="183" t="s">
        <v>1472</v>
      </c>
      <c r="E602" s="187" t="s">
        <v>1448</v>
      </c>
      <c r="F602" s="183" t="s">
        <v>1473</v>
      </c>
      <c r="G602" s="183" t="s">
        <v>1474</v>
      </c>
      <c r="H602" s="185" t="s">
        <v>189</v>
      </c>
      <c r="I602" s="188" t="s">
        <v>111</v>
      </c>
      <c r="J602" s="35" t="s">
        <v>1475</v>
      </c>
      <c r="K602" s="35" t="s">
        <v>111</v>
      </c>
    </row>
    <row r="603">
      <c r="A603" s="183" t="s">
        <v>195</v>
      </c>
      <c r="B603" s="35" t="s">
        <v>2299</v>
      </c>
      <c r="C603" s="183" t="s">
        <v>1477</v>
      </c>
      <c r="D603" s="183" t="s">
        <v>1478</v>
      </c>
      <c r="E603" s="187" t="s">
        <v>1448</v>
      </c>
      <c r="F603" s="183" t="s">
        <v>1479</v>
      </c>
      <c r="G603" s="183" t="s">
        <v>1468</v>
      </c>
      <c r="H603" s="185" t="s">
        <v>189</v>
      </c>
      <c r="I603" s="188" t="s">
        <v>111</v>
      </c>
      <c r="J603" s="35" t="s">
        <v>1469</v>
      </c>
      <c r="K603" s="35" t="s">
        <v>111</v>
      </c>
    </row>
    <row r="604">
      <c r="A604" s="183" t="s">
        <v>195</v>
      </c>
      <c r="B604" s="35" t="s">
        <v>2300</v>
      </c>
      <c r="C604" s="183" t="s">
        <v>1481</v>
      </c>
      <c r="D604" s="183" t="s">
        <v>1472</v>
      </c>
      <c r="E604" s="187" t="s">
        <v>1448</v>
      </c>
      <c r="F604" s="183" t="s">
        <v>1482</v>
      </c>
      <c r="G604" s="183" t="s">
        <v>1474</v>
      </c>
      <c r="H604" s="185" t="s">
        <v>189</v>
      </c>
      <c r="I604" s="188" t="s">
        <v>111</v>
      </c>
      <c r="J604" s="183" t="s">
        <v>1475</v>
      </c>
      <c r="K604" s="35" t="s">
        <v>111</v>
      </c>
    </row>
    <row r="605">
      <c r="A605" s="183" t="s">
        <v>195</v>
      </c>
      <c r="B605" s="35" t="s">
        <v>2301</v>
      </c>
      <c r="C605" s="183" t="s">
        <v>1484</v>
      </c>
      <c r="D605" s="183" t="s">
        <v>1472</v>
      </c>
      <c r="E605" s="187" t="s">
        <v>1448</v>
      </c>
      <c r="F605" s="183" t="s">
        <v>1485</v>
      </c>
      <c r="G605" s="183" t="s">
        <v>1486</v>
      </c>
      <c r="H605" s="185" t="s">
        <v>189</v>
      </c>
      <c r="I605" s="188" t="s">
        <v>111</v>
      </c>
      <c r="J605" s="183" t="s">
        <v>1475</v>
      </c>
      <c r="K605" s="35" t="s">
        <v>111</v>
      </c>
    </row>
    <row r="606">
      <c r="A606" s="183" t="s">
        <v>195</v>
      </c>
      <c r="B606" s="35" t="s">
        <v>2302</v>
      </c>
      <c r="C606" s="187" t="s">
        <v>1488</v>
      </c>
      <c r="D606" s="187" t="s">
        <v>1489</v>
      </c>
      <c r="E606" s="187" t="s">
        <v>1490</v>
      </c>
      <c r="F606" s="187" t="s">
        <v>1491</v>
      </c>
      <c r="G606" s="187" t="s">
        <v>1492</v>
      </c>
      <c r="H606" s="185" t="s">
        <v>189</v>
      </c>
      <c r="I606" s="186" t="s">
        <v>36</v>
      </c>
      <c r="J606" s="56"/>
      <c r="K606" s="35" t="s">
        <v>36</v>
      </c>
    </row>
    <row r="607">
      <c r="A607" s="183" t="s">
        <v>195</v>
      </c>
      <c r="B607" s="35" t="s">
        <v>2303</v>
      </c>
      <c r="C607" s="187" t="s">
        <v>1494</v>
      </c>
      <c r="D607" s="183" t="s">
        <v>1495</v>
      </c>
      <c r="E607" s="187" t="s">
        <v>1496</v>
      </c>
      <c r="F607" s="187" t="s">
        <v>1497</v>
      </c>
      <c r="G607" s="187" t="s">
        <v>1498</v>
      </c>
      <c r="H607" s="185" t="s">
        <v>189</v>
      </c>
      <c r="I607" s="186" t="s">
        <v>111</v>
      </c>
      <c r="J607" s="35" t="s">
        <v>1499</v>
      </c>
      <c r="K607" s="35" t="s">
        <v>111</v>
      </c>
    </row>
    <row r="608">
      <c r="A608" s="183" t="s">
        <v>195</v>
      </c>
      <c r="B608" s="35" t="s">
        <v>2304</v>
      </c>
      <c r="C608" s="187" t="s">
        <v>1501</v>
      </c>
      <c r="D608" s="187" t="s">
        <v>1502</v>
      </c>
      <c r="E608" s="187" t="s">
        <v>1503</v>
      </c>
      <c r="F608" s="187" t="s">
        <v>1491</v>
      </c>
      <c r="G608" s="187" t="s">
        <v>1504</v>
      </c>
      <c r="H608" s="185" t="s">
        <v>189</v>
      </c>
      <c r="I608" s="186" t="s">
        <v>36</v>
      </c>
      <c r="J608" s="56"/>
      <c r="K608" s="35" t="s">
        <v>36</v>
      </c>
    </row>
    <row r="609">
      <c r="A609" s="183" t="s">
        <v>195</v>
      </c>
      <c r="B609" s="35" t="s">
        <v>2305</v>
      </c>
      <c r="C609" s="187" t="s">
        <v>1506</v>
      </c>
      <c r="D609" s="187" t="s">
        <v>1507</v>
      </c>
      <c r="E609" s="187" t="s">
        <v>1508</v>
      </c>
      <c r="F609" s="187" t="s">
        <v>1491</v>
      </c>
      <c r="G609" s="187" t="s">
        <v>1509</v>
      </c>
      <c r="H609" s="185" t="s">
        <v>189</v>
      </c>
      <c r="I609" s="186" t="s">
        <v>36</v>
      </c>
      <c r="J609" s="56"/>
      <c r="K609" s="35" t="s">
        <v>36</v>
      </c>
    </row>
    <row r="610">
      <c r="A610" s="183" t="s">
        <v>195</v>
      </c>
      <c r="B610" s="35" t="s">
        <v>2306</v>
      </c>
      <c r="C610" s="187" t="s">
        <v>1511</v>
      </c>
      <c r="D610" s="187" t="s">
        <v>1512</v>
      </c>
      <c r="E610" s="187" t="s">
        <v>1513</v>
      </c>
      <c r="F610" s="187" t="s">
        <v>1491</v>
      </c>
      <c r="G610" s="187" t="s">
        <v>1514</v>
      </c>
      <c r="H610" s="185" t="s">
        <v>189</v>
      </c>
      <c r="I610" s="186" t="s">
        <v>36</v>
      </c>
      <c r="J610" s="56"/>
      <c r="K610" s="35" t="s">
        <v>36</v>
      </c>
    </row>
    <row r="611">
      <c r="A611" s="183" t="s">
        <v>195</v>
      </c>
      <c r="B611" s="35" t="s">
        <v>2307</v>
      </c>
      <c r="C611" s="187" t="s">
        <v>1516</v>
      </c>
      <c r="D611" s="187" t="s">
        <v>1517</v>
      </c>
      <c r="E611" s="187" t="s">
        <v>1518</v>
      </c>
      <c r="F611" s="187" t="s">
        <v>1519</v>
      </c>
      <c r="G611" s="187" t="s">
        <v>1520</v>
      </c>
      <c r="H611" s="185" t="s">
        <v>189</v>
      </c>
      <c r="I611" s="186" t="s">
        <v>111</v>
      </c>
      <c r="J611" s="35" t="s">
        <v>1521</v>
      </c>
      <c r="K611" s="35" t="s">
        <v>111</v>
      </c>
    </row>
    <row r="612">
      <c r="A612" s="183" t="s">
        <v>195</v>
      </c>
      <c r="B612" s="35" t="s">
        <v>2308</v>
      </c>
      <c r="C612" s="187" t="s">
        <v>1523</v>
      </c>
      <c r="D612" s="187" t="s">
        <v>1524</v>
      </c>
      <c r="E612" s="187" t="s">
        <v>1525</v>
      </c>
      <c r="F612" s="187" t="s">
        <v>1526</v>
      </c>
      <c r="G612" s="187" t="s">
        <v>1527</v>
      </c>
      <c r="H612" s="185" t="s">
        <v>189</v>
      </c>
      <c r="I612" s="186" t="s">
        <v>111</v>
      </c>
      <c r="J612" s="35" t="s">
        <v>1521</v>
      </c>
      <c r="K612" s="35" t="s">
        <v>111</v>
      </c>
    </row>
    <row r="613">
      <c r="A613" s="183" t="s">
        <v>195</v>
      </c>
      <c r="B613" s="35" t="s">
        <v>2309</v>
      </c>
      <c r="C613" s="187" t="s">
        <v>1529</v>
      </c>
      <c r="D613" s="187" t="s">
        <v>1530</v>
      </c>
      <c r="E613" s="187" t="s">
        <v>1531</v>
      </c>
      <c r="F613" s="187" t="s">
        <v>1532</v>
      </c>
      <c r="G613" s="187" t="s">
        <v>1533</v>
      </c>
      <c r="H613" s="185" t="s">
        <v>189</v>
      </c>
      <c r="I613" s="186" t="s">
        <v>111</v>
      </c>
      <c r="J613" s="35" t="s">
        <v>1521</v>
      </c>
      <c r="K613" s="35" t="s">
        <v>111</v>
      </c>
    </row>
    <row r="614">
      <c r="A614" s="183" t="s">
        <v>195</v>
      </c>
      <c r="B614" s="35" t="s">
        <v>2310</v>
      </c>
      <c r="C614" s="187" t="s">
        <v>1535</v>
      </c>
      <c r="D614" s="187" t="s">
        <v>1536</v>
      </c>
      <c r="E614" s="187" t="s">
        <v>1537</v>
      </c>
      <c r="F614" s="187" t="s">
        <v>1538</v>
      </c>
      <c r="G614" s="187" t="s">
        <v>1539</v>
      </c>
      <c r="H614" s="185" t="s">
        <v>189</v>
      </c>
      <c r="I614" s="186" t="s">
        <v>111</v>
      </c>
      <c r="J614" s="35" t="s">
        <v>1521</v>
      </c>
      <c r="K614" s="35" t="s">
        <v>111</v>
      </c>
    </row>
    <row r="615">
      <c r="A615" s="183" t="s">
        <v>195</v>
      </c>
      <c r="B615" s="35" t="s">
        <v>2311</v>
      </c>
      <c r="C615" s="187" t="s">
        <v>1541</v>
      </c>
      <c r="D615" s="187" t="s">
        <v>1542</v>
      </c>
      <c r="E615" s="187" t="s">
        <v>1543</v>
      </c>
      <c r="F615" s="187" t="s">
        <v>1544</v>
      </c>
      <c r="G615" s="187" t="s">
        <v>1545</v>
      </c>
      <c r="H615" s="185" t="s">
        <v>189</v>
      </c>
      <c r="I615" s="186" t="s">
        <v>36</v>
      </c>
      <c r="J615" s="56"/>
      <c r="K615" s="35" t="s">
        <v>36</v>
      </c>
    </row>
    <row r="616">
      <c r="A616" s="183" t="s">
        <v>195</v>
      </c>
      <c r="B616" s="35" t="s">
        <v>2312</v>
      </c>
      <c r="C616" s="187" t="s">
        <v>1547</v>
      </c>
      <c r="D616" s="187" t="s">
        <v>1548</v>
      </c>
      <c r="E616" s="187" t="s">
        <v>1448</v>
      </c>
      <c r="F616" s="187" t="s">
        <v>1549</v>
      </c>
      <c r="G616" s="187" t="s">
        <v>1550</v>
      </c>
      <c r="H616" s="185" t="s">
        <v>189</v>
      </c>
      <c r="I616" s="186" t="s">
        <v>36</v>
      </c>
      <c r="J616" s="56"/>
      <c r="K616" s="35" t="s">
        <v>36</v>
      </c>
    </row>
    <row r="617">
      <c r="A617" s="183" t="s">
        <v>195</v>
      </c>
      <c r="B617" s="35" t="s">
        <v>2313</v>
      </c>
      <c r="C617" s="187" t="s">
        <v>1552</v>
      </c>
      <c r="D617" s="187" t="s">
        <v>1553</v>
      </c>
      <c r="E617" s="187" t="s">
        <v>1448</v>
      </c>
      <c r="F617" s="187" t="s">
        <v>1554</v>
      </c>
      <c r="G617" s="187" t="s">
        <v>1555</v>
      </c>
      <c r="H617" s="185" t="s">
        <v>189</v>
      </c>
      <c r="I617" s="186" t="s">
        <v>111</v>
      </c>
      <c r="J617" s="35" t="s">
        <v>1556</v>
      </c>
      <c r="K617" s="35" t="s">
        <v>111</v>
      </c>
    </row>
    <row r="618">
      <c r="A618" s="183" t="s">
        <v>195</v>
      </c>
      <c r="B618" s="35" t="s">
        <v>2314</v>
      </c>
      <c r="C618" s="187" t="s">
        <v>1558</v>
      </c>
      <c r="D618" s="187" t="s">
        <v>1559</v>
      </c>
      <c r="E618" s="187" t="s">
        <v>1448</v>
      </c>
      <c r="F618" s="187" t="s">
        <v>1560</v>
      </c>
      <c r="G618" s="187" t="s">
        <v>1561</v>
      </c>
      <c r="H618" s="185" t="s">
        <v>189</v>
      </c>
      <c r="I618" s="186" t="s">
        <v>36</v>
      </c>
      <c r="J618" s="35"/>
      <c r="K618" s="35" t="s">
        <v>36</v>
      </c>
    </row>
    <row r="619">
      <c r="A619" s="183" t="s">
        <v>195</v>
      </c>
      <c r="B619" s="35" t="s">
        <v>2315</v>
      </c>
      <c r="C619" s="187" t="s">
        <v>1563</v>
      </c>
      <c r="D619" s="187" t="s">
        <v>1564</v>
      </c>
      <c r="E619" s="187" t="s">
        <v>1448</v>
      </c>
      <c r="F619" s="187" t="s">
        <v>1565</v>
      </c>
      <c r="G619" s="187" t="s">
        <v>1566</v>
      </c>
      <c r="H619" s="185" t="s">
        <v>189</v>
      </c>
      <c r="I619" s="186" t="s">
        <v>36</v>
      </c>
      <c r="J619" s="35"/>
      <c r="K619" s="35" t="s">
        <v>36</v>
      </c>
    </row>
    <row r="620">
      <c r="A620" s="183" t="s">
        <v>195</v>
      </c>
      <c r="B620" s="35" t="s">
        <v>2316</v>
      </c>
      <c r="C620" s="187" t="s">
        <v>1568</v>
      </c>
      <c r="D620" s="187" t="s">
        <v>1569</v>
      </c>
      <c r="E620" s="187" t="s">
        <v>1448</v>
      </c>
      <c r="F620" s="187" t="s">
        <v>1570</v>
      </c>
      <c r="G620" s="187" t="s">
        <v>1571</v>
      </c>
      <c r="H620" s="185" t="s">
        <v>189</v>
      </c>
      <c r="I620" s="186" t="s">
        <v>36</v>
      </c>
      <c r="J620" s="56"/>
      <c r="K620" s="35" t="s">
        <v>36</v>
      </c>
    </row>
    <row r="621">
      <c r="A621" s="183" t="s">
        <v>195</v>
      </c>
      <c r="B621" s="35" t="s">
        <v>2317</v>
      </c>
      <c r="C621" s="187" t="s">
        <v>1573</v>
      </c>
      <c r="D621" s="187" t="s">
        <v>1574</v>
      </c>
      <c r="E621" s="187" t="s">
        <v>1448</v>
      </c>
      <c r="F621" s="187" t="s">
        <v>1575</v>
      </c>
      <c r="G621" s="187" t="s">
        <v>1576</v>
      </c>
      <c r="H621" s="185" t="s">
        <v>189</v>
      </c>
      <c r="I621" s="186" t="s">
        <v>111</v>
      </c>
      <c r="J621" s="35" t="s">
        <v>1577</v>
      </c>
      <c r="K621" s="35" t="s">
        <v>111</v>
      </c>
    </row>
    <row r="622">
      <c r="A622" s="183" t="s">
        <v>195</v>
      </c>
      <c r="B622" s="35" t="s">
        <v>2318</v>
      </c>
      <c r="C622" s="187" t="s">
        <v>1579</v>
      </c>
      <c r="D622" s="187" t="s">
        <v>1580</v>
      </c>
      <c r="E622" s="187" t="s">
        <v>1448</v>
      </c>
      <c r="F622" s="187" t="s">
        <v>1581</v>
      </c>
      <c r="G622" s="187" t="s">
        <v>1582</v>
      </c>
      <c r="H622" s="185" t="s">
        <v>189</v>
      </c>
      <c r="I622" s="186" t="s">
        <v>36</v>
      </c>
      <c r="J622" s="56"/>
      <c r="K622" s="35" t="s">
        <v>36</v>
      </c>
    </row>
    <row r="623">
      <c r="A623" s="183" t="s">
        <v>195</v>
      </c>
      <c r="B623" s="35" t="s">
        <v>2319</v>
      </c>
      <c r="C623" s="187" t="s">
        <v>1584</v>
      </c>
      <c r="D623" s="187" t="s">
        <v>1585</v>
      </c>
      <c r="E623" s="187" t="s">
        <v>1586</v>
      </c>
      <c r="F623" s="187" t="s">
        <v>1587</v>
      </c>
      <c r="G623" s="187" t="s">
        <v>1588</v>
      </c>
      <c r="H623" s="185" t="s">
        <v>189</v>
      </c>
      <c r="I623" s="188" t="s">
        <v>36</v>
      </c>
      <c r="J623" s="56"/>
      <c r="K623" s="35" t="s">
        <v>36</v>
      </c>
    </row>
    <row r="624">
      <c r="A624" s="183" t="s">
        <v>195</v>
      </c>
      <c r="B624" s="35" t="s">
        <v>2320</v>
      </c>
      <c r="C624" s="187" t="s">
        <v>1590</v>
      </c>
      <c r="D624" s="187" t="s">
        <v>1591</v>
      </c>
      <c r="E624" s="187" t="s">
        <v>1592</v>
      </c>
      <c r="F624" s="187" t="s">
        <v>1593</v>
      </c>
      <c r="G624" s="187" t="s">
        <v>1594</v>
      </c>
      <c r="H624" s="185" t="s">
        <v>189</v>
      </c>
      <c r="I624" s="188" t="s">
        <v>111</v>
      </c>
      <c r="J624" s="35" t="s">
        <v>1595</v>
      </c>
      <c r="K624" s="35" t="s">
        <v>111</v>
      </c>
    </row>
    <row r="625">
      <c r="A625" s="183" t="s">
        <v>195</v>
      </c>
      <c r="B625" s="35" t="s">
        <v>2321</v>
      </c>
      <c r="C625" s="187" t="s">
        <v>1597</v>
      </c>
      <c r="D625" s="187" t="s">
        <v>1598</v>
      </c>
      <c r="E625" s="187" t="s">
        <v>1599</v>
      </c>
      <c r="F625" s="187" t="s">
        <v>1600</v>
      </c>
      <c r="G625" s="187" t="s">
        <v>1601</v>
      </c>
      <c r="H625" s="185" t="s">
        <v>189</v>
      </c>
      <c r="I625" s="188" t="s">
        <v>36</v>
      </c>
      <c r="J625" s="56"/>
      <c r="K625" s="35" t="s">
        <v>36</v>
      </c>
    </row>
    <row r="626">
      <c r="A626" s="183" t="s">
        <v>195</v>
      </c>
      <c r="B626" s="35" t="s">
        <v>2322</v>
      </c>
      <c r="C626" s="187" t="s">
        <v>1603</v>
      </c>
      <c r="D626" s="187" t="s">
        <v>1604</v>
      </c>
      <c r="E626" s="187" t="s">
        <v>1605</v>
      </c>
      <c r="F626" s="187" t="s">
        <v>1606</v>
      </c>
      <c r="G626" s="187" t="s">
        <v>1607</v>
      </c>
      <c r="H626" s="185" t="s">
        <v>189</v>
      </c>
      <c r="I626" s="188" t="s">
        <v>36</v>
      </c>
      <c r="J626" s="56"/>
      <c r="K626" s="35" t="s">
        <v>36</v>
      </c>
    </row>
    <row r="627">
      <c r="A627" s="183" t="s">
        <v>195</v>
      </c>
      <c r="B627" s="35" t="s">
        <v>2323</v>
      </c>
      <c r="C627" s="187" t="s">
        <v>1609</v>
      </c>
      <c r="D627" s="187" t="s">
        <v>1610</v>
      </c>
      <c r="E627" s="187" t="s">
        <v>1611</v>
      </c>
      <c r="F627" s="187" t="s">
        <v>1612</v>
      </c>
      <c r="G627" s="187" t="s">
        <v>1613</v>
      </c>
      <c r="H627" s="185" t="s">
        <v>189</v>
      </c>
      <c r="I627" s="188" t="s">
        <v>36</v>
      </c>
      <c r="J627" s="56"/>
      <c r="K627" s="35" t="s">
        <v>36</v>
      </c>
    </row>
    <row r="628">
      <c r="A628" s="183" t="s">
        <v>195</v>
      </c>
      <c r="B628" s="35" t="s">
        <v>2324</v>
      </c>
      <c r="C628" s="187" t="s">
        <v>1615</v>
      </c>
      <c r="D628" s="187" t="s">
        <v>1616</v>
      </c>
      <c r="E628" s="187" t="s">
        <v>1611</v>
      </c>
      <c r="F628" s="187" t="s">
        <v>1617</v>
      </c>
      <c r="G628" s="187" t="s">
        <v>1618</v>
      </c>
      <c r="H628" s="185" t="s">
        <v>189</v>
      </c>
      <c r="I628" s="188" t="s">
        <v>36</v>
      </c>
      <c r="J628" s="56"/>
      <c r="K628" s="35" t="s">
        <v>36</v>
      </c>
    </row>
    <row r="629">
      <c r="A629" s="183" t="s">
        <v>195</v>
      </c>
      <c r="B629" s="35" t="s">
        <v>2325</v>
      </c>
      <c r="C629" s="187" t="s">
        <v>1620</v>
      </c>
      <c r="D629" s="187" t="s">
        <v>1621</v>
      </c>
      <c r="E629" s="187" t="s">
        <v>1622</v>
      </c>
      <c r="F629" s="187" t="s">
        <v>1623</v>
      </c>
      <c r="G629" s="187" t="s">
        <v>1624</v>
      </c>
      <c r="H629" s="185" t="s">
        <v>189</v>
      </c>
      <c r="I629" s="186" t="s">
        <v>36</v>
      </c>
      <c r="J629" s="56"/>
      <c r="K629" s="35" t="s">
        <v>36</v>
      </c>
    </row>
    <row r="630">
      <c r="A630" s="183" t="s">
        <v>195</v>
      </c>
      <c r="B630" s="35" t="s">
        <v>2326</v>
      </c>
      <c r="C630" s="187" t="s">
        <v>1626</v>
      </c>
      <c r="D630" s="187" t="s">
        <v>1627</v>
      </c>
      <c r="E630" s="187" t="s">
        <v>1622</v>
      </c>
      <c r="F630" s="187" t="s">
        <v>1549</v>
      </c>
      <c r="G630" s="187" t="s">
        <v>1628</v>
      </c>
      <c r="H630" s="185" t="s">
        <v>189</v>
      </c>
      <c r="I630" s="186" t="s">
        <v>36</v>
      </c>
      <c r="J630" s="56"/>
      <c r="K630" s="35" t="s">
        <v>36</v>
      </c>
    </row>
    <row r="631">
      <c r="A631" s="183" t="s">
        <v>195</v>
      </c>
      <c r="B631" s="35" t="s">
        <v>2327</v>
      </c>
      <c r="C631" s="187" t="s">
        <v>1630</v>
      </c>
      <c r="D631" s="187" t="s">
        <v>1631</v>
      </c>
      <c r="E631" s="187" t="s">
        <v>1632</v>
      </c>
      <c r="F631" s="187" t="s">
        <v>1633</v>
      </c>
      <c r="G631" s="187" t="s">
        <v>1634</v>
      </c>
      <c r="H631" s="185" t="s">
        <v>189</v>
      </c>
      <c r="I631" s="186" t="s">
        <v>36</v>
      </c>
      <c r="J631" s="56"/>
      <c r="K631" s="35" t="s">
        <v>36</v>
      </c>
    </row>
    <row r="632">
      <c r="A632" s="183" t="s">
        <v>195</v>
      </c>
      <c r="B632" s="35" t="s">
        <v>2328</v>
      </c>
      <c r="C632" s="187" t="s">
        <v>1636</v>
      </c>
      <c r="D632" s="187" t="s">
        <v>1637</v>
      </c>
      <c r="E632" s="187" t="s">
        <v>1638</v>
      </c>
      <c r="F632" s="187" t="s">
        <v>1639</v>
      </c>
      <c r="G632" s="187" t="s">
        <v>1588</v>
      </c>
      <c r="H632" s="185" t="s">
        <v>189</v>
      </c>
      <c r="I632" s="186" t="s">
        <v>36</v>
      </c>
      <c r="J632" s="56"/>
      <c r="K632" s="35" t="s">
        <v>36</v>
      </c>
    </row>
    <row r="633">
      <c r="A633" s="183" t="s">
        <v>195</v>
      </c>
      <c r="B633" s="35" t="s">
        <v>2329</v>
      </c>
      <c r="C633" s="187" t="s">
        <v>1641</v>
      </c>
      <c r="D633" s="187" t="s">
        <v>1642</v>
      </c>
      <c r="E633" s="187" t="s">
        <v>1638</v>
      </c>
      <c r="F633" s="187" t="s">
        <v>1643</v>
      </c>
      <c r="G633" s="187" t="s">
        <v>1594</v>
      </c>
      <c r="H633" s="185" t="s">
        <v>189</v>
      </c>
      <c r="I633" s="186" t="s">
        <v>36</v>
      </c>
      <c r="J633" s="56"/>
      <c r="K633" s="35" t="s">
        <v>36</v>
      </c>
    </row>
    <row r="634">
      <c r="A634" s="183" t="s">
        <v>195</v>
      </c>
      <c r="B634" s="35" t="s">
        <v>2330</v>
      </c>
      <c r="C634" s="187" t="s">
        <v>1645</v>
      </c>
      <c r="D634" s="187" t="s">
        <v>1646</v>
      </c>
      <c r="E634" s="187" t="s">
        <v>1638</v>
      </c>
      <c r="F634" s="187" t="s">
        <v>1647</v>
      </c>
      <c r="G634" s="187" t="s">
        <v>1601</v>
      </c>
      <c r="H634" s="185" t="s">
        <v>189</v>
      </c>
      <c r="I634" s="186" t="s">
        <v>36</v>
      </c>
      <c r="J634" s="56"/>
      <c r="K634" s="35" t="s">
        <v>36</v>
      </c>
    </row>
    <row r="635">
      <c r="A635" s="183" t="s">
        <v>195</v>
      </c>
      <c r="B635" s="35" t="s">
        <v>2331</v>
      </c>
      <c r="C635" s="187" t="s">
        <v>1649</v>
      </c>
      <c r="D635" s="187" t="s">
        <v>1650</v>
      </c>
      <c r="E635" s="187" t="s">
        <v>1638</v>
      </c>
      <c r="F635" s="187" t="s">
        <v>1554</v>
      </c>
      <c r="G635" s="187" t="s">
        <v>1651</v>
      </c>
      <c r="H635" s="185" t="s">
        <v>189</v>
      </c>
      <c r="I635" s="186" t="s">
        <v>111</v>
      </c>
      <c r="J635" s="56"/>
      <c r="K635" s="35" t="s">
        <v>111</v>
      </c>
    </row>
    <row r="636">
      <c r="A636" s="183" t="s">
        <v>195</v>
      </c>
      <c r="B636" s="35" t="s">
        <v>2332</v>
      </c>
      <c r="C636" s="187" t="s">
        <v>1653</v>
      </c>
      <c r="D636" s="187" t="s">
        <v>1654</v>
      </c>
      <c r="E636" s="187" t="s">
        <v>1638</v>
      </c>
      <c r="F636" s="187" t="s">
        <v>1560</v>
      </c>
      <c r="G636" s="187" t="s">
        <v>1561</v>
      </c>
      <c r="H636" s="185" t="s">
        <v>189</v>
      </c>
      <c r="I636" s="186" t="s">
        <v>36</v>
      </c>
      <c r="J636" s="56"/>
      <c r="K636" s="35" t="s">
        <v>36</v>
      </c>
    </row>
    <row r="637">
      <c r="A637" s="183" t="s">
        <v>195</v>
      </c>
      <c r="B637" s="35" t="s">
        <v>2333</v>
      </c>
      <c r="C637" s="187" t="s">
        <v>1656</v>
      </c>
      <c r="D637" s="187" t="s">
        <v>1564</v>
      </c>
      <c r="E637" s="187" t="s">
        <v>1638</v>
      </c>
      <c r="F637" s="187" t="s">
        <v>1657</v>
      </c>
      <c r="G637" s="187" t="s">
        <v>1566</v>
      </c>
      <c r="H637" s="185" t="s">
        <v>189</v>
      </c>
      <c r="I637" s="186" t="s">
        <v>36</v>
      </c>
      <c r="J637" s="56"/>
      <c r="K637" s="35" t="s">
        <v>36</v>
      </c>
    </row>
    <row r="638">
      <c r="A638" s="183" t="s">
        <v>195</v>
      </c>
      <c r="B638" s="35" t="s">
        <v>2334</v>
      </c>
      <c r="C638" s="187" t="s">
        <v>1659</v>
      </c>
      <c r="D638" s="187" t="s">
        <v>1569</v>
      </c>
      <c r="E638" s="187" t="s">
        <v>1638</v>
      </c>
      <c r="F638" s="187" t="s">
        <v>1570</v>
      </c>
      <c r="G638" s="187" t="s">
        <v>1571</v>
      </c>
      <c r="H638" s="185" t="s">
        <v>189</v>
      </c>
      <c r="I638" s="186" t="s">
        <v>36</v>
      </c>
      <c r="J638" s="56"/>
      <c r="K638" s="35" t="s">
        <v>36</v>
      </c>
    </row>
    <row r="639">
      <c r="A639" s="183" t="s">
        <v>195</v>
      </c>
      <c r="B639" s="35" t="s">
        <v>2335</v>
      </c>
      <c r="C639" s="187" t="s">
        <v>1661</v>
      </c>
      <c r="D639" s="187" t="s">
        <v>1574</v>
      </c>
      <c r="E639" s="187" t="s">
        <v>1638</v>
      </c>
      <c r="F639" s="187" t="s">
        <v>1575</v>
      </c>
      <c r="G639" s="187" t="s">
        <v>1576</v>
      </c>
      <c r="H639" s="185" t="s">
        <v>189</v>
      </c>
      <c r="I639" s="186" t="s">
        <v>111</v>
      </c>
      <c r="J639" s="35" t="s">
        <v>1577</v>
      </c>
      <c r="K639" s="35" t="s">
        <v>111</v>
      </c>
    </row>
    <row r="640">
      <c r="A640" s="183" t="s">
        <v>195</v>
      </c>
      <c r="B640" s="35" t="s">
        <v>2336</v>
      </c>
      <c r="C640" s="187" t="s">
        <v>1663</v>
      </c>
      <c r="D640" s="187" t="s">
        <v>1580</v>
      </c>
      <c r="E640" s="187" t="s">
        <v>1638</v>
      </c>
      <c r="F640" s="187" t="s">
        <v>1581</v>
      </c>
      <c r="G640" s="187" t="s">
        <v>1582</v>
      </c>
      <c r="H640" s="185" t="s">
        <v>189</v>
      </c>
      <c r="I640" s="186" t="s">
        <v>111</v>
      </c>
      <c r="J640" s="35" t="s">
        <v>1664</v>
      </c>
      <c r="K640" s="35" t="s">
        <v>111</v>
      </c>
    </row>
    <row r="641">
      <c r="A641" s="183" t="s">
        <v>195</v>
      </c>
      <c r="B641" s="35" t="s">
        <v>2337</v>
      </c>
      <c r="C641" s="187" t="s">
        <v>1666</v>
      </c>
      <c r="D641" s="187" t="s">
        <v>1667</v>
      </c>
      <c r="E641" s="187" t="s">
        <v>1668</v>
      </c>
      <c r="F641" s="187" t="s">
        <v>1669</v>
      </c>
      <c r="G641" s="187" t="s">
        <v>1670</v>
      </c>
      <c r="H641" s="185" t="s">
        <v>189</v>
      </c>
      <c r="I641" s="186" t="s">
        <v>36</v>
      </c>
      <c r="J641" s="56"/>
      <c r="K641" s="35" t="s">
        <v>36</v>
      </c>
    </row>
    <row r="642">
      <c r="A642" s="183" t="s">
        <v>195</v>
      </c>
      <c r="B642" s="35" t="s">
        <v>2338</v>
      </c>
      <c r="C642" s="187" t="s">
        <v>1672</v>
      </c>
      <c r="D642" s="187" t="s">
        <v>1673</v>
      </c>
      <c r="E642" s="187" t="s">
        <v>1674</v>
      </c>
      <c r="F642" s="187" t="s">
        <v>1675</v>
      </c>
      <c r="G642" s="187" t="s">
        <v>1676</v>
      </c>
      <c r="H642" s="185" t="s">
        <v>189</v>
      </c>
      <c r="I642" s="186" t="s">
        <v>36</v>
      </c>
      <c r="J642" s="56"/>
      <c r="K642" s="35" t="s">
        <v>36</v>
      </c>
    </row>
    <row r="643">
      <c r="A643" s="183" t="s">
        <v>195</v>
      </c>
      <c r="B643" s="35" t="s">
        <v>2339</v>
      </c>
      <c r="C643" s="187" t="s">
        <v>1678</v>
      </c>
      <c r="D643" s="187" t="s">
        <v>1679</v>
      </c>
      <c r="E643" s="187" t="s">
        <v>1680</v>
      </c>
      <c r="F643" s="187" t="s">
        <v>1681</v>
      </c>
      <c r="G643" s="187" t="s">
        <v>1682</v>
      </c>
      <c r="H643" s="185" t="s">
        <v>189</v>
      </c>
      <c r="I643" s="186" t="s">
        <v>36</v>
      </c>
      <c r="J643" s="56"/>
      <c r="K643" s="35" t="s">
        <v>36</v>
      </c>
    </row>
    <row r="644">
      <c r="A644" s="183" t="s">
        <v>195</v>
      </c>
      <c r="B644" s="35" t="s">
        <v>2340</v>
      </c>
      <c r="C644" s="187" t="s">
        <v>1684</v>
      </c>
      <c r="D644" s="187" t="s">
        <v>1679</v>
      </c>
      <c r="E644" s="187" t="s">
        <v>1680</v>
      </c>
      <c r="F644" s="187" t="s">
        <v>1681</v>
      </c>
      <c r="G644" s="187" t="s">
        <v>1682</v>
      </c>
      <c r="H644" s="185" t="s">
        <v>189</v>
      </c>
      <c r="I644" s="186" t="s">
        <v>36</v>
      </c>
      <c r="J644" s="56"/>
      <c r="K644" s="35" t="s">
        <v>36</v>
      </c>
    </row>
    <row r="645">
      <c r="A645" s="183" t="s">
        <v>195</v>
      </c>
      <c r="B645" s="35" t="s">
        <v>2341</v>
      </c>
      <c r="C645" s="187" t="s">
        <v>1686</v>
      </c>
      <c r="D645" s="187" t="s">
        <v>1687</v>
      </c>
      <c r="E645" s="187" t="s">
        <v>1688</v>
      </c>
      <c r="F645" s="187" t="s">
        <v>1689</v>
      </c>
      <c r="G645" s="187" t="s">
        <v>1690</v>
      </c>
      <c r="H645" s="185" t="s">
        <v>189</v>
      </c>
      <c r="I645" s="186" t="s">
        <v>36</v>
      </c>
      <c r="J645" s="56"/>
      <c r="K645" s="35" t="s">
        <v>36</v>
      </c>
    </row>
    <row r="646">
      <c r="A646" s="183" t="s">
        <v>195</v>
      </c>
      <c r="B646" s="35" t="s">
        <v>2342</v>
      </c>
      <c r="C646" s="187" t="s">
        <v>1692</v>
      </c>
      <c r="D646" s="187" t="s">
        <v>1693</v>
      </c>
      <c r="E646" s="187" t="s">
        <v>1694</v>
      </c>
      <c r="F646" s="187" t="s">
        <v>1554</v>
      </c>
      <c r="G646" s="187" t="s">
        <v>1555</v>
      </c>
      <c r="H646" s="185" t="s">
        <v>189</v>
      </c>
      <c r="I646" s="186" t="s">
        <v>111</v>
      </c>
      <c r="J646" s="35" t="s">
        <v>1556</v>
      </c>
      <c r="K646" s="35" t="s">
        <v>111</v>
      </c>
    </row>
    <row r="647">
      <c r="A647" s="183" t="s">
        <v>195</v>
      </c>
      <c r="B647" s="35" t="s">
        <v>2343</v>
      </c>
      <c r="C647" s="187" t="s">
        <v>1696</v>
      </c>
      <c r="D647" s="187" t="s">
        <v>1564</v>
      </c>
      <c r="E647" s="187" t="s">
        <v>1697</v>
      </c>
      <c r="F647" s="187" t="s">
        <v>1657</v>
      </c>
      <c r="G647" s="187" t="s">
        <v>1566</v>
      </c>
      <c r="H647" s="185" t="s">
        <v>189</v>
      </c>
      <c r="I647" s="188" t="s">
        <v>36</v>
      </c>
      <c r="J647" s="56"/>
      <c r="K647" s="35" t="s">
        <v>36</v>
      </c>
    </row>
    <row r="648">
      <c r="A648" s="183" t="s">
        <v>195</v>
      </c>
      <c r="B648" s="35" t="s">
        <v>2344</v>
      </c>
      <c r="C648" s="187" t="s">
        <v>1699</v>
      </c>
      <c r="D648" s="187" t="s">
        <v>1700</v>
      </c>
      <c r="E648" s="187" t="s">
        <v>1701</v>
      </c>
      <c r="F648" s="187" t="s">
        <v>1560</v>
      </c>
      <c r="G648" s="187" t="s">
        <v>1561</v>
      </c>
      <c r="H648" s="185" t="s">
        <v>189</v>
      </c>
      <c r="I648" s="186" t="s">
        <v>36</v>
      </c>
      <c r="J648" s="35"/>
      <c r="K648" s="35" t="s">
        <v>36</v>
      </c>
    </row>
    <row r="649">
      <c r="A649" s="183" t="s">
        <v>195</v>
      </c>
      <c r="B649" s="35" t="s">
        <v>2345</v>
      </c>
      <c r="C649" s="187" t="s">
        <v>1703</v>
      </c>
      <c r="D649" s="187" t="s">
        <v>1569</v>
      </c>
      <c r="E649" s="187" t="s">
        <v>1622</v>
      </c>
      <c r="F649" s="187" t="s">
        <v>1570</v>
      </c>
      <c r="G649" s="187" t="s">
        <v>1571</v>
      </c>
      <c r="H649" s="185" t="s">
        <v>189</v>
      </c>
      <c r="I649" s="186" t="s">
        <v>36</v>
      </c>
      <c r="J649" s="56"/>
      <c r="K649" s="35" t="s">
        <v>36</v>
      </c>
    </row>
    <row r="650">
      <c r="A650" s="183" t="s">
        <v>195</v>
      </c>
      <c r="B650" s="35" t="s">
        <v>2346</v>
      </c>
      <c r="C650" s="187" t="s">
        <v>1705</v>
      </c>
      <c r="D650" s="187" t="s">
        <v>1574</v>
      </c>
      <c r="E650" s="187" t="s">
        <v>1622</v>
      </c>
      <c r="F650" s="187" t="s">
        <v>1575</v>
      </c>
      <c r="G650" s="187" t="s">
        <v>1576</v>
      </c>
      <c r="H650" s="185" t="s">
        <v>189</v>
      </c>
      <c r="I650" s="186" t="s">
        <v>111</v>
      </c>
      <c r="J650" s="35" t="s">
        <v>1577</v>
      </c>
      <c r="K650" s="35" t="s">
        <v>111</v>
      </c>
    </row>
    <row r="651">
      <c r="A651" s="183" t="s">
        <v>195</v>
      </c>
      <c r="B651" s="35" t="s">
        <v>2347</v>
      </c>
      <c r="C651" s="187" t="s">
        <v>1707</v>
      </c>
      <c r="D651" s="187" t="s">
        <v>1580</v>
      </c>
      <c r="E651" s="187" t="s">
        <v>1622</v>
      </c>
      <c r="F651" s="187" t="s">
        <v>1581</v>
      </c>
      <c r="G651" s="187" t="s">
        <v>1582</v>
      </c>
      <c r="H651" s="185" t="s">
        <v>189</v>
      </c>
      <c r="I651" s="186" t="s">
        <v>36</v>
      </c>
      <c r="J651" s="56"/>
      <c r="K651" s="35" t="s">
        <v>36</v>
      </c>
    </row>
    <row r="652">
      <c r="A652" s="183" t="s">
        <v>195</v>
      </c>
      <c r="B652" s="35" t="s">
        <v>2348</v>
      </c>
      <c r="C652" s="187" t="s">
        <v>1709</v>
      </c>
      <c r="D652" s="187" t="s">
        <v>1710</v>
      </c>
      <c r="E652" s="187" t="s">
        <v>1622</v>
      </c>
      <c r="F652" s="187" t="s">
        <v>1711</v>
      </c>
      <c r="G652" s="187" t="s">
        <v>1712</v>
      </c>
      <c r="H652" s="185" t="s">
        <v>189</v>
      </c>
      <c r="I652" s="186" t="s">
        <v>36</v>
      </c>
      <c r="J652" s="56"/>
      <c r="K652" s="35" t="s">
        <v>36</v>
      </c>
    </row>
    <row r="653">
      <c r="A653" s="183" t="s">
        <v>195</v>
      </c>
      <c r="B653" s="35" t="s">
        <v>2349</v>
      </c>
      <c r="C653" s="187" t="s">
        <v>1714</v>
      </c>
      <c r="D653" s="187" t="s">
        <v>1715</v>
      </c>
      <c r="E653" s="187" t="s">
        <v>1716</v>
      </c>
      <c r="F653" s="187" t="s">
        <v>1717</v>
      </c>
      <c r="G653" s="187" t="s">
        <v>1718</v>
      </c>
      <c r="H653" s="185" t="s">
        <v>189</v>
      </c>
      <c r="I653" s="186" t="s">
        <v>36</v>
      </c>
      <c r="J653" s="56"/>
      <c r="K653" s="35" t="s">
        <v>36</v>
      </c>
    </row>
    <row r="654">
      <c r="A654" s="183" t="s">
        <v>195</v>
      </c>
      <c r="B654" s="35" t="s">
        <v>2350</v>
      </c>
      <c r="C654" s="187" t="s">
        <v>1720</v>
      </c>
      <c r="D654" s="187" t="s">
        <v>1721</v>
      </c>
      <c r="E654" s="187" t="s">
        <v>1722</v>
      </c>
      <c r="F654" s="187" t="s">
        <v>1723</v>
      </c>
      <c r="G654" s="187" t="s">
        <v>1628</v>
      </c>
      <c r="H654" s="185" t="s">
        <v>189</v>
      </c>
      <c r="I654" s="186" t="s">
        <v>36</v>
      </c>
      <c r="J654" s="56"/>
      <c r="K654" s="35" t="s">
        <v>36</v>
      </c>
    </row>
    <row r="655">
      <c r="A655" s="189" t="s">
        <v>319</v>
      </c>
      <c r="B655" s="35" t="s">
        <v>2351</v>
      </c>
      <c r="C655" s="35" t="s">
        <v>1725</v>
      </c>
      <c r="D655" s="35" t="s">
        <v>1726</v>
      </c>
      <c r="E655" s="35" t="s">
        <v>1727</v>
      </c>
      <c r="F655" s="35" t="s">
        <v>1728</v>
      </c>
      <c r="G655" s="35" t="s">
        <v>1729</v>
      </c>
      <c r="H655" s="185" t="s">
        <v>189</v>
      </c>
      <c r="I655" s="186" t="s">
        <v>36</v>
      </c>
      <c r="J655" s="56"/>
      <c r="K655" s="35" t="s">
        <v>36</v>
      </c>
    </row>
    <row r="656">
      <c r="A656" s="190" t="s">
        <v>322</v>
      </c>
      <c r="B656" s="35" t="s">
        <v>2352</v>
      </c>
      <c r="C656" s="35" t="s">
        <v>1438</v>
      </c>
      <c r="D656" s="35" t="s">
        <v>1439</v>
      </c>
      <c r="E656" s="184" t="s">
        <v>1440</v>
      </c>
      <c r="F656" s="183" t="s">
        <v>1441</v>
      </c>
      <c r="G656" s="35" t="s">
        <v>1442</v>
      </c>
      <c r="H656" s="185" t="s">
        <v>189</v>
      </c>
      <c r="I656" s="186" t="s">
        <v>36</v>
      </c>
      <c r="J656" s="56"/>
      <c r="K656" s="35" t="s">
        <v>36</v>
      </c>
    </row>
    <row r="657">
      <c r="A657" s="183" t="s">
        <v>322</v>
      </c>
      <c r="B657" s="35" t="s">
        <v>2353</v>
      </c>
      <c r="C657" s="187" t="s">
        <v>1446</v>
      </c>
      <c r="D657" s="187" t="s">
        <v>1447</v>
      </c>
      <c r="E657" s="187" t="s">
        <v>1448</v>
      </c>
      <c r="F657" s="187" t="s">
        <v>1449</v>
      </c>
      <c r="G657" s="187" t="s">
        <v>1450</v>
      </c>
      <c r="H657" s="185" t="s">
        <v>189</v>
      </c>
      <c r="I657" s="186" t="s">
        <v>36</v>
      </c>
      <c r="J657" s="56"/>
      <c r="K657" s="35" t="s">
        <v>36</v>
      </c>
    </row>
    <row r="658">
      <c r="A658" s="183" t="s">
        <v>322</v>
      </c>
      <c r="B658" s="35" t="s">
        <v>2354</v>
      </c>
      <c r="C658" s="187" t="s">
        <v>1453</v>
      </c>
      <c r="D658" s="187" t="s">
        <v>1454</v>
      </c>
      <c r="E658" s="187" t="s">
        <v>1448</v>
      </c>
      <c r="F658" s="187" t="s">
        <v>1455</v>
      </c>
      <c r="G658" s="187" t="s">
        <v>1456</v>
      </c>
      <c r="H658" s="185" t="s">
        <v>189</v>
      </c>
      <c r="I658" s="186" t="s">
        <v>111</v>
      </c>
      <c r="J658" s="35" t="s">
        <v>1733</v>
      </c>
      <c r="K658" s="35" t="s">
        <v>111</v>
      </c>
    </row>
    <row r="659">
      <c r="A659" s="183" t="s">
        <v>322</v>
      </c>
      <c r="B659" s="35" t="s">
        <v>2355</v>
      </c>
      <c r="C659" s="187" t="s">
        <v>1459</v>
      </c>
      <c r="D659" s="187" t="s">
        <v>1460</v>
      </c>
      <c r="E659" s="187" t="s">
        <v>1448</v>
      </c>
      <c r="F659" s="187" t="s">
        <v>1461</v>
      </c>
      <c r="G659" s="187" t="s">
        <v>1462</v>
      </c>
      <c r="H659" s="185" t="s">
        <v>189</v>
      </c>
      <c r="I659" s="186" t="s">
        <v>36</v>
      </c>
      <c r="J659" s="56"/>
      <c r="K659" s="35" t="s">
        <v>36</v>
      </c>
    </row>
    <row r="660">
      <c r="A660" s="183" t="s">
        <v>322</v>
      </c>
      <c r="B660" s="35" t="s">
        <v>2356</v>
      </c>
      <c r="C660" s="183" t="s">
        <v>1465</v>
      </c>
      <c r="D660" s="183" t="s">
        <v>1466</v>
      </c>
      <c r="E660" s="187" t="s">
        <v>1448</v>
      </c>
      <c r="F660" s="183" t="s">
        <v>1467</v>
      </c>
      <c r="G660" s="183" t="s">
        <v>1468</v>
      </c>
      <c r="H660" s="185" t="s">
        <v>189</v>
      </c>
      <c r="I660" s="186" t="s">
        <v>111</v>
      </c>
      <c r="J660" s="35" t="s">
        <v>1469</v>
      </c>
      <c r="K660" s="35" t="s">
        <v>111</v>
      </c>
    </row>
    <row r="661">
      <c r="A661" s="183" t="s">
        <v>322</v>
      </c>
      <c r="B661" s="35" t="s">
        <v>2357</v>
      </c>
      <c r="C661" s="183" t="s">
        <v>1471</v>
      </c>
      <c r="D661" s="183" t="s">
        <v>1472</v>
      </c>
      <c r="E661" s="187" t="s">
        <v>1448</v>
      </c>
      <c r="F661" s="183" t="s">
        <v>1473</v>
      </c>
      <c r="G661" s="183" t="s">
        <v>1474</v>
      </c>
      <c r="H661" s="185" t="s">
        <v>189</v>
      </c>
      <c r="I661" s="186" t="s">
        <v>111</v>
      </c>
      <c r="J661" s="183" t="s">
        <v>1475</v>
      </c>
      <c r="K661" s="35" t="s">
        <v>111</v>
      </c>
    </row>
    <row r="662">
      <c r="A662" s="183" t="s">
        <v>322</v>
      </c>
      <c r="B662" s="35" t="s">
        <v>2358</v>
      </c>
      <c r="C662" s="183" t="s">
        <v>1477</v>
      </c>
      <c r="D662" s="183" t="s">
        <v>1478</v>
      </c>
      <c r="E662" s="187" t="s">
        <v>1448</v>
      </c>
      <c r="F662" s="183" t="s">
        <v>1479</v>
      </c>
      <c r="G662" s="183" t="s">
        <v>1468</v>
      </c>
      <c r="H662" s="185" t="s">
        <v>189</v>
      </c>
      <c r="I662" s="186" t="s">
        <v>111</v>
      </c>
      <c r="J662" s="35" t="s">
        <v>1733</v>
      </c>
      <c r="K662" s="35" t="s">
        <v>111</v>
      </c>
    </row>
    <row r="663">
      <c r="A663" s="183" t="s">
        <v>322</v>
      </c>
      <c r="B663" s="35" t="s">
        <v>2359</v>
      </c>
      <c r="C663" s="183" t="s">
        <v>1481</v>
      </c>
      <c r="D663" s="183" t="s">
        <v>1472</v>
      </c>
      <c r="E663" s="187" t="s">
        <v>1448</v>
      </c>
      <c r="F663" s="183" t="s">
        <v>1482</v>
      </c>
      <c r="G663" s="183" t="s">
        <v>1474</v>
      </c>
      <c r="H663" s="185" t="s">
        <v>189</v>
      </c>
      <c r="I663" s="186" t="s">
        <v>111</v>
      </c>
      <c r="J663" s="35" t="s">
        <v>1733</v>
      </c>
      <c r="K663" s="35" t="s">
        <v>111</v>
      </c>
    </row>
    <row r="664">
      <c r="A664" s="183" t="s">
        <v>322</v>
      </c>
      <c r="B664" s="35" t="s">
        <v>2360</v>
      </c>
      <c r="C664" s="183" t="s">
        <v>1484</v>
      </c>
      <c r="D664" s="183" t="s">
        <v>1472</v>
      </c>
      <c r="E664" s="187" t="s">
        <v>1448</v>
      </c>
      <c r="F664" s="183" t="s">
        <v>1485</v>
      </c>
      <c r="G664" s="183" t="s">
        <v>1486</v>
      </c>
      <c r="H664" s="185" t="s">
        <v>189</v>
      </c>
      <c r="I664" s="186" t="s">
        <v>111</v>
      </c>
      <c r="J664" s="183" t="s">
        <v>1475</v>
      </c>
      <c r="K664" s="35" t="s">
        <v>111</v>
      </c>
    </row>
    <row r="665">
      <c r="A665" s="183" t="s">
        <v>322</v>
      </c>
      <c r="B665" s="35" t="s">
        <v>2361</v>
      </c>
      <c r="C665" s="187" t="s">
        <v>1488</v>
      </c>
      <c r="D665" s="187" t="s">
        <v>1489</v>
      </c>
      <c r="E665" s="187" t="s">
        <v>1490</v>
      </c>
      <c r="F665" s="187" t="s">
        <v>1491</v>
      </c>
      <c r="G665" s="187" t="s">
        <v>1492</v>
      </c>
      <c r="H665" s="185" t="s">
        <v>189</v>
      </c>
      <c r="I665" s="186" t="s">
        <v>111</v>
      </c>
      <c r="J665" s="35" t="s">
        <v>1741</v>
      </c>
      <c r="K665" s="35" t="s">
        <v>111</v>
      </c>
    </row>
    <row r="666">
      <c r="A666" s="183" t="s">
        <v>322</v>
      </c>
      <c r="B666" s="35" t="s">
        <v>2362</v>
      </c>
      <c r="C666" s="187" t="s">
        <v>1494</v>
      </c>
      <c r="D666" s="183" t="s">
        <v>1495</v>
      </c>
      <c r="E666" s="187" t="s">
        <v>1496</v>
      </c>
      <c r="F666" s="187" t="s">
        <v>1497</v>
      </c>
      <c r="G666" s="187" t="s">
        <v>1498</v>
      </c>
      <c r="H666" s="185" t="s">
        <v>189</v>
      </c>
      <c r="I666" s="186" t="s">
        <v>111</v>
      </c>
      <c r="J666" s="185" t="s">
        <v>1741</v>
      </c>
      <c r="K666" s="35" t="s">
        <v>111</v>
      </c>
    </row>
    <row r="667">
      <c r="A667" s="183" t="s">
        <v>322</v>
      </c>
      <c r="B667" s="35" t="s">
        <v>2363</v>
      </c>
      <c r="C667" s="187" t="s">
        <v>1501</v>
      </c>
      <c r="D667" s="187" t="s">
        <v>1502</v>
      </c>
      <c r="E667" s="187" t="s">
        <v>1503</v>
      </c>
      <c r="F667" s="187" t="s">
        <v>1491</v>
      </c>
      <c r="G667" s="187" t="s">
        <v>1504</v>
      </c>
      <c r="H667" s="185" t="s">
        <v>189</v>
      </c>
      <c r="I667" s="186" t="s">
        <v>36</v>
      </c>
      <c r="J667" s="56"/>
      <c r="K667" s="35" t="s">
        <v>36</v>
      </c>
    </row>
    <row r="668">
      <c r="A668" s="183" t="s">
        <v>322</v>
      </c>
      <c r="B668" s="35" t="s">
        <v>2364</v>
      </c>
      <c r="C668" s="187" t="s">
        <v>1506</v>
      </c>
      <c r="D668" s="187" t="s">
        <v>1507</v>
      </c>
      <c r="E668" s="187" t="s">
        <v>1508</v>
      </c>
      <c r="F668" s="187" t="s">
        <v>1491</v>
      </c>
      <c r="G668" s="187" t="s">
        <v>1509</v>
      </c>
      <c r="H668" s="185" t="s">
        <v>189</v>
      </c>
      <c r="I668" s="186" t="s">
        <v>36</v>
      </c>
      <c r="J668" s="56"/>
      <c r="K668" s="35" t="s">
        <v>36</v>
      </c>
    </row>
    <row r="669">
      <c r="A669" s="183" t="s">
        <v>322</v>
      </c>
      <c r="B669" s="35" t="s">
        <v>2365</v>
      </c>
      <c r="C669" s="187" t="s">
        <v>1511</v>
      </c>
      <c r="D669" s="187" t="s">
        <v>1512</v>
      </c>
      <c r="E669" s="187" t="s">
        <v>1513</v>
      </c>
      <c r="F669" s="187" t="s">
        <v>1491</v>
      </c>
      <c r="G669" s="187" t="s">
        <v>1514</v>
      </c>
      <c r="H669" s="185" t="s">
        <v>189</v>
      </c>
      <c r="I669" s="186" t="s">
        <v>111</v>
      </c>
      <c r="J669" s="185" t="s">
        <v>1741</v>
      </c>
      <c r="K669" s="35" t="s">
        <v>111</v>
      </c>
    </row>
    <row r="670">
      <c r="A670" s="183" t="s">
        <v>322</v>
      </c>
      <c r="B670" s="35" t="s">
        <v>2366</v>
      </c>
      <c r="C670" s="187" t="s">
        <v>1516</v>
      </c>
      <c r="D670" s="187" t="s">
        <v>1517</v>
      </c>
      <c r="E670" s="187" t="s">
        <v>1518</v>
      </c>
      <c r="F670" s="187" t="s">
        <v>1519</v>
      </c>
      <c r="G670" s="187" t="s">
        <v>1520</v>
      </c>
      <c r="H670" s="185" t="s">
        <v>189</v>
      </c>
      <c r="I670" s="186" t="s">
        <v>111</v>
      </c>
      <c r="J670" s="185" t="s">
        <v>1741</v>
      </c>
      <c r="K670" s="35" t="s">
        <v>111</v>
      </c>
    </row>
    <row r="671">
      <c r="A671" s="183" t="s">
        <v>322</v>
      </c>
      <c r="B671" s="35" t="s">
        <v>2367</v>
      </c>
      <c r="C671" s="187" t="s">
        <v>1523</v>
      </c>
      <c r="D671" s="187" t="s">
        <v>1524</v>
      </c>
      <c r="E671" s="187" t="s">
        <v>1525</v>
      </c>
      <c r="F671" s="187" t="s">
        <v>1526</v>
      </c>
      <c r="G671" s="187" t="s">
        <v>1527</v>
      </c>
      <c r="H671" s="185" t="s">
        <v>189</v>
      </c>
      <c r="I671" s="186" t="s">
        <v>111</v>
      </c>
      <c r="J671" s="185" t="s">
        <v>1741</v>
      </c>
      <c r="K671" s="35" t="s">
        <v>111</v>
      </c>
    </row>
    <row r="672">
      <c r="A672" s="183" t="s">
        <v>322</v>
      </c>
      <c r="B672" s="35" t="s">
        <v>2368</v>
      </c>
      <c r="C672" s="187" t="s">
        <v>1529</v>
      </c>
      <c r="D672" s="187" t="s">
        <v>1530</v>
      </c>
      <c r="E672" s="187" t="s">
        <v>1531</v>
      </c>
      <c r="F672" s="187" t="s">
        <v>1532</v>
      </c>
      <c r="G672" s="187" t="s">
        <v>1533</v>
      </c>
      <c r="H672" s="185" t="s">
        <v>189</v>
      </c>
      <c r="I672" s="186" t="s">
        <v>111</v>
      </c>
      <c r="J672" s="185" t="s">
        <v>1741</v>
      </c>
      <c r="K672" s="35" t="s">
        <v>111</v>
      </c>
    </row>
    <row r="673">
      <c r="A673" s="183" t="s">
        <v>322</v>
      </c>
      <c r="B673" s="35" t="s">
        <v>2369</v>
      </c>
      <c r="C673" s="187" t="s">
        <v>1535</v>
      </c>
      <c r="D673" s="187" t="s">
        <v>1536</v>
      </c>
      <c r="E673" s="187" t="s">
        <v>1537</v>
      </c>
      <c r="F673" s="187" t="s">
        <v>1538</v>
      </c>
      <c r="G673" s="187" t="s">
        <v>1539</v>
      </c>
      <c r="H673" s="185" t="s">
        <v>189</v>
      </c>
      <c r="I673" s="186" t="s">
        <v>111</v>
      </c>
      <c r="J673" s="185" t="s">
        <v>1741</v>
      </c>
      <c r="K673" s="35" t="s">
        <v>111</v>
      </c>
    </row>
    <row r="674">
      <c r="A674" s="183" t="s">
        <v>322</v>
      </c>
      <c r="B674" s="35" t="s">
        <v>2370</v>
      </c>
      <c r="C674" s="187" t="s">
        <v>1541</v>
      </c>
      <c r="D674" s="187" t="s">
        <v>1542</v>
      </c>
      <c r="E674" s="187" t="s">
        <v>1543</v>
      </c>
      <c r="F674" s="187" t="s">
        <v>1544</v>
      </c>
      <c r="G674" s="187" t="s">
        <v>1545</v>
      </c>
      <c r="H674" s="185" t="s">
        <v>189</v>
      </c>
      <c r="I674" s="186" t="s">
        <v>36</v>
      </c>
      <c r="J674" s="56"/>
      <c r="K674" s="35" t="s">
        <v>36</v>
      </c>
    </row>
    <row r="675">
      <c r="A675" s="183" t="s">
        <v>322</v>
      </c>
      <c r="B675" s="35" t="s">
        <v>2371</v>
      </c>
      <c r="C675" s="187" t="s">
        <v>1547</v>
      </c>
      <c r="D675" s="187" t="s">
        <v>1548</v>
      </c>
      <c r="E675" s="187" t="s">
        <v>1448</v>
      </c>
      <c r="F675" s="187" t="s">
        <v>1549</v>
      </c>
      <c r="G675" s="187" t="s">
        <v>1550</v>
      </c>
      <c r="H675" s="185" t="s">
        <v>189</v>
      </c>
      <c r="I675" s="186" t="s">
        <v>36</v>
      </c>
      <c r="J675" s="56"/>
      <c r="K675" s="35" t="s">
        <v>36</v>
      </c>
    </row>
    <row r="676">
      <c r="A676" s="183" t="s">
        <v>322</v>
      </c>
      <c r="B676" s="35" t="s">
        <v>2372</v>
      </c>
      <c r="C676" s="187" t="s">
        <v>1552</v>
      </c>
      <c r="D676" s="187" t="s">
        <v>1553</v>
      </c>
      <c r="E676" s="187" t="s">
        <v>1448</v>
      </c>
      <c r="F676" s="187" t="s">
        <v>1554</v>
      </c>
      <c r="G676" s="187" t="s">
        <v>1555</v>
      </c>
      <c r="H676" s="185" t="s">
        <v>189</v>
      </c>
      <c r="I676" s="186" t="s">
        <v>111</v>
      </c>
      <c r="J676" s="35" t="s">
        <v>1753</v>
      </c>
      <c r="K676" s="35" t="s">
        <v>111</v>
      </c>
    </row>
    <row r="677">
      <c r="A677" s="183" t="s">
        <v>322</v>
      </c>
      <c r="B677" s="35" t="s">
        <v>2373</v>
      </c>
      <c r="C677" s="187" t="s">
        <v>1558</v>
      </c>
      <c r="D677" s="187" t="s">
        <v>1559</v>
      </c>
      <c r="E677" s="187" t="s">
        <v>1448</v>
      </c>
      <c r="F677" s="187" t="s">
        <v>1560</v>
      </c>
      <c r="G677" s="187" t="s">
        <v>1561</v>
      </c>
      <c r="H677" s="185" t="s">
        <v>189</v>
      </c>
      <c r="I677" s="186" t="s">
        <v>36</v>
      </c>
      <c r="J677" s="35"/>
      <c r="K677" s="35" t="s">
        <v>36</v>
      </c>
    </row>
    <row r="678">
      <c r="A678" s="183" t="s">
        <v>322</v>
      </c>
      <c r="B678" s="35" t="s">
        <v>2374</v>
      </c>
      <c r="C678" s="187" t="s">
        <v>1563</v>
      </c>
      <c r="D678" s="187" t="s">
        <v>1564</v>
      </c>
      <c r="E678" s="187" t="s">
        <v>1448</v>
      </c>
      <c r="F678" s="187" t="s">
        <v>1565</v>
      </c>
      <c r="G678" s="187" t="s">
        <v>1566</v>
      </c>
      <c r="H678" s="185" t="s">
        <v>189</v>
      </c>
      <c r="I678" s="186" t="s">
        <v>36</v>
      </c>
      <c r="J678" s="35"/>
      <c r="K678" s="35" t="s">
        <v>36</v>
      </c>
    </row>
    <row r="679">
      <c r="A679" s="183" t="s">
        <v>322</v>
      </c>
      <c r="B679" s="35" t="s">
        <v>2375</v>
      </c>
      <c r="C679" s="187" t="s">
        <v>1568</v>
      </c>
      <c r="D679" s="187" t="s">
        <v>1569</v>
      </c>
      <c r="E679" s="187" t="s">
        <v>1448</v>
      </c>
      <c r="F679" s="187" t="s">
        <v>1570</v>
      </c>
      <c r="G679" s="187" t="s">
        <v>1571</v>
      </c>
      <c r="H679" s="185" t="s">
        <v>189</v>
      </c>
      <c r="I679" s="186" t="s">
        <v>36</v>
      </c>
      <c r="J679" s="56"/>
      <c r="K679" s="35" t="s">
        <v>36</v>
      </c>
    </row>
    <row r="680">
      <c r="A680" s="183" t="s">
        <v>322</v>
      </c>
      <c r="B680" s="35" t="s">
        <v>2376</v>
      </c>
      <c r="C680" s="187" t="s">
        <v>1573</v>
      </c>
      <c r="D680" s="187" t="s">
        <v>1574</v>
      </c>
      <c r="E680" s="187" t="s">
        <v>1448</v>
      </c>
      <c r="F680" s="187" t="s">
        <v>1575</v>
      </c>
      <c r="G680" s="187" t="s">
        <v>1576</v>
      </c>
      <c r="H680" s="185" t="s">
        <v>189</v>
      </c>
      <c r="I680" s="186" t="s">
        <v>111</v>
      </c>
      <c r="J680" s="35" t="s">
        <v>1577</v>
      </c>
      <c r="K680" s="35" t="s">
        <v>111</v>
      </c>
    </row>
    <row r="681">
      <c r="A681" s="183" t="s">
        <v>322</v>
      </c>
      <c r="B681" s="35" t="s">
        <v>2377</v>
      </c>
      <c r="C681" s="187" t="s">
        <v>1579</v>
      </c>
      <c r="D681" s="187" t="s">
        <v>1580</v>
      </c>
      <c r="E681" s="187" t="s">
        <v>1448</v>
      </c>
      <c r="F681" s="187" t="s">
        <v>1581</v>
      </c>
      <c r="G681" s="187" t="s">
        <v>1582</v>
      </c>
      <c r="H681" s="185" t="s">
        <v>189</v>
      </c>
      <c r="I681" s="186" t="s">
        <v>36</v>
      </c>
      <c r="J681" s="56"/>
      <c r="K681" s="35" t="s">
        <v>36</v>
      </c>
    </row>
    <row r="682">
      <c r="A682" s="183" t="s">
        <v>322</v>
      </c>
      <c r="B682" s="35" t="s">
        <v>2378</v>
      </c>
      <c r="C682" s="187" t="s">
        <v>1584</v>
      </c>
      <c r="D682" s="187" t="s">
        <v>1585</v>
      </c>
      <c r="E682" s="187" t="s">
        <v>1586</v>
      </c>
      <c r="F682" s="187" t="s">
        <v>1587</v>
      </c>
      <c r="G682" s="187" t="s">
        <v>1588</v>
      </c>
      <c r="H682" s="185" t="s">
        <v>189</v>
      </c>
      <c r="I682" s="186" t="s">
        <v>111</v>
      </c>
      <c r="J682" s="185" t="s">
        <v>1741</v>
      </c>
      <c r="K682" s="35" t="s">
        <v>111</v>
      </c>
    </row>
    <row r="683">
      <c r="A683" s="183" t="s">
        <v>322</v>
      </c>
      <c r="B683" s="35" t="s">
        <v>2379</v>
      </c>
      <c r="C683" s="187" t="s">
        <v>1590</v>
      </c>
      <c r="D683" s="187" t="s">
        <v>1591</v>
      </c>
      <c r="E683" s="187" t="s">
        <v>1592</v>
      </c>
      <c r="F683" s="187" t="s">
        <v>1593</v>
      </c>
      <c r="G683" s="187" t="s">
        <v>1594</v>
      </c>
      <c r="H683" s="185" t="s">
        <v>189</v>
      </c>
      <c r="I683" s="186" t="s">
        <v>111</v>
      </c>
      <c r="J683" s="185" t="s">
        <v>1741</v>
      </c>
      <c r="K683" s="35" t="s">
        <v>111</v>
      </c>
    </row>
    <row r="684">
      <c r="A684" s="183" t="s">
        <v>322</v>
      </c>
      <c r="B684" s="35" t="s">
        <v>2380</v>
      </c>
      <c r="C684" s="187" t="s">
        <v>1597</v>
      </c>
      <c r="D684" s="187" t="s">
        <v>1598</v>
      </c>
      <c r="E684" s="187" t="s">
        <v>1599</v>
      </c>
      <c r="F684" s="187" t="s">
        <v>1600</v>
      </c>
      <c r="G684" s="187" t="s">
        <v>1601</v>
      </c>
      <c r="H684" s="185" t="s">
        <v>189</v>
      </c>
      <c r="I684" s="186" t="s">
        <v>111</v>
      </c>
      <c r="J684" s="185" t="s">
        <v>1741</v>
      </c>
      <c r="K684" s="35" t="s">
        <v>111</v>
      </c>
    </row>
    <row r="685">
      <c r="A685" s="183" t="s">
        <v>322</v>
      </c>
      <c r="B685" s="35" t="s">
        <v>2381</v>
      </c>
      <c r="C685" s="187" t="s">
        <v>1603</v>
      </c>
      <c r="D685" s="187" t="s">
        <v>1604</v>
      </c>
      <c r="E685" s="187" t="s">
        <v>1605</v>
      </c>
      <c r="F685" s="187" t="s">
        <v>1606</v>
      </c>
      <c r="G685" s="187" t="s">
        <v>1607</v>
      </c>
      <c r="H685" s="185" t="s">
        <v>189</v>
      </c>
      <c r="I685" s="186" t="s">
        <v>111</v>
      </c>
      <c r="J685" s="185" t="s">
        <v>1741</v>
      </c>
      <c r="K685" s="35" t="s">
        <v>111</v>
      </c>
    </row>
    <row r="686">
      <c r="A686" s="183" t="s">
        <v>322</v>
      </c>
      <c r="B686" s="35" t="s">
        <v>2382</v>
      </c>
      <c r="C686" s="187" t="s">
        <v>1609</v>
      </c>
      <c r="D686" s="187" t="s">
        <v>1610</v>
      </c>
      <c r="E686" s="187" t="s">
        <v>1611</v>
      </c>
      <c r="F686" s="187" t="s">
        <v>1612</v>
      </c>
      <c r="G686" s="187" t="s">
        <v>1613</v>
      </c>
      <c r="H686" s="185" t="s">
        <v>189</v>
      </c>
      <c r="I686" s="186" t="s">
        <v>111</v>
      </c>
      <c r="J686" s="185" t="s">
        <v>1741</v>
      </c>
      <c r="K686" s="35" t="s">
        <v>111</v>
      </c>
    </row>
    <row r="687">
      <c r="A687" s="183" t="s">
        <v>322</v>
      </c>
      <c r="B687" s="35" t="s">
        <v>2383</v>
      </c>
      <c r="C687" s="187" t="s">
        <v>1615</v>
      </c>
      <c r="D687" s="187" t="s">
        <v>1616</v>
      </c>
      <c r="E687" s="187" t="s">
        <v>1611</v>
      </c>
      <c r="F687" s="187" t="s">
        <v>1617</v>
      </c>
      <c r="G687" s="187" t="s">
        <v>1618</v>
      </c>
      <c r="H687" s="185" t="s">
        <v>189</v>
      </c>
      <c r="I687" s="186" t="s">
        <v>111</v>
      </c>
      <c r="J687" s="185" t="s">
        <v>1741</v>
      </c>
      <c r="K687" s="35" t="s">
        <v>111</v>
      </c>
    </row>
    <row r="688">
      <c r="A688" s="183" t="s">
        <v>322</v>
      </c>
      <c r="B688" s="35" t="s">
        <v>2384</v>
      </c>
      <c r="C688" s="187" t="s">
        <v>1620</v>
      </c>
      <c r="D688" s="187" t="s">
        <v>1621</v>
      </c>
      <c r="E688" s="187" t="s">
        <v>1622</v>
      </c>
      <c r="F688" s="187" t="s">
        <v>1623</v>
      </c>
      <c r="G688" s="187" t="s">
        <v>1624</v>
      </c>
      <c r="H688" s="185" t="s">
        <v>189</v>
      </c>
      <c r="I688" s="186" t="s">
        <v>111</v>
      </c>
      <c r="J688" s="185" t="s">
        <v>1741</v>
      </c>
      <c r="K688" s="35" t="s">
        <v>111</v>
      </c>
    </row>
    <row r="689">
      <c r="A689" s="183" t="s">
        <v>322</v>
      </c>
      <c r="B689" s="35" t="s">
        <v>2385</v>
      </c>
      <c r="C689" s="187" t="s">
        <v>1626</v>
      </c>
      <c r="D689" s="187" t="s">
        <v>1627</v>
      </c>
      <c r="E689" s="187" t="s">
        <v>1622</v>
      </c>
      <c r="F689" s="187" t="s">
        <v>1549</v>
      </c>
      <c r="G689" s="187" t="s">
        <v>1628</v>
      </c>
      <c r="H689" s="185" t="s">
        <v>189</v>
      </c>
      <c r="I689" s="186" t="s">
        <v>111</v>
      </c>
      <c r="J689" s="185" t="s">
        <v>1741</v>
      </c>
      <c r="K689" s="35" t="s">
        <v>111</v>
      </c>
    </row>
    <row r="690">
      <c r="A690" s="183" t="s">
        <v>322</v>
      </c>
      <c r="B690" s="35" t="s">
        <v>2386</v>
      </c>
      <c r="C690" s="187" t="s">
        <v>1630</v>
      </c>
      <c r="D690" s="187" t="s">
        <v>1631</v>
      </c>
      <c r="E690" s="187" t="s">
        <v>1632</v>
      </c>
      <c r="F690" s="187" t="s">
        <v>1633</v>
      </c>
      <c r="G690" s="187" t="s">
        <v>1634</v>
      </c>
      <c r="H690" s="185" t="s">
        <v>189</v>
      </c>
      <c r="I690" s="186" t="s">
        <v>111</v>
      </c>
      <c r="J690" s="185" t="s">
        <v>1741</v>
      </c>
      <c r="K690" s="35" t="s">
        <v>111</v>
      </c>
    </row>
    <row r="691">
      <c r="A691" s="183" t="s">
        <v>322</v>
      </c>
      <c r="B691" s="35" t="s">
        <v>2387</v>
      </c>
      <c r="C691" s="187" t="s">
        <v>1636</v>
      </c>
      <c r="D691" s="187" t="s">
        <v>1637</v>
      </c>
      <c r="E691" s="187" t="s">
        <v>1638</v>
      </c>
      <c r="F691" s="187" t="s">
        <v>1639</v>
      </c>
      <c r="G691" s="187" t="s">
        <v>1588</v>
      </c>
      <c r="H691" s="185" t="s">
        <v>189</v>
      </c>
      <c r="I691" s="186" t="s">
        <v>111</v>
      </c>
      <c r="J691" s="185" t="s">
        <v>1741</v>
      </c>
      <c r="K691" s="35" t="s">
        <v>111</v>
      </c>
    </row>
    <row r="692">
      <c r="A692" s="183" t="s">
        <v>322</v>
      </c>
      <c r="B692" s="35" t="s">
        <v>2388</v>
      </c>
      <c r="C692" s="187" t="s">
        <v>1641</v>
      </c>
      <c r="D692" s="187" t="s">
        <v>1642</v>
      </c>
      <c r="E692" s="187" t="s">
        <v>1638</v>
      </c>
      <c r="F692" s="187" t="s">
        <v>1643</v>
      </c>
      <c r="G692" s="187" t="s">
        <v>1594</v>
      </c>
      <c r="H692" s="185" t="s">
        <v>189</v>
      </c>
      <c r="I692" s="186" t="s">
        <v>111</v>
      </c>
      <c r="J692" s="185" t="s">
        <v>1741</v>
      </c>
      <c r="K692" s="35" t="s">
        <v>111</v>
      </c>
    </row>
    <row r="693">
      <c r="A693" s="183" t="s">
        <v>322</v>
      </c>
      <c r="B693" s="35" t="s">
        <v>2389</v>
      </c>
      <c r="C693" s="187" t="s">
        <v>1645</v>
      </c>
      <c r="D693" s="187" t="s">
        <v>1646</v>
      </c>
      <c r="E693" s="187" t="s">
        <v>1638</v>
      </c>
      <c r="F693" s="187" t="s">
        <v>1647</v>
      </c>
      <c r="G693" s="187" t="s">
        <v>1601</v>
      </c>
      <c r="H693" s="185" t="s">
        <v>189</v>
      </c>
      <c r="I693" s="186" t="s">
        <v>111</v>
      </c>
      <c r="J693" s="185" t="s">
        <v>1741</v>
      </c>
      <c r="K693" s="35" t="s">
        <v>111</v>
      </c>
    </row>
    <row r="694">
      <c r="A694" s="183" t="s">
        <v>322</v>
      </c>
      <c r="B694" s="35" t="s">
        <v>2390</v>
      </c>
      <c r="C694" s="187" t="s">
        <v>1649</v>
      </c>
      <c r="D694" s="187" t="s">
        <v>1650</v>
      </c>
      <c r="E694" s="187" t="s">
        <v>1638</v>
      </c>
      <c r="F694" s="187" t="s">
        <v>1554</v>
      </c>
      <c r="G694" s="187" t="s">
        <v>1651</v>
      </c>
      <c r="H694" s="185" t="s">
        <v>189</v>
      </c>
      <c r="I694" s="186" t="s">
        <v>111</v>
      </c>
      <c r="J694" s="185" t="s">
        <v>1741</v>
      </c>
      <c r="K694" s="35" t="s">
        <v>111</v>
      </c>
    </row>
    <row r="695">
      <c r="A695" s="183" t="s">
        <v>322</v>
      </c>
      <c r="B695" s="35" t="s">
        <v>2391</v>
      </c>
      <c r="C695" s="187" t="s">
        <v>1653</v>
      </c>
      <c r="D695" s="187" t="s">
        <v>1654</v>
      </c>
      <c r="E695" s="187" t="s">
        <v>1638</v>
      </c>
      <c r="F695" s="187" t="s">
        <v>1560</v>
      </c>
      <c r="G695" s="187" t="s">
        <v>1561</v>
      </c>
      <c r="H695" s="185" t="s">
        <v>189</v>
      </c>
      <c r="I695" s="186" t="s">
        <v>111</v>
      </c>
      <c r="J695" s="185" t="s">
        <v>1741</v>
      </c>
      <c r="K695" s="35" t="s">
        <v>111</v>
      </c>
    </row>
    <row r="696">
      <c r="A696" s="183" t="s">
        <v>322</v>
      </c>
      <c r="B696" s="35" t="s">
        <v>2392</v>
      </c>
      <c r="C696" s="187" t="s">
        <v>1656</v>
      </c>
      <c r="D696" s="187" t="s">
        <v>1564</v>
      </c>
      <c r="E696" s="187" t="s">
        <v>1638</v>
      </c>
      <c r="F696" s="187" t="s">
        <v>1657</v>
      </c>
      <c r="G696" s="187" t="s">
        <v>1566</v>
      </c>
      <c r="H696" s="185" t="s">
        <v>189</v>
      </c>
      <c r="I696" s="186" t="s">
        <v>111</v>
      </c>
      <c r="J696" s="185" t="s">
        <v>1741</v>
      </c>
      <c r="K696" s="35" t="s">
        <v>111</v>
      </c>
    </row>
    <row r="697">
      <c r="A697" s="183" t="s">
        <v>322</v>
      </c>
      <c r="B697" s="35" t="s">
        <v>2393</v>
      </c>
      <c r="C697" s="187" t="s">
        <v>1659</v>
      </c>
      <c r="D697" s="187" t="s">
        <v>1569</v>
      </c>
      <c r="E697" s="187" t="s">
        <v>1638</v>
      </c>
      <c r="F697" s="187" t="s">
        <v>1570</v>
      </c>
      <c r="G697" s="187" t="s">
        <v>1571</v>
      </c>
      <c r="H697" s="185" t="s">
        <v>189</v>
      </c>
      <c r="I697" s="186" t="s">
        <v>111</v>
      </c>
      <c r="J697" s="185" t="s">
        <v>1741</v>
      </c>
      <c r="K697" s="35" t="s">
        <v>111</v>
      </c>
    </row>
    <row r="698">
      <c r="A698" s="183" t="s">
        <v>322</v>
      </c>
      <c r="B698" s="35" t="s">
        <v>2394</v>
      </c>
      <c r="C698" s="187" t="s">
        <v>1661</v>
      </c>
      <c r="D698" s="187" t="s">
        <v>1574</v>
      </c>
      <c r="E698" s="187" t="s">
        <v>1638</v>
      </c>
      <c r="F698" s="187" t="s">
        <v>1575</v>
      </c>
      <c r="G698" s="187" t="s">
        <v>1576</v>
      </c>
      <c r="H698" s="185" t="s">
        <v>189</v>
      </c>
      <c r="I698" s="186" t="s">
        <v>111</v>
      </c>
      <c r="J698" s="185" t="s">
        <v>1741</v>
      </c>
      <c r="K698" s="35" t="s">
        <v>111</v>
      </c>
    </row>
    <row r="699">
      <c r="A699" s="183" t="s">
        <v>322</v>
      </c>
      <c r="B699" s="35" t="s">
        <v>2395</v>
      </c>
      <c r="C699" s="187" t="s">
        <v>1663</v>
      </c>
      <c r="D699" s="187" t="s">
        <v>1580</v>
      </c>
      <c r="E699" s="187" t="s">
        <v>1638</v>
      </c>
      <c r="F699" s="187" t="s">
        <v>1581</v>
      </c>
      <c r="G699" s="187" t="s">
        <v>1582</v>
      </c>
      <c r="H699" s="185" t="s">
        <v>189</v>
      </c>
      <c r="I699" s="186" t="s">
        <v>111</v>
      </c>
      <c r="J699" s="185" t="s">
        <v>1741</v>
      </c>
      <c r="K699" s="35" t="s">
        <v>111</v>
      </c>
    </row>
    <row r="700">
      <c r="A700" s="183" t="s">
        <v>322</v>
      </c>
      <c r="B700" s="35" t="s">
        <v>2396</v>
      </c>
      <c r="C700" s="187" t="s">
        <v>1666</v>
      </c>
      <c r="D700" s="187" t="s">
        <v>1667</v>
      </c>
      <c r="E700" s="187" t="s">
        <v>1668</v>
      </c>
      <c r="F700" s="187" t="s">
        <v>1669</v>
      </c>
      <c r="G700" s="187" t="s">
        <v>1670</v>
      </c>
      <c r="H700" s="185" t="s">
        <v>189</v>
      </c>
      <c r="I700" s="186" t="s">
        <v>111</v>
      </c>
      <c r="J700" s="185" t="s">
        <v>1741</v>
      </c>
      <c r="K700" s="35" t="s">
        <v>111</v>
      </c>
    </row>
    <row r="701">
      <c r="A701" s="183" t="s">
        <v>322</v>
      </c>
      <c r="B701" s="35" t="s">
        <v>2397</v>
      </c>
      <c r="C701" s="187" t="s">
        <v>1672</v>
      </c>
      <c r="D701" s="187" t="s">
        <v>1673</v>
      </c>
      <c r="E701" s="187" t="s">
        <v>1674</v>
      </c>
      <c r="F701" s="187" t="s">
        <v>1675</v>
      </c>
      <c r="G701" s="187" t="s">
        <v>1676</v>
      </c>
      <c r="H701" s="185" t="s">
        <v>189</v>
      </c>
      <c r="I701" s="186" t="s">
        <v>111</v>
      </c>
      <c r="J701" s="185" t="s">
        <v>1741</v>
      </c>
      <c r="K701" s="35" t="s">
        <v>111</v>
      </c>
    </row>
    <row r="702">
      <c r="A702" s="183" t="s">
        <v>322</v>
      </c>
      <c r="B702" s="35" t="s">
        <v>2398</v>
      </c>
      <c r="C702" s="187" t="s">
        <v>1678</v>
      </c>
      <c r="D702" s="187" t="s">
        <v>1679</v>
      </c>
      <c r="E702" s="187" t="s">
        <v>1680</v>
      </c>
      <c r="F702" s="187" t="s">
        <v>1681</v>
      </c>
      <c r="G702" s="187" t="s">
        <v>1682</v>
      </c>
      <c r="H702" s="185" t="s">
        <v>189</v>
      </c>
      <c r="I702" s="186" t="s">
        <v>111</v>
      </c>
      <c r="J702" s="185" t="s">
        <v>1741</v>
      </c>
      <c r="K702" s="35" t="s">
        <v>111</v>
      </c>
    </row>
    <row r="703">
      <c r="A703" s="183" t="s">
        <v>322</v>
      </c>
      <c r="B703" s="35" t="s">
        <v>2399</v>
      </c>
      <c r="C703" s="187" t="s">
        <v>1684</v>
      </c>
      <c r="D703" s="187" t="s">
        <v>1679</v>
      </c>
      <c r="E703" s="187" t="s">
        <v>1680</v>
      </c>
      <c r="F703" s="187" t="s">
        <v>1681</v>
      </c>
      <c r="G703" s="187" t="s">
        <v>1682</v>
      </c>
      <c r="H703" s="185" t="s">
        <v>189</v>
      </c>
      <c r="I703" s="186" t="s">
        <v>111</v>
      </c>
      <c r="J703" s="185" t="s">
        <v>1741</v>
      </c>
      <c r="K703" s="35" t="s">
        <v>111</v>
      </c>
    </row>
    <row r="704">
      <c r="A704" s="183" t="s">
        <v>322</v>
      </c>
      <c r="B704" s="35" t="s">
        <v>2400</v>
      </c>
      <c r="C704" s="187" t="s">
        <v>1686</v>
      </c>
      <c r="D704" s="187" t="s">
        <v>1687</v>
      </c>
      <c r="E704" s="187" t="s">
        <v>1688</v>
      </c>
      <c r="F704" s="187" t="s">
        <v>1689</v>
      </c>
      <c r="G704" s="187" t="s">
        <v>1690</v>
      </c>
      <c r="H704" s="185" t="s">
        <v>189</v>
      </c>
      <c r="I704" s="186" t="s">
        <v>111</v>
      </c>
      <c r="J704" s="185" t="s">
        <v>1741</v>
      </c>
      <c r="K704" s="35" t="s">
        <v>111</v>
      </c>
    </row>
    <row r="705">
      <c r="A705" s="183" t="s">
        <v>322</v>
      </c>
      <c r="B705" s="35" t="s">
        <v>2401</v>
      </c>
      <c r="C705" s="187" t="s">
        <v>1692</v>
      </c>
      <c r="D705" s="187" t="s">
        <v>1693</v>
      </c>
      <c r="E705" s="187" t="s">
        <v>1694</v>
      </c>
      <c r="F705" s="187" t="s">
        <v>1554</v>
      </c>
      <c r="G705" s="187" t="s">
        <v>1555</v>
      </c>
      <c r="H705" s="185" t="s">
        <v>189</v>
      </c>
      <c r="I705" s="186" t="s">
        <v>111</v>
      </c>
      <c r="J705" s="185" t="s">
        <v>1741</v>
      </c>
      <c r="K705" s="35" t="s">
        <v>111</v>
      </c>
    </row>
    <row r="706">
      <c r="A706" s="183" t="s">
        <v>322</v>
      </c>
      <c r="B706" s="35" t="s">
        <v>2402</v>
      </c>
      <c r="C706" s="187" t="s">
        <v>1696</v>
      </c>
      <c r="D706" s="187" t="s">
        <v>1564</v>
      </c>
      <c r="E706" s="187" t="s">
        <v>1697</v>
      </c>
      <c r="F706" s="187" t="s">
        <v>1657</v>
      </c>
      <c r="G706" s="187" t="s">
        <v>1566</v>
      </c>
      <c r="H706" s="185" t="s">
        <v>189</v>
      </c>
      <c r="I706" s="186" t="s">
        <v>111</v>
      </c>
      <c r="J706" s="185" t="s">
        <v>1741</v>
      </c>
      <c r="K706" s="35" t="s">
        <v>111</v>
      </c>
    </row>
    <row r="707">
      <c r="A707" s="183" t="s">
        <v>322</v>
      </c>
      <c r="B707" s="35" t="s">
        <v>2403</v>
      </c>
      <c r="C707" s="187" t="s">
        <v>1699</v>
      </c>
      <c r="D707" s="187" t="s">
        <v>1700</v>
      </c>
      <c r="E707" s="187" t="s">
        <v>1701</v>
      </c>
      <c r="F707" s="187" t="s">
        <v>1560</v>
      </c>
      <c r="G707" s="187" t="s">
        <v>1561</v>
      </c>
      <c r="H707" s="185" t="s">
        <v>189</v>
      </c>
      <c r="I707" s="186" t="s">
        <v>111</v>
      </c>
      <c r="J707" s="185" t="s">
        <v>1741</v>
      </c>
      <c r="K707" s="35" t="s">
        <v>111</v>
      </c>
    </row>
    <row r="708">
      <c r="A708" s="183" t="s">
        <v>322</v>
      </c>
      <c r="B708" s="35" t="s">
        <v>2404</v>
      </c>
      <c r="C708" s="187" t="s">
        <v>1703</v>
      </c>
      <c r="D708" s="187" t="s">
        <v>1569</v>
      </c>
      <c r="E708" s="187" t="s">
        <v>1622</v>
      </c>
      <c r="F708" s="187" t="s">
        <v>1570</v>
      </c>
      <c r="G708" s="187" t="s">
        <v>1571</v>
      </c>
      <c r="H708" s="185" t="s">
        <v>189</v>
      </c>
      <c r="I708" s="186" t="s">
        <v>111</v>
      </c>
      <c r="J708" s="185" t="s">
        <v>1741</v>
      </c>
      <c r="K708" s="35" t="s">
        <v>111</v>
      </c>
    </row>
    <row r="709">
      <c r="A709" s="183" t="s">
        <v>322</v>
      </c>
      <c r="B709" s="35" t="s">
        <v>2405</v>
      </c>
      <c r="C709" s="187" t="s">
        <v>1705</v>
      </c>
      <c r="D709" s="187" t="s">
        <v>1574</v>
      </c>
      <c r="E709" s="187" t="s">
        <v>1622</v>
      </c>
      <c r="F709" s="187" t="s">
        <v>1575</v>
      </c>
      <c r="G709" s="187" t="s">
        <v>1576</v>
      </c>
      <c r="H709" s="185" t="s">
        <v>189</v>
      </c>
      <c r="I709" s="186" t="s">
        <v>111</v>
      </c>
      <c r="J709" s="185" t="s">
        <v>1741</v>
      </c>
      <c r="K709" s="35" t="s">
        <v>111</v>
      </c>
    </row>
    <row r="710">
      <c r="A710" s="183" t="s">
        <v>322</v>
      </c>
      <c r="B710" s="35" t="s">
        <v>2406</v>
      </c>
      <c r="C710" s="187" t="s">
        <v>1707</v>
      </c>
      <c r="D710" s="187" t="s">
        <v>1580</v>
      </c>
      <c r="E710" s="187" t="s">
        <v>1622</v>
      </c>
      <c r="F710" s="187" t="s">
        <v>1581</v>
      </c>
      <c r="G710" s="187" t="s">
        <v>1582</v>
      </c>
      <c r="H710" s="185" t="s">
        <v>189</v>
      </c>
      <c r="I710" s="186" t="s">
        <v>111</v>
      </c>
      <c r="J710" s="185" t="s">
        <v>1741</v>
      </c>
      <c r="K710" s="35" t="s">
        <v>111</v>
      </c>
    </row>
    <row r="711">
      <c r="A711" s="183" t="s">
        <v>322</v>
      </c>
      <c r="B711" s="35" t="s">
        <v>2407</v>
      </c>
      <c r="C711" s="187" t="s">
        <v>1709</v>
      </c>
      <c r="D711" s="187" t="s">
        <v>1710</v>
      </c>
      <c r="E711" s="187" t="s">
        <v>1622</v>
      </c>
      <c r="F711" s="187" t="s">
        <v>1711</v>
      </c>
      <c r="G711" s="187" t="s">
        <v>1712</v>
      </c>
      <c r="H711" s="185" t="s">
        <v>189</v>
      </c>
      <c r="I711" s="186" t="s">
        <v>111</v>
      </c>
      <c r="J711" s="185" t="s">
        <v>1741</v>
      </c>
      <c r="K711" s="35" t="s">
        <v>111</v>
      </c>
    </row>
    <row r="712">
      <c r="A712" s="183" t="s">
        <v>322</v>
      </c>
      <c r="B712" s="35" t="s">
        <v>2408</v>
      </c>
      <c r="C712" s="187" t="s">
        <v>1714</v>
      </c>
      <c r="D712" s="187" t="s">
        <v>1715</v>
      </c>
      <c r="E712" s="187" t="s">
        <v>1716</v>
      </c>
      <c r="F712" s="187" t="s">
        <v>1717</v>
      </c>
      <c r="G712" s="187" t="s">
        <v>1718</v>
      </c>
      <c r="H712" s="185" t="s">
        <v>189</v>
      </c>
      <c r="I712" s="186" t="s">
        <v>111</v>
      </c>
      <c r="J712" s="185" t="s">
        <v>1741</v>
      </c>
      <c r="K712" s="35" t="s">
        <v>111</v>
      </c>
    </row>
    <row r="713">
      <c r="A713" s="183" t="s">
        <v>322</v>
      </c>
      <c r="B713" s="35" t="s">
        <v>2409</v>
      </c>
      <c r="C713" s="187" t="s">
        <v>1720</v>
      </c>
      <c r="D713" s="187" t="s">
        <v>1721</v>
      </c>
      <c r="E713" s="187" t="s">
        <v>1722</v>
      </c>
      <c r="F713" s="187" t="s">
        <v>1723</v>
      </c>
      <c r="G713" s="187" t="s">
        <v>1628</v>
      </c>
      <c r="H713" s="185" t="s">
        <v>189</v>
      </c>
      <c r="I713" s="186" t="s">
        <v>111</v>
      </c>
      <c r="J713" s="185" t="s">
        <v>1741</v>
      </c>
      <c r="K713" s="35" t="s">
        <v>111</v>
      </c>
    </row>
    <row r="714">
      <c r="A714" s="183" t="s">
        <v>322</v>
      </c>
      <c r="B714" s="35" t="s">
        <v>2410</v>
      </c>
      <c r="C714" s="35" t="s">
        <v>1725</v>
      </c>
      <c r="D714" s="35" t="s">
        <v>1726</v>
      </c>
      <c r="E714" s="35" t="s">
        <v>1727</v>
      </c>
      <c r="F714" s="35" t="s">
        <v>1728</v>
      </c>
      <c r="G714" s="35" t="s">
        <v>1729</v>
      </c>
      <c r="H714" s="185" t="s">
        <v>189</v>
      </c>
      <c r="I714" s="186" t="s">
        <v>111</v>
      </c>
      <c r="J714" s="185" t="s">
        <v>1741</v>
      </c>
      <c r="K714" s="35" t="s">
        <v>111</v>
      </c>
    </row>
    <row r="715">
      <c r="A715" s="183" t="s">
        <v>355</v>
      </c>
      <c r="B715" s="35" t="s">
        <v>2411</v>
      </c>
      <c r="C715" s="35" t="s">
        <v>1438</v>
      </c>
      <c r="D715" s="35" t="s">
        <v>1439</v>
      </c>
      <c r="E715" s="184" t="s">
        <v>1440</v>
      </c>
      <c r="F715" s="183" t="s">
        <v>1441</v>
      </c>
      <c r="G715" s="35" t="s">
        <v>1442</v>
      </c>
      <c r="H715" s="185" t="s">
        <v>189</v>
      </c>
      <c r="I715" s="186" t="s">
        <v>36</v>
      </c>
      <c r="J715" s="56"/>
      <c r="K715" s="35" t="s">
        <v>36</v>
      </c>
    </row>
    <row r="716">
      <c r="A716" s="183" t="s">
        <v>355</v>
      </c>
      <c r="B716" s="35" t="s">
        <v>2412</v>
      </c>
      <c r="C716" s="187" t="s">
        <v>1446</v>
      </c>
      <c r="D716" s="187" t="s">
        <v>1447</v>
      </c>
      <c r="E716" s="187" t="s">
        <v>1448</v>
      </c>
      <c r="F716" s="187" t="s">
        <v>1449</v>
      </c>
      <c r="G716" s="187" t="s">
        <v>1450</v>
      </c>
      <c r="H716" s="185" t="s">
        <v>189</v>
      </c>
      <c r="I716" s="186" t="s">
        <v>36</v>
      </c>
      <c r="J716" s="56"/>
      <c r="K716" s="35" t="s">
        <v>36</v>
      </c>
    </row>
    <row r="717">
      <c r="A717" s="183" t="s">
        <v>355</v>
      </c>
      <c r="B717" s="35" t="s">
        <v>2413</v>
      </c>
      <c r="C717" s="187" t="s">
        <v>1453</v>
      </c>
      <c r="D717" s="187" t="s">
        <v>1454</v>
      </c>
      <c r="E717" s="187" t="s">
        <v>1448</v>
      </c>
      <c r="F717" s="187" t="s">
        <v>1455</v>
      </c>
      <c r="G717" s="187" t="s">
        <v>1456</v>
      </c>
      <c r="H717" s="185" t="s">
        <v>189</v>
      </c>
      <c r="I717" s="186" t="s">
        <v>36</v>
      </c>
      <c r="J717" s="56"/>
      <c r="K717" s="35" t="s">
        <v>36</v>
      </c>
    </row>
    <row r="718">
      <c r="A718" s="183" t="s">
        <v>355</v>
      </c>
      <c r="B718" s="35" t="s">
        <v>2414</v>
      </c>
      <c r="C718" s="187" t="s">
        <v>1459</v>
      </c>
      <c r="D718" s="187" t="s">
        <v>1460</v>
      </c>
      <c r="E718" s="187" t="s">
        <v>1448</v>
      </c>
      <c r="F718" s="187" t="s">
        <v>1461</v>
      </c>
      <c r="G718" s="187" t="s">
        <v>1462</v>
      </c>
      <c r="H718" s="185" t="s">
        <v>189</v>
      </c>
      <c r="I718" s="186" t="s">
        <v>36</v>
      </c>
      <c r="J718" s="56"/>
      <c r="K718" s="35" t="s">
        <v>36</v>
      </c>
    </row>
    <row r="719">
      <c r="A719" s="183" t="s">
        <v>355</v>
      </c>
      <c r="B719" s="35" t="s">
        <v>2415</v>
      </c>
      <c r="C719" s="183" t="s">
        <v>1465</v>
      </c>
      <c r="D719" s="183" t="s">
        <v>1466</v>
      </c>
      <c r="E719" s="187" t="s">
        <v>1448</v>
      </c>
      <c r="F719" s="183" t="s">
        <v>1467</v>
      </c>
      <c r="G719" s="183" t="s">
        <v>1468</v>
      </c>
      <c r="H719" s="185" t="s">
        <v>189</v>
      </c>
      <c r="I719" s="186" t="s">
        <v>111</v>
      </c>
      <c r="J719" s="35" t="s">
        <v>1469</v>
      </c>
      <c r="K719" s="35" t="s">
        <v>111</v>
      </c>
    </row>
    <row r="720">
      <c r="A720" s="183" t="s">
        <v>355</v>
      </c>
      <c r="B720" s="35" t="s">
        <v>2416</v>
      </c>
      <c r="C720" s="183" t="s">
        <v>1471</v>
      </c>
      <c r="D720" s="183" t="s">
        <v>1472</v>
      </c>
      <c r="E720" s="187" t="s">
        <v>1448</v>
      </c>
      <c r="F720" s="183" t="s">
        <v>1473</v>
      </c>
      <c r="G720" s="183" t="s">
        <v>1474</v>
      </c>
      <c r="H720" s="185" t="s">
        <v>189</v>
      </c>
      <c r="I720" s="186" t="s">
        <v>111</v>
      </c>
      <c r="J720" s="35" t="s">
        <v>1475</v>
      </c>
      <c r="K720" s="35" t="s">
        <v>111</v>
      </c>
    </row>
    <row r="721">
      <c r="A721" s="183" t="s">
        <v>355</v>
      </c>
      <c r="B721" s="35" t="s">
        <v>2417</v>
      </c>
      <c r="C721" s="183" t="s">
        <v>1477</v>
      </c>
      <c r="D721" s="183" t="s">
        <v>1478</v>
      </c>
      <c r="E721" s="187" t="s">
        <v>1448</v>
      </c>
      <c r="F721" s="183" t="s">
        <v>1479</v>
      </c>
      <c r="G721" s="183" t="s">
        <v>1468</v>
      </c>
      <c r="H721" s="185" t="s">
        <v>189</v>
      </c>
      <c r="I721" s="186" t="s">
        <v>111</v>
      </c>
      <c r="J721" s="35" t="s">
        <v>1469</v>
      </c>
      <c r="K721" s="35" t="s">
        <v>111</v>
      </c>
    </row>
    <row r="722">
      <c r="A722" s="183" t="s">
        <v>355</v>
      </c>
      <c r="B722" s="35" t="s">
        <v>2418</v>
      </c>
      <c r="C722" s="183" t="s">
        <v>1481</v>
      </c>
      <c r="D722" s="183" t="s">
        <v>1472</v>
      </c>
      <c r="E722" s="187" t="s">
        <v>1448</v>
      </c>
      <c r="F722" s="183" t="s">
        <v>1482</v>
      </c>
      <c r="G722" s="183" t="s">
        <v>1474</v>
      </c>
      <c r="H722" s="185" t="s">
        <v>189</v>
      </c>
      <c r="I722" s="186" t="s">
        <v>111</v>
      </c>
      <c r="J722" s="183" t="s">
        <v>1475</v>
      </c>
      <c r="K722" s="35" t="s">
        <v>111</v>
      </c>
    </row>
    <row r="723">
      <c r="A723" s="183" t="s">
        <v>355</v>
      </c>
      <c r="B723" s="35" t="s">
        <v>2419</v>
      </c>
      <c r="C723" s="183" t="s">
        <v>1484</v>
      </c>
      <c r="D723" s="183" t="s">
        <v>1472</v>
      </c>
      <c r="E723" s="187" t="s">
        <v>1448</v>
      </c>
      <c r="F723" s="183" t="s">
        <v>1485</v>
      </c>
      <c r="G723" s="183" t="s">
        <v>1486</v>
      </c>
      <c r="H723" s="185" t="s">
        <v>189</v>
      </c>
      <c r="I723" s="186" t="s">
        <v>111</v>
      </c>
      <c r="J723" s="183" t="s">
        <v>1475</v>
      </c>
      <c r="K723" s="35" t="s">
        <v>111</v>
      </c>
    </row>
    <row r="724">
      <c r="A724" s="183" t="s">
        <v>355</v>
      </c>
      <c r="B724" s="35" t="s">
        <v>2420</v>
      </c>
      <c r="C724" s="187" t="s">
        <v>1488</v>
      </c>
      <c r="D724" s="187" t="s">
        <v>1489</v>
      </c>
      <c r="E724" s="187" t="s">
        <v>1490</v>
      </c>
      <c r="F724" s="187" t="s">
        <v>1491</v>
      </c>
      <c r="G724" s="187" t="s">
        <v>1492</v>
      </c>
      <c r="H724" s="185" t="s">
        <v>189</v>
      </c>
      <c r="I724" s="186" t="s">
        <v>36</v>
      </c>
      <c r="J724" s="56"/>
      <c r="K724" s="35" t="s">
        <v>36</v>
      </c>
    </row>
    <row r="725">
      <c r="A725" s="183" t="s">
        <v>355</v>
      </c>
      <c r="B725" s="35" t="s">
        <v>2421</v>
      </c>
      <c r="C725" s="187" t="s">
        <v>1494</v>
      </c>
      <c r="D725" s="183" t="s">
        <v>1495</v>
      </c>
      <c r="E725" s="187" t="s">
        <v>1496</v>
      </c>
      <c r="F725" s="187" t="s">
        <v>1497</v>
      </c>
      <c r="G725" s="187" t="s">
        <v>1498</v>
      </c>
      <c r="H725" s="185" t="s">
        <v>189</v>
      </c>
      <c r="I725" s="186" t="s">
        <v>111</v>
      </c>
      <c r="J725" s="35" t="s">
        <v>1499</v>
      </c>
      <c r="K725" s="35" t="s">
        <v>111</v>
      </c>
    </row>
    <row r="726">
      <c r="A726" s="183" t="s">
        <v>355</v>
      </c>
      <c r="B726" s="35" t="s">
        <v>2422</v>
      </c>
      <c r="C726" s="187" t="s">
        <v>1501</v>
      </c>
      <c r="D726" s="187" t="s">
        <v>1502</v>
      </c>
      <c r="E726" s="187" t="s">
        <v>1503</v>
      </c>
      <c r="F726" s="187" t="s">
        <v>1491</v>
      </c>
      <c r="G726" s="187" t="s">
        <v>1504</v>
      </c>
      <c r="H726" s="185" t="s">
        <v>189</v>
      </c>
      <c r="I726" s="186" t="s">
        <v>36</v>
      </c>
      <c r="J726" s="56"/>
      <c r="K726" s="35" t="s">
        <v>36</v>
      </c>
    </row>
    <row r="727">
      <c r="A727" s="183" t="s">
        <v>355</v>
      </c>
      <c r="B727" s="35" t="s">
        <v>2423</v>
      </c>
      <c r="C727" s="187" t="s">
        <v>1506</v>
      </c>
      <c r="D727" s="187" t="s">
        <v>1507</v>
      </c>
      <c r="E727" s="187" t="s">
        <v>1508</v>
      </c>
      <c r="F727" s="187" t="s">
        <v>1491</v>
      </c>
      <c r="G727" s="187" t="s">
        <v>1509</v>
      </c>
      <c r="H727" s="185" t="s">
        <v>189</v>
      </c>
      <c r="I727" s="186" t="s">
        <v>36</v>
      </c>
      <c r="J727" s="56"/>
      <c r="K727" s="35" t="s">
        <v>36</v>
      </c>
    </row>
    <row r="728">
      <c r="A728" s="183" t="s">
        <v>355</v>
      </c>
      <c r="B728" s="35" t="s">
        <v>2424</v>
      </c>
      <c r="C728" s="187" t="s">
        <v>1511</v>
      </c>
      <c r="D728" s="187" t="s">
        <v>1512</v>
      </c>
      <c r="E728" s="187" t="s">
        <v>1513</v>
      </c>
      <c r="F728" s="187" t="s">
        <v>1491</v>
      </c>
      <c r="G728" s="187" t="s">
        <v>1514</v>
      </c>
      <c r="H728" s="185" t="s">
        <v>189</v>
      </c>
      <c r="I728" s="186" t="s">
        <v>36</v>
      </c>
      <c r="J728" s="56"/>
      <c r="K728" s="35" t="s">
        <v>36</v>
      </c>
    </row>
    <row r="729">
      <c r="A729" s="183" t="s">
        <v>355</v>
      </c>
      <c r="B729" s="35" t="s">
        <v>2425</v>
      </c>
      <c r="C729" s="187" t="s">
        <v>1516</v>
      </c>
      <c r="D729" s="187" t="s">
        <v>1517</v>
      </c>
      <c r="E729" s="187" t="s">
        <v>1518</v>
      </c>
      <c r="F729" s="187" t="s">
        <v>1519</v>
      </c>
      <c r="G729" s="187" t="s">
        <v>1520</v>
      </c>
      <c r="H729" s="185" t="s">
        <v>189</v>
      </c>
      <c r="I729" s="186" t="s">
        <v>111</v>
      </c>
      <c r="J729" s="35" t="s">
        <v>1521</v>
      </c>
      <c r="K729" s="35" t="s">
        <v>111</v>
      </c>
    </row>
    <row r="730">
      <c r="A730" s="183" t="s">
        <v>355</v>
      </c>
      <c r="B730" s="35" t="s">
        <v>2426</v>
      </c>
      <c r="C730" s="187" t="s">
        <v>1523</v>
      </c>
      <c r="D730" s="187" t="s">
        <v>1524</v>
      </c>
      <c r="E730" s="187" t="s">
        <v>1525</v>
      </c>
      <c r="F730" s="187" t="s">
        <v>1526</v>
      </c>
      <c r="G730" s="187" t="s">
        <v>1527</v>
      </c>
      <c r="H730" s="185" t="s">
        <v>189</v>
      </c>
      <c r="I730" s="186" t="s">
        <v>111</v>
      </c>
      <c r="J730" s="35" t="s">
        <v>1521</v>
      </c>
      <c r="K730" s="35" t="s">
        <v>111</v>
      </c>
    </row>
    <row r="731">
      <c r="A731" s="183" t="s">
        <v>355</v>
      </c>
      <c r="B731" s="35" t="s">
        <v>2427</v>
      </c>
      <c r="C731" s="187" t="s">
        <v>1529</v>
      </c>
      <c r="D731" s="187" t="s">
        <v>1530</v>
      </c>
      <c r="E731" s="187" t="s">
        <v>1531</v>
      </c>
      <c r="F731" s="187" t="s">
        <v>1532</v>
      </c>
      <c r="G731" s="187" t="s">
        <v>1533</v>
      </c>
      <c r="H731" s="185" t="s">
        <v>189</v>
      </c>
      <c r="I731" s="186" t="s">
        <v>111</v>
      </c>
      <c r="J731" s="35" t="s">
        <v>1521</v>
      </c>
      <c r="K731" s="35" t="s">
        <v>111</v>
      </c>
    </row>
    <row r="732">
      <c r="A732" s="183" t="s">
        <v>355</v>
      </c>
      <c r="B732" s="35" t="s">
        <v>2428</v>
      </c>
      <c r="C732" s="187" t="s">
        <v>1535</v>
      </c>
      <c r="D732" s="187" t="s">
        <v>1536</v>
      </c>
      <c r="E732" s="187" t="s">
        <v>1537</v>
      </c>
      <c r="F732" s="187" t="s">
        <v>1538</v>
      </c>
      <c r="G732" s="187" t="s">
        <v>1539</v>
      </c>
      <c r="H732" s="185" t="s">
        <v>189</v>
      </c>
      <c r="I732" s="186" t="s">
        <v>111</v>
      </c>
      <c r="J732" s="35" t="s">
        <v>1521</v>
      </c>
      <c r="K732" s="35" t="s">
        <v>111</v>
      </c>
    </row>
    <row r="733">
      <c r="A733" s="183" t="s">
        <v>355</v>
      </c>
      <c r="B733" s="35" t="s">
        <v>2429</v>
      </c>
      <c r="C733" s="187" t="s">
        <v>1541</v>
      </c>
      <c r="D733" s="187" t="s">
        <v>1542</v>
      </c>
      <c r="E733" s="187" t="s">
        <v>1543</v>
      </c>
      <c r="F733" s="187" t="s">
        <v>1544</v>
      </c>
      <c r="G733" s="187" t="s">
        <v>1545</v>
      </c>
      <c r="H733" s="185" t="s">
        <v>189</v>
      </c>
      <c r="I733" s="186" t="s">
        <v>36</v>
      </c>
      <c r="J733" s="56"/>
      <c r="K733" s="35" t="s">
        <v>36</v>
      </c>
    </row>
    <row r="734">
      <c r="A734" s="183" t="s">
        <v>355</v>
      </c>
      <c r="B734" s="35" t="s">
        <v>2430</v>
      </c>
      <c r="C734" s="187" t="s">
        <v>1547</v>
      </c>
      <c r="D734" s="187" t="s">
        <v>1548</v>
      </c>
      <c r="E734" s="187" t="s">
        <v>1448</v>
      </c>
      <c r="F734" s="187" t="s">
        <v>1549</v>
      </c>
      <c r="G734" s="187" t="s">
        <v>1550</v>
      </c>
      <c r="H734" s="185" t="s">
        <v>189</v>
      </c>
      <c r="I734" s="186" t="s">
        <v>111</v>
      </c>
      <c r="J734" s="56"/>
      <c r="K734" s="35" t="s">
        <v>111</v>
      </c>
    </row>
    <row r="735">
      <c r="A735" s="183" t="s">
        <v>355</v>
      </c>
      <c r="B735" s="35" t="s">
        <v>2431</v>
      </c>
      <c r="C735" s="187" t="s">
        <v>1552</v>
      </c>
      <c r="D735" s="187" t="s">
        <v>1553</v>
      </c>
      <c r="E735" s="187" t="s">
        <v>1448</v>
      </c>
      <c r="F735" s="187" t="s">
        <v>1554</v>
      </c>
      <c r="G735" s="187" t="s">
        <v>1555</v>
      </c>
      <c r="H735" s="185" t="s">
        <v>189</v>
      </c>
      <c r="I735" s="186" t="s">
        <v>111</v>
      </c>
      <c r="J735" s="35" t="s">
        <v>1556</v>
      </c>
      <c r="K735" s="35" t="s">
        <v>111</v>
      </c>
    </row>
    <row r="736">
      <c r="A736" s="183" t="s">
        <v>355</v>
      </c>
      <c r="B736" s="35" t="s">
        <v>2432</v>
      </c>
      <c r="C736" s="187" t="s">
        <v>1558</v>
      </c>
      <c r="D736" s="187" t="s">
        <v>1559</v>
      </c>
      <c r="E736" s="187" t="s">
        <v>1448</v>
      </c>
      <c r="F736" s="187" t="s">
        <v>1560</v>
      </c>
      <c r="G736" s="187" t="s">
        <v>1561</v>
      </c>
      <c r="H736" s="185" t="s">
        <v>189</v>
      </c>
      <c r="I736" s="186" t="s">
        <v>36</v>
      </c>
      <c r="J736" s="35"/>
      <c r="K736" s="35" t="s">
        <v>36</v>
      </c>
    </row>
    <row r="737">
      <c r="A737" s="183" t="s">
        <v>355</v>
      </c>
      <c r="B737" s="35" t="s">
        <v>2433</v>
      </c>
      <c r="C737" s="187" t="s">
        <v>1563</v>
      </c>
      <c r="D737" s="187" t="s">
        <v>1564</v>
      </c>
      <c r="E737" s="187" t="s">
        <v>1448</v>
      </c>
      <c r="F737" s="187" t="s">
        <v>1565</v>
      </c>
      <c r="G737" s="187" t="s">
        <v>1566</v>
      </c>
      <c r="H737" s="185" t="s">
        <v>189</v>
      </c>
      <c r="I737" s="186" t="s">
        <v>36</v>
      </c>
      <c r="J737" s="35"/>
      <c r="K737" s="35" t="s">
        <v>36</v>
      </c>
    </row>
    <row r="738">
      <c r="A738" s="183" t="s">
        <v>355</v>
      </c>
      <c r="B738" s="35" t="s">
        <v>2434</v>
      </c>
      <c r="C738" s="187" t="s">
        <v>1568</v>
      </c>
      <c r="D738" s="187" t="s">
        <v>1569</v>
      </c>
      <c r="E738" s="187" t="s">
        <v>1448</v>
      </c>
      <c r="F738" s="187" t="s">
        <v>1570</v>
      </c>
      <c r="G738" s="187" t="s">
        <v>1571</v>
      </c>
      <c r="H738" s="185" t="s">
        <v>189</v>
      </c>
      <c r="I738" s="186" t="s">
        <v>36</v>
      </c>
      <c r="J738" s="56"/>
      <c r="K738" s="35" t="s">
        <v>36</v>
      </c>
    </row>
    <row r="739">
      <c r="A739" s="183" t="s">
        <v>355</v>
      </c>
      <c r="B739" s="35" t="s">
        <v>2435</v>
      </c>
      <c r="C739" s="187" t="s">
        <v>1573</v>
      </c>
      <c r="D739" s="187" t="s">
        <v>1574</v>
      </c>
      <c r="E739" s="187" t="s">
        <v>1448</v>
      </c>
      <c r="F739" s="187" t="s">
        <v>1575</v>
      </c>
      <c r="G739" s="187" t="s">
        <v>1576</v>
      </c>
      <c r="H739" s="185" t="s">
        <v>189</v>
      </c>
      <c r="I739" s="186" t="s">
        <v>111</v>
      </c>
      <c r="J739" s="35" t="s">
        <v>1577</v>
      </c>
      <c r="K739" s="35" t="s">
        <v>111</v>
      </c>
    </row>
    <row r="740">
      <c r="A740" s="183" t="s">
        <v>355</v>
      </c>
      <c r="B740" s="35" t="s">
        <v>2436</v>
      </c>
      <c r="C740" s="187" t="s">
        <v>1579</v>
      </c>
      <c r="D740" s="187" t="s">
        <v>1580</v>
      </c>
      <c r="E740" s="187" t="s">
        <v>1448</v>
      </c>
      <c r="F740" s="187" t="s">
        <v>1581</v>
      </c>
      <c r="G740" s="187" t="s">
        <v>1582</v>
      </c>
      <c r="H740" s="185" t="s">
        <v>189</v>
      </c>
      <c r="I740" s="186" t="s">
        <v>36</v>
      </c>
      <c r="J740" s="56"/>
      <c r="K740" s="35" t="s">
        <v>36</v>
      </c>
    </row>
    <row r="741">
      <c r="A741" s="183" t="s">
        <v>355</v>
      </c>
      <c r="B741" s="35" t="s">
        <v>2437</v>
      </c>
      <c r="C741" s="187" t="s">
        <v>1584</v>
      </c>
      <c r="D741" s="187" t="s">
        <v>1585</v>
      </c>
      <c r="E741" s="187" t="s">
        <v>1586</v>
      </c>
      <c r="F741" s="187" t="s">
        <v>1587</v>
      </c>
      <c r="G741" s="187" t="s">
        <v>1588</v>
      </c>
      <c r="H741" s="185" t="s">
        <v>189</v>
      </c>
      <c r="I741" s="186" t="s">
        <v>36</v>
      </c>
      <c r="J741" s="56"/>
      <c r="K741" s="35" t="s">
        <v>36</v>
      </c>
    </row>
    <row r="742">
      <c r="A742" s="183" t="s">
        <v>355</v>
      </c>
      <c r="B742" s="35" t="s">
        <v>2438</v>
      </c>
      <c r="C742" s="187" t="s">
        <v>1590</v>
      </c>
      <c r="D742" s="187" t="s">
        <v>1591</v>
      </c>
      <c r="E742" s="187" t="s">
        <v>1592</v>
      </c>
      <c r="F742" s="187" t="s">
        <v>1593</v>
      </c>
      <c r="G742" s="187" t="s">
        <v>1594</v>
      </c>
      <c r="H742" s="185" t="s">
        <v>189</v>
      </c>
      <c r="I742" s="186" t="s">
        <v>111</v>
      </c>
      <c r="J742" s="35" t="s">
        <v>1595</v>
      </c>
      <c r="K742" s="35" t="s">
        <v>111</v>
      </c>
    </row>
    <row r="743">
      <c r="A743" s="183" t="s">
        <v>355</v>
      </c>
      <c r="B743" s="35" t="s">
        <v>2439</v>
      </c>
      <c r="C743" s="187" t="s">
        <v>1597</v>
      </c>
      <c r="D743" s="187" t="s">
        <v>1598</v>
      </c>
      <c r="E743" s="187" t="s">
        <v>1599</v>
      </c>
      <c r="F743" s="187" t="s">
        <v>1600</v>
      </c>
      <c r="G743" s="187" t="s">
        <v>1601</v>
      </c>
      <c r="H743" s="185" t="s">
        <v>189</v>
      </c>
      <c r="I743" s="186" t="s">
        <v>36</v>
      </c>
      <c r="J743" s="56"/>
      <c r="K743" s="35" t="s">
        <v>36</v>
      </c>
    </row>
    <row r="744">
      <c r="A744" s="183" t="s">
        <v>355</v>
      </c>
      <c r="B744" s="35" t="s">
        <v>2440</v>
      </c>
      <c r="C744" s="187" t="s">
        <v>1603</v>
      </c>
      <c r="D744" s="187" t="s">
        <v>1604</v>
      </c>
      <c r="E744" s="187" t="s">
        <v>1605</v>
      </c>
      <c r="F744" s="187" t="s">
        <v>1606</v>
      </c>
      <c r="G744" s="187" t="s">
        <v>1607</v>
      </c>
      <c r="H744" s="185" t="s">
        <v>189</v>
      </c>
      <c r="I744" s="186" t="s">
        <v>36</v>
      </c>
      <c r="J744" s="56"/>
      <c r="K744" s="35" t="s">
        <v>36</v>
      </c>
    </row>
    <row r="745">
      <c r="A745" s="183" t="s">
        <v>355</v>
      </c>
      <c r="B745" s="35" t="s">
        <v>2441</v>
      </c>
      <c r="C745" s="187" t="s">
        <v>1609</v>
      </c>
      <c r="D745" s="187" t="s">
        <v>1610</v>
      </c>
      <c r="E745" s="187" t="s">
        <v>1611</v>
      </c>
      <c r="F745" s="187" t="s">
        <v>1612</v>
      </c>
      <c r="G745" s="187" t="s">
        <v>1613</v>
      </c>
      <c r="H745" s="185" t="s">
        <v>189</v>
      </c>
      <c r="I745" s="186" t="s">
        <v>36</v>
      </c>
      <c r="J745" s="56"/>
      <c r="K745" s="35" t="s">
        <v>36</v>
      </c>
    </row>
    <row r="746">
      <c r="A746" s="183" t="s">
        <v>355</v>
      </c>
      <c r="B746" s="35" t="s">
        <v>2442</v>
      </c>
      <c r="C746" s="187" t="s">
        <v>1615</v>
      </c>
      <c r="D746" s="187" t="s">
        <v>1616</v>
      </c>
      <c r="E746" s="187" t="s">
        <v>1611</v>
      </c>
      <c r="F746" s="187" t="s">
        <v>1617</v>
      </c>
      <c r="G746" s="187" t="s">
        <v>1618</v>
      </c>
      <c r="H746" s="185" t="s">
        <v>189</v>
      </c>
      <c r="I746" s="186" t="s">
        <v>36</v>
      </c>
      <c r="J746" s="56"/>
      <c r="K746" s="35" t="s">
        <v>36</v>
      </c>
    </row>
    <row r="747">
      <c r="A747" s="183" t="s">
        <v>355</v>
      </c>
      <c r="B747" s="35" t="s">
        <v>2443</v>
      </c>
      <c r="C747" s="187" t="s">
        <v>1620</v>
      </c>
      <c r="D747" s="187" t="s">
        <v>1621</v>
      </c>
      <c r="E747" s="187" t="s">
        <v>1622</v>
      </c>
      <c r="F747" s="187" t="s">
        <v>1623</v>
      </c>
      <c r="G747" s="187" t="s">
        <v>1624</v>
      </c>
      <c r="H747" s="185" t="s">
        <v>189</v>
      </c>
      <c r="I747" s="186" t="s">
        <v>36</v>
      </c>
      <c r="J747" s="56"/>
      <c r="K747" s="35" t="s">
        <v>36</v>
      </c>
    </row>
    <row r="748">
      <c r="A748" s="183" t="s">
        <v>355</v>
      </c>
      <c r="B748" s="35" t="s">
        <v>2444</v>
      </c>
      <c r="C748" s="187" t="s">
        <v>1626</v>
      </c>
      <c r="D748" s="187" t="s">
        <v>1627</v>
      </c>
      <c r="E748" s="187" t="s">
        <v>1622</v>
      </c>
      <c r="F748" s="187" t="s">
        <v>1549</v>
      </c>
      <c r="G748" s="187" t="s">
        <v>1628</v>
      </c>
      <c r="H748" s="185" t="s">
        <v>189</v>
      </c>
      <c r="I748" s="186" t="s">
        <v>36</v>
      </c>
      <c r="J748" s="56"/>
      <c r="K748" s="35" t="s">
        <v>36</v>
      </c>
    </row>
    <row r="749">
      <c r="A749" s="183" t="s">
        <v>355</v>
      </c>
      <c r="B749" s="35" t="s">
        <v>2445</v>
      </c>
      <c r="C749" s="187" t="s">
        <v>1630</v>
      </c>
      <c r="D749" s="187" t="s">
        <v>1631</v>
      </c>
      <c r="E749" s="187" t="s">
        <v>1632</v>
      </c>
      <c r="F749" s="187" t="s">
        <v>1633</v>
      </c>
      <c r="G749" s="187" t="s">
        <v>1634</v>
      </c>
      <c r="H749" s="185" t="s">
        <v>189</v>
      </c>
      <c r="I749" s="186" t="s">
        <v>36</v>
      </c>
      <c r="J749" s="35" t="s">
        <v>1827</v>
      </c>
      <c r="K749" s="35" t="s">
        <v>36</v>
      </c>
    </row>
    <row r="750">
      <c r="A750" s="183" t="s">
        <v>355</v>
      </c>
      <c r="B750" s="35" t="s">
        <v>2446</v>
      </c>
      <c r="C750" s="187" t="s">
        <v>1636</v>
      </c>
      <c r="D750" s="187" t="s">
        <v>1637</v>
      </c>
      <c r="E750" s="187" t="s">
        <v>1638</v>
      </c>
      <c r="F750" s="187" t="s">
        <v>1639</v>
      </c>
      <c r="G750" s="187" t="s">
        <v>1588</v>
      </c>
      <c r="H750" s="185" t="s">
        <v>189</v>
      </c>
      <c r="I750" s="186" t="s">
        <v>36</v>
      </c>
      <c r="J750" s="56"/>
      <c r="K750" s="35" t="s">
        <v>36</v>
      </c>
    </row>
    <row r="751">
      <c r="A751" s="183" t="s">
        <v>355</v>
      </c>
      <c r="B751" s="35" t="s">
        <v>2447</v>
      </c>
      <c r="C751" s="187" t="s">
        <v>1641</v>
      </c>
      <c r="D751" s="187" t="s">
        <v>1642</v>
      </c>
      <c r="E751" s="187" t="s">
        <v>1638</v>
      </c>
      <c r="F751" s="187" t="s">
        <v>1643</v>
      </c>
      <c r="G751" s="187" t="s">
        <v>1594</v>
      </c>
      <c r="H751" s="185" t="s">
        <v>189</v>
      </c>
      <c r="I751" s="186" t="s">
        <v>111</v>
      </c>
      <c r="J751" s="35" t="s">
        <v>1595</v>
      </c>
      <c r="K751" s="35" t="s">
        <v>111</v>
      </c>
    </row>
    <row r="752">
      <c r="A752" s="183" t="s">
        <v>355</v>
      </c>
      <c r="B752" s="35" t="s">
        <v>2448</v>
      </c>
      <c r="C752" s="187" t="s">
        <v>1645</v>
      </c>
      <c r="D752" s="187" t="s">
        <v>1646</v>
      </c>
      <c r="E752" s="187" t="s">
        <v>1638</v>
      </c>
      <c r="F752" s="187" t="s">
        <v>1647</v>
      </c>
      <c r="G752" s="187" t="s">
        <v>1601</v>
      </c>
      <c r="H752" s="185" t="s">
        <v>189</v>
      </c>
      <c r="I752" s="186" t="s">
        <v>36</v>
      </c>
      <c r="J752" s="56"/>
      <c r="K752" s="35" t="s">
        <v>36</v>
      </c>
    </row>
    <row r="753">
      <c r="A753" s="183" t="s">
        <v>355</v>
      </c>
      <c r="B753" s="35" t="s">
        <v>2449</v>
      </c>
      <c r="C753" s="187" t="s">
        <v>1649</v>
      </c>
      <c r="D753" s="187" t="s">
        <v>1650</v>
      </c>
      <c r="E753" s="187" t="s">
        <v>1638</v>
      </c>
      <c r="F753" s="187" t="s">
        <v>1554</v>
      </c>
      <c r="G753" s="187" t="s">
        <v>1651</v>
      </c>
      <c r="H753" s="185" t="s">
        <v>189</v>
      </c>
      <c r="I753" s="186" t="s">
        <v>111</v>
      </c>
      <c r="J753" s="56"/>
      <c r="K753" s="35" t="s">
        <v>111</v>
      </c>
    </row>
    <row r="754">
      <c r="A754" s="183" t="s">
        <v>355</v>
      </c>
      <c r="B754" s="35" t="s">
        <v>2450</v>
      </c>
      <c r="C754" s="187" t="s">
        <v>1653</v>
      </c>
      <c r="D754" s="187" t="s">
        <v>1654</v>
      </c>
      <c r="E754" s="187" t="s">
        <v>1638</v>
      </c>
      <c r="F754" s="187" t="s">
        <v>1560</v>
      </c>
      <c r="G754" s="187" t="s">
        <v>1561</v>
      </c>
      <c r="H754" s="185" t="s">
        <v>189</v>
      </c>
      <c r="I754" s="186" t="s">
        <v>36</v>
      </c>
      <c r="J754" s="56"/>
      <c r="K754" s="35" t="s">
        <v>36</v>
      </c>
    </row>
    <row r="755">
      <c r="A755" s="183" t="s">
        <v>355</v>
      </c>
      <c r="B755" s="35" t="s">
        <v>2451</v>
      </c>
      <c r="C755" s="187" t="s">
        <v>1656</v>
      </c>
      <c r="D755" s="187" t="s">
        <v>1564</v>
      </c>
      <c r="E755" s="187" t="s">
        <v>1638</v>
      </c>
      <c r="F755" s="187" t="s">
        <v>1657</v>
      </c>
      <c r="G755" s="187" t="s">
        <v>1566</v>
      </c>
      <c r="H755" s="185" t="s">
        <v>189</v>
      </c>
      <c r="I755" s="186" t="s">
        <v>36</v>
      </c>
      <c r="J755" s="56"/>
      <c r="K755" s="35" t="s">
        <v>36</v>
      </c>
    </row>
    <row r="756">
      <c r="A756" s="183" t="s">
        <v>355</v>
      </c>
      <c r="B756" s="35" t="s">
        <v>2452</v>
      </c>
      <c r="C756" s="187" t="s">
        <v>1659</v>
      </c>
      <c r="D756" s="187" t="s">
        <v>1569</v>
      </c>
      <c r="E756" s="187" t="s">
        <v>1638</v>
      </c>
      <c r="F756" s="187" t="s">
        <v>1570</v>
      </c>
      <c r="G756" s="187" t="s">
        <v>1571</v>
      </c>
      <c r="H756" s="185" t="s">
        <v>189</v>
      </c>
      <c r="I756" s="186" t="s">
        <v>36</v>
      </c>
      <c r="J756" s="56"/>
      <c r="K756" s="35" t="s">
        <v>36</v>
      </c>
    </row>
    <row r="757">
      <c r="A757" s="183" t="s">
        <v>355</v>
      </c>
      <c r="B757" s="35" t="s">
        <v>2453</v>
      </c>
      <c r="C757" s="187" t="s">
        <v>1661</v>
      </c>
      <c r="D757" s="187" t="s">
        <v>1574</v>
      </c>
      <c r="E757" s="187" t="s">
        <v>1638</v>
      </c>
      <c r="F757" s="187" t="s">
        <v>1575</v>
      </c>
      <c r="G757" s="187" t="s">
        <v>1576</v>
      </c>
      <c r="H757" s="185" t="s">
        <v>189</v>
      </c>
      <c r="I757" s="186" t="s">
        <v>111</v>
      </c>
      <c r="J757" s="35" t="s">
        <v>1577</v>
      </c>
      <c r="K757" s="35" t="s">
        <v>111</v>
      </c>
    </row>
    <row r="758">
      <c r="A758" s="183" t="s">
        <v>355</v>
      </c>
      <c r="B758" s="35" t="s">
        <v>2454</v>
      </c>
      <c r="C758" s="187" t="s">
        <v>1663</v>
      </c>
      <c r="D758" s="187" t="s">
        <v>1580</v>
      </c>
      <c r="E758" s="187" t="s">
        <v>1638</v>
      </c>
      <c r="F758" s="187" t="s">
        <v>1581</v>
      </c>
      <c r="G758" s="187" t="s">
        <v>1582</v>
      </c>
      <c r="H758" s="185" t="s">
        <v>189</v>
      </c>
      <c r="I758" s="186" t="s">
        <v>111</v>
      </c>
      <c r="J758" s="35" t="s">
        <v>1664</v>
      </c>
      <c r="K758" s="35" t="s">
        <v>111</v>
      </c>
    </row>
    <row r="759">
      <c r="A759" s="183" t="s">
        <v>355</v>
      </c>
      <c r="B759" s="35" t="s">
        <v>2455</v>
      </c>
      <c r="C759" s="187" t="s">
        <v>1666</v>
      </c>
      <c r="D759" s="187" t="s">
        <v>1667</v>
      </c>
      <c r="E759" s="187" t="s">
        <v>1668</v>
      </c>
      <c r="F759" s="187" t="s">
        <v>1669</v>
      </c>
      <c r="G759" s="187" t="s">
        <v>1670</v>
      </c>
      <c r="H759" s="185" t="s">
        <v>189</v>
      </c>
      <c r="I759" s="186" t="s">
        <v>36</v>
      </c>
      <c r="J759" s="56"/>
      <c r="K759" s="35" t="s">
        <v>36</v>
      </c>
    </row>
    <row r="760">
      <c r="A760" s="183" t="s">
        <v>355</v>
      </c>
      <c r="B760" s="35" t="s">
        <v>2456</v>
      </c>
      <c r="C760" s="187" t="s">
        <v>1672</v>
      </c>
      <c r="D760" s="187" t="s">
        <v>1673</v>
      </c>
      <c r="E760" s="187" t="s">
        <v>1674</v>
      </c>
      <c r="F760" s="187" t="s">
        <v>1675</v>
      </c>
      <c r="G760" s="187" t="s">
        <v>1676</v>
      </c>
      <c r="H760" s="185" t="s">
        <v>189</v>
      </c>
      <c r="I760" s="186" t="s">
        <v>36</v>
      </c>
      <c r="J760" s="35" t="s">
        <v>1827</v>
      </c>
      <c r="K760" s="35" t="s">
        <v>36</v>
      </c>
    </row>
    <row r="761">
      <c r="A761" s="183" t="s">
        <v>355</v>
      </c>
      <c r="B761" s="35" t="s">
        <v>2457</v>
      </c>
      <c r="C761" s="187" t="s">
        <v>1678</v>
      </c>
      <c r="D761" s="187" t="s">
        <v>1679</v>
      </c>
      <c r="E761" s="187" t="s">
        <v>1680</v>
      </c>
      <c r="F761" s="187" t="s">
        <v>1681</v>
      </c>
      <c r="G761" s="187" t="s">
        <v>1682</v>
      </c>
      <c r="H761" s="185" t="s">
        <v>189</v>
      </c>
      <c r="I761" s="186" t="s">
        <v>36</v>
      </c>
      <c r="J761" s="56"/>
      <c r="K761" s="35" t="s">
        <v>36</v>
      </c>
    </row>
    <row r="762">
      <c r="A762" s="183" t="s">
        <v>355</v>
      </c>
      <c r="B762" s="35" t="s">
        <v>2458</v>
      </c>
      <c r="C762" s="187" t="s">
        <v>1684</v>
      </c>
      <c r="D762" s="187" t="s">
        <v>1679</v>
      </c>
      <c r="E762" s="187" t="s">
        <v>1680</v>
      </c>
      <c r="F762" s="187" t="s">
        <v>1681</v>
      </c>
      <c r="G762" s="187" t="s">
        <v>1682</v>
      </c>
      <c r="H762" s="185" t="s">
        <v>189</v>
      </c>
      <c r="I762" s="186" t="s">
        <v>36</v>
      </c>
      <c r="J762" s="56"/>
      <c r="K762" s="35" t="s">
        <v>36</v>
      </c>
    </row>
    <row r="763">
      <c r="A763" s="183" t="s">
        <v>355</v>
      </c>
      <c r="B763" s="35" t="s">
        <v>2459</v>
      </c>
      <c r="C763" s="187" t="s">
        <v>1686</v>
      </c>
      <c r="D763" s="187" t="s">
        <v>1687</v>
      </c>
      <c r="E763" s="187" t="s">
        <v>1688</v>
      </c>
      <c r="F763" s="187" t="s">
        <v>1689</v>
      </c>
      <c r="G763" s="187" t="s">
        <v>1690</v>
      </c>
      <c r="H763" s="185" t="s">
        <v>189</v>
      </c>
      <c r="I763" s="186" t="s">
        <v>36</v>
      </c>
      <c r="J763" s="35" t="s">
        <v>1827</v>
      </c>
      <c r="K763" s="35" t="s">
        <v>36</v>
      </c>
    </row>
    <row r="764">
      <c r="A764" s="183" t="s">
        <v>355</v>
      </c>
      <c r="B764" s="35" t="s">
        <v>2460</v>
      </c>
      <c r="C764" s="187" t="s">
        <v>1692</v>
      </c>
      <c r="D764" s="187" t="s">
        <v>1693</v>
      </c>
      <c r="E764" s="187" t="s">
        <v>1694</v>
      </c>
      <c r="F764" s="187" t="s">
        <v>1554</v>
      </c>
      <c r="G764" s="187" t="s">
        <v>1555</v>
      </c>
      <c r="H764" s="185" t="s">
        <v>189</v>
      </c>
      <c r="I764" s="186" t="s">
        <v>111</v>
      </c>
      <c r="J764" s="35" t="s">
        <v>1556</v>
      </c>
      <c r="K764" s="35" t="s">
        <v>111</v>
      </c>
    </row>
    <row r="765">
      <c r="A765" s="183" t="s">
        <v>355</v>
      </c>
      <c r="B765" s="35" t="s">
        <v>2461</v>
      </c>
      <c r="C765" s="187" t="s">
        <v>1696</v>
      </c>
      <c r="D765" s="187" t="s">
        <v>1564</v>
      </c>
      <c r="E765" s="187" t="s">
        <v>1697</v>
      </c>
      <c r="F765" s="187" t="s">
        <v>1657</v>
      </c>
      <c r="G765" s="187" t="s">
        <v>1566</v>
      </c>
      <c r="H765" s="185" t="s">
        <v>189</v>
      </c>
      <c r="I765" s="186" t="s">
        <v>36</v>
      </c>
      <c r="J765" s="56"/>
      <c r="K765" s="35" t="s">
        <v>36</v>
      </c>
    </row>
    <row r="766">
      <c r="A766" s="183" t="s">
        <v>355</v>
      </c>
      <c r="B766" s="35" t="s">
        <v>2462</v>
      </c>
      <c r="C766" s="187" t="s">
        <v>1699</v>
      </c>
      <c r="D766" s="187" t="s">
        <v>1700</v>
      </c>
      <c r="E766" s="187" t="s">
        <v>1701</v>
      </c>
      <c r="F766" s="187" t="s">
        <v>1560</v>
      </c>
      <c r="G766" s="187" t="s">
        <v>1561</v>
      </c>
      <c r="H766" s="185" t="s">
        <v>189</v>
      </c>
      <c r="I766" s="186" t="s">
        <v>36</v>
      </c>
      <c r="J766" s="35"/>
      <c r="K766" s="35" t="s">
        <v>36</v>
      </c>
    </row>
    <row r="767">
      <c r="A767" s="183" t="s">
        <v>355</v>
      </c>
      <c r="B767" s="35" t="s">
        <v>2463</v>
      </c>
      <c r="C767" s="187" t="s">
        <v>1703</v>
      </c>
      <c r="D767" s="187" t="s">
        <v>1569</v>
      </c>
      <c r="E767" s="187" t="s">
        <v>1622</v>
      </c>
      <c r="F767" s="187" t="s">
        <v>1570</v>
      </c>
      <c r="G767" s="187" t="s">
        <v>1571</v>
      </c>
      <c r="H767" s="185" t="s">
        <v>189</v>
      </c>
      <c r="I767" s="186" t="s">
        <v>36</v>
      </c>
      <c r="J767" s="56"/>
      <c r="K767" s="35" t="s">
        <v>36</v>
      </c>
    </row>
    <row r="768">
      <c r="A768" s="183" t="s">
        <v>355</v>
      </c>
      <c r="B768" s="35" t="s">
        <v>2464</v>
      </c>
      <c r="C768" s="187" t="s">
        <v>1705</v>
      </c>
      <c r="D768" s="187" t="s">
        <v>1574</v>
      </c>
      <c r="E768" s="187" t="s">
        <v>1622</v>
      </c>
      <c r="F768" s="187" t="s">
        <v>1575</v>
      </c>
      <c r="G768" s="187" t="s">
        <v>1576</v>
      </c>
      <c r="H768" s="185" t="s">
        <v>189</v>
      </c>
      <c r="I768" s="186" t="s">
        <v>111</v>
      </c>
      <c r="J768" s="35" t="s">
        <v>1577</v>
      </c>
      <c r="K768" s="35" t="s">
        <v>111</v>
      </c>
    </row>
    <row r="769">
      <c r="A769" s="183" t="s">
        <v>355</v>
      </c>
      <c r="B769" s="35" t="s">
        <v>2465</v>
      </c>
      <c r="C769" s="187" t="s">
        <v>1707</v>
      </c>
      <c r="D769" s="187" t="s">
        <v>1580</v>
      </c>
      <c r="E769" s="187" t="s">
        <v>1622</v>
      </c>
      <c r="F769" s="187" t="s">
        <v>1581</v>
      </c>
      <c r="G769" s="187" t="s">
        <v>1582</v>
      </c>
      <c r="H769" s="185" t="s">
        <v>189</v>
      </c>
      <c r="I769" s="186" t="s">
        <v>36</v>
      </c>
      <c r="J769" s="56"/>
      <c r="K769" s="35" t="s">
        <v>36</v>
      </c>
    </row>
    <row r="770">
      <c r="A770" s="183" t="s">
        <v>355</v>
      </c>
      <c r="B770" s="35" t="s">
        <v>2466</v>
      </c>
      <c r="C770" s="187" t="s">
        <v>1709</v>
      </c>
      <c r="D770" s="187" t="s">
        <v>1710</v>
      </c>
      <c r="E770" s="187" t="s">
        <v>1622</v>
      </c>
      <c r="F770" s="187" t="s">
        <v>1711</v>
      </c>
      <c r="G770" s="187" t="s">
        <v>1712</v>
      </c>
      <c r="H770" s="185" t="s">
        <v>189</v>
      </c>
      <c r="I770" s="186" t="s">
        <v>36</v>
      </c>
      <c r="J770" s="56"/>
      <c r="K770" s="35" t="s">
        <v>36</v>
      </c>
    </row>
    <row r="771">
      <c r="A771" s="183" t="s">
        <v>355</v>
      </c>
      <c r="B771" s="35" t="s">
        <v>2467</v>
      </c>
      <c r="C771" s="187" t="s">
        <v>1714</v>
      </c>
      <c r="D771" s="187" t="s">
        <v>1715</v>
      </c>
      <c r="E771" s="187" t="s">
        <v>1716</v>
      </c>
      <c r="F771" s="187" t="s">
        <v>1717</v>
      </c>
      <c r="G771" s="187" t="s">
        <v>1718</v>
      </c>
      <c r="H771" s="185" t="s">
        <v>189</v>
      </c>
      <c r="I771" s="186" t="s">
        <v>36</v>
      </c>
      <c r="J771" s="56"/>
      <c r="K771" s="35" t="s">
        <v>36</v>
      </c>
    </row>
    <row r="772">
      <c r="A772" s="183" t="s">
        <v>355</v>
      </c>
      <c r="B772" s="35" t="s">
        <v>2468</v>
      </c>
      <c r="C772" s="187" t="s">
        <v>1720</v>
      </c>
      <c r="D772" s="187" t="s">
        <v>1721</v>
      </c>
      <c r="E772" s="187" t="s">
        <v>1722</v>
      </c>
      <c r="F772" s="187" t="s">
        <v>1723</v>
      </c>
      <c r="G772" s="187" t="s">
        <v>1628</v>
      </c>
      <c r="H772" s="185" t="s">
        <v>189</v>
      </c>
      <c r="I772" s="186" t="s">
        <v>36</v>
      </c>
      <c r="J772" s="35" t="s">
        <v>1827</v>
      </c>
      <c r="K772" s="35" t="s">
        <v>36</v>
      </c>
    </row>
    <row r="773">
      <c r="A773" s="190" t="s">
        <v>383</v>
      </c>
      <c r="B773" s="35" t="s">
        <v>2469</v>
      </c>
      <c r="C773" s="35" t="s">
        <v>1438</v>
      </c>
      <c r="D773" s="35" t="s">
        <v>1439</v>
      </c>
      <c r="E773" s="184" t="s">
        <v>1440</v>
      </c>
      <c r="F773" s="183" t="s">
        <v>1441</v>
      </c>
      <c r="G773" s="35" t="s">
        <v>1442</v>
      </c>
      <c r="H773" s="185" t="s">
        <v>189</v>
      </c>
      <c r="I773" s="186" t="s">
        <v>36</v>
      </c>
      <c r="J773" s="56"/>
      <c r="K773" s="35" t="s">
        <v>36</v>
      </c>
    </row>
    <row r="774">
      <c r="A774" s="183" t="s">
        <v>383</v>
      </c>
      <c r="B774" s="35" t="s">
        <v>2470</v>
      </c>
      <c r="C774" s="187" t="s">
        <v>1446</v>
      </c>
      <c r="D774" s="187" t="s">
        <v>1447</v>
      </c>
      <c r="E774" s="187" t="s">
        <v>1448</v>
      </c>
      <c r="F774" s="187" t="s">
        <v>1449</v>
      </c>
      <c r="G774" s="187" t="s">
        <v>1450</v>
      </c>
      <c r="H774" s="185" t="s">
        <v>189</v>
      </c>
      <c r="I774" s="186" t="s">
        <v>36</v>
      </c>
      <c r="J774" s="56"/>
      <c r="K774" s="35" t="s">
        <v>36</v>
      </c>
    </row>
    <row r="775">
      <c r="A775" s="183" t="s">
        <v>383</v>
      </c>
      <c r="B775" s="35" t="s">
        <v>2471</v>
      </c>
      <c r="C775" s="187" t="s">
        <v>1453</v>
      </c>
      <c r="D775" s="187" t="s">
        <v>1454</v>
      </c>
      <c r="E775" s="187" t="s">
        <v>1448</v>
      </c>
      <c r="F775" s="187" t="s">
        <v>1455</v>
      </c>
      <c r="G775" s="187" t="s">
        <v>1456</v>
      </c>
      <c r="H775" s="185" t="s">
        <v>189</v>
      </c>
      <c r="I775" s="186" t="s">
        <v>111</v>
      </c>
      <c r="J775" s="35" t="s">
        <v>1854</v>
      </c>
      <c r="K775" s="35" t="s">
        <v>111</v>
      </c>
    </row>
    <row r="776">
      <c r="A776" s="183" t="s">
        <v>383</v>
      </c>
      <c r="B776" s="35" t="s">
        <v>2472</v>
      </c>
      <c r="C776" s="187" t="s">
        <v>1459</v>
      </c>
      <c r="D776" s="187" t="s">
        <v>1460</v>
      </c>
      <c r="E776" s="187" t="s">
        <v>1448</v>
      </c>
      <c r="F776" s="187" t="s">
        <v>1461</v>
      </c>
      <c r="G776" s="187" t="s">
        <v>1462</v>
      </c>
      <c r="H776" s="185" t="s">
        <v>189</v>
      </c>
      <c r="I776" s="186" t="s">
        <v>36</v>
      </c>
      <c r="J776" s="56"/>
      <c r="K776" s="35" t="s">
        <v>36</v>
      </c>
    </row>
    <row r="777">
      <c r="A777" s="183" t="s">
        <v>383</v>
      </c>
      <c r="B777" s="35" t="s">
        <v>2473</v>
      </c>
      <c r="C777" s="183" t="s">
        <v>1465</v>
      </c>
      <c r="D777" s="183" t="s">
        <v>1466</v>
      </c>
      <c r="E777" s="187" t="s">
        <v>1448</v>
      </c>
      <c r="F777" s="183" t="s">
        <v>1467</v>
      </c>
      <c r="G777" s="183" t="s">
        <v>1468</v>
      </c>
      <c r="H777" s="185" t="s">
        <v>189</v>
      </c>
      <c r="I777" s="186" t="s">
        <v>111</v>
      </c>
      <c r="J777" s="35" t="s">
        <v>1469</v>
      </c>
      <c r="K777" s="35" t="s">
        <v>111</v>
      </c>
    </row>
    <row r="778">
      <c r="A778" s="183" t="s">
        <v>383</v>
      </c>
      <c r="B778" s="35" t="s">
        <v>2474</v>
      </c>
      <c r="C778" s="183" t="s">
        <v>1471</v>
      </c>
      <c r="D778" s="183" t="s">
        <v>1472</v>
      </c>
      <c r="E778" s="187" t="s">
        <v>1448</v>
      </c>
      <c r="F778" s="183" t="s">
        <v>1473</v>
      </c>
      <c r="G778" s="183" t="s">
        <v>1474</v>
      </c>
      <c r="H778" s="185" t="s">
        <v>189</v>
      </c>
      <c r="I778" s="186" t="s">
        <v>111</v>
      </c>
      <c r="J778" s="35" t="s">
        <v>1475</v>
      </c>
      <c r="K778" s="35" t="s">
        <v>111</v>
      </c>
    </row>
    <row r="779">
      <c r="A779" s="183" t="s">
        <v>383</v>
      </c>
      <c r="B779" s="35" t="s">
        <v>2475</v>
      </c>
      <c r="C779" s="183" t="s">
        <v>1477</v>
      </c>
      <c r="D779" s="183" t="s">
        <v>1478</v>
      </c>
      <c r="E779" s="187" t="s">
        <v>1448</v>
      </c>
      <c r="F779" s="183" t="s">
        <v>1479</v>
      </c>
      <c r="G779" s="183" t="s">
        <v>1468</v>
      </c>
      <c r="H779" s="185" t="s">
        <v>189</v>
      </c>
      <c r="I779" s="186" t="s">
        <v>111</v>
      </c>
      <c r="J779" s="35" t="s">
        <v>1469</v>
      </c>
      <c r="K779" s="35" t="s">
        <v>111</v>
      </c>
    </row>
    <row r="780">
      <c r="A780" s="183" t="s">
        <v>383</v>
      </c>
      <c r="B780" s="35" t="s">
        <v>2476</v>
      </c>
      <c r="C780" s="183" t="s">
        <v>1481</v>
      </c>
      <c r="D780" s="183" t="s">
        <v>1472</v>
      </c>
      <c r="E780" s="187" t="s">
        <v>1448</v>
      </c>
      <c r="F780" s="183" t="s">
        <v>1482</v>
      </c>
      <c r="G780" s="183" t="s">
        <v>1474</v>
      </c>
      <c r="H780" s="185" t="s">
        <v>189</v>
      </c>
      <c r="I780" s="186" t="s">
        <v>111</v>
      </c>
      <c r="J780" s="183" t="s">
        <v>1475</v>
      </c>
      <c r="K780" s="35" t="s">
        <v>111</v>
      </c>
    </row>
    <row r="781">
      <c r="A781" s="183" t="s">
        <v>383</v>
      </c>
      <c r="B781" s="35" t="s">
        <v>2477</v>
      </c>
      <c r="C781" s="183" t="s">
        <v>1484</v>
      </c>
      <c r="D781" s="183" t="s">
        <v>1472</v>
      </c>
      <c r="E781" s="187" t="s">
        <v>1448</v>
      </c>
      <c r="F781" s="183" t="s">
        <v>1485</v>
      </c>
      <c r="G781" s="183" t="s">
        <v>1486</v>
      </c>
      <c r="H781" s="185" t="s">
        <v>189</v>
      </c>
      <c r="I781" s="186" t="s">
        <v>111</v>
      </c>
      <c r="J781" s="183" t="s">
        <v>1475</v>
      </c>
      <c r="K781" s="35" t="s">
        <v>111</v>
      </c>
    </row>
    <row r="782">
      <c r="A782" s="183" t="s">
        <v>383</v>
      </c>
      <c r="B782" s="35" t="s">
        <v>2478</v>
      </c>
      <c r="C782" s="187" t="s">
        <v>1488</v>
      </c>
      <c r="D782" s="187" t="s">
        <v>1489</v>
      </c>
      <c r="E782" s="187" t="s">
        <v>1490</v>
      </c>
      <c r="F782" s="187" t="s">
        <v>1491</v>
      </c>
      <c r="G782" s="187" t="s">
        <v>1492</v>
      </c>
      <c r="H782" s="185" t="s">
        <v>189</v>
      </c>
      <c r="I782" s="186" t="s">
        <v>111</v>
      </c>
      <c r="J782" s="35" t="s">
        <v>1862</v>
      </c>
      <c r="K782" s="35" t="s">
        <v>111</v>
      </c>
    </row>
    <row r="783">
      <c r="A783" s="183" t="s">
        <v>383</v>
      </c>
      <c r="B783" s="35" t="s">
        <v>2479</v>
      </c>
      <c r="C783" s="187" t="s">
        <v>1494</v>
      </c>
      <c r="D783" s="183" t="s">
        <v>1495</v>
      </c>
      <c r="E783" s="187" t="s">
        <v>1496</v>
      </c>
      <c r="F783" s="187" t="s">
        <v>1497</v>
      </c>
      <c r="G783" s="187" t="s">
        <v>1498</v>
      </c>
      <c r="H783" s="185" t="s">
        <v>189</v>
      </c>
      <c r="I783" s="186" t="s">
        <v>111</v>
      </c>
      <c r="J783" s="35" t="s">
        <v>1499</v>
      </c>
      <c r="K783" s="35" t="s">
        <v>111</v>
      </c>
    </row>
    <row r="784">
      <c r="A784" s="183" t="s">
        <v>383</v>
      </c>
      <c r="B784" s="35" t="s">
        <v>2480</v>
      </c>
      <c r="C784" s="187" t="s">
        <v>1501</v>
      </c>
      <c r="D784" s="187" t="s">
        <v>1502</v>
      </c>
      <c r="E784" s="187" t="s">
        <v>1503</v>
      </c>
      <c r="F784" s="187" t="s">
        <v>1491</v>
      </c>
      <c r="G784" s="187" t="s">
        <v>1504</v>
      </c>
      <c r="H784" s="185" t="s">
        <v>189</v>
      </c>
      <c r="I784" s="186" t="s">
        <v>36</v>
      </c>
      <c r="J784" s="56"/>
      <c r="K784" s="35" t="s">
        <v>36</v>
      </c>
    </row>
    <row r="785">
      <c r="A785" s="183" t="s">
        <v>383</v>
      </c>
      <c r="B785" s="35" t="s">
        <v>2481</v>
      </c>
      <c r="C785" s="187" t="s">
        <v>1506</v>
      </c>
      <c r="D785" s="187" t="s">
        <v>1507</v>
      </c>
      <c r="E785" s="187" t="s">
        <v>1508</v>
      </c>
      <c r="F785" s="187" t="s">
        <v>1491</v>
      </c>
      <c r="G785" s="187" t="s">
        <v>1509</v>
      </c>
      <c r="H785" s="185" t="s">
        <v>189</v>
      </c>
      <c r="I785" s="186" t="s">
        <v>111</v>
      </c>
      <c r="J785" s="35" t="s">
        <v>1862</v>
      </c>
      <c r="K785" s="35" t="s">
        <v>111</v>
      </c>
    </row>
    <row r="786">
      <c r="A786" s="183" t="s">
        <v>383</v>
      </c>
      <c r="B786" s="35" t="s">
        <v>2482</v>
      </c>
      <c r="C786" s="187" t="s">
        <v>1511</v>
      </c>
      <c r="D786" s="187" t="s">
        <v>1512</v>
      </c>
      <c r="E786" s="187" t="s">
        <v>1513</v>
      </c>
      <c r="F786" s="187" t="s">
        <v>1491</v>
      </c>
      <c r="G786" s="187" t="s">
        <v>1514</v>
      </c>
      <c r="H786" s="185" t="s">
        <v>189</v>
      </c>
      <c r="I786" s="186" t="s">
        <v>36</v>
      </c>
      <c r="J786" s="56"/>
      <c r="K786" s="35" t="s">
        <v>36</v>
      </c>
    </row>
    <row r="787">
      <c r="A787" s="183" t="s">
        <v>383</v>
      </c>
      <c r="B787" s="35" t="s">
        <v>2483</v>
      </c>
      <c r="C787" s="187" t="s">
        <v>1516</v>
      </c>
      <c r="D787" s="187" t="s">
        <v>1517</v>
      </c>
      <c r="E787" s="187" t="s">
        <v>1518</v>
      </c>
      <c r="F787" s="187" t="s">
        <v>1519</v>
      </c>
      <c r="G787" s="187" t="s">
        <v>1520</v>
      </c>
      <c r="H787" s="185" t="s">
        <v>189</v>
      </c>
      <c r="I787" s="186" t="s">
        <v>111</v>
      </c>
      <c r="J787" s="35" t="s">
        <v>1521</v>
      </c>
      <c r="K787" s="35" t="s">
        <v>111</v>
      </c>
    </row>
    <row r="788">
      <c r="A788" s="183" t="s">
        <v>383</v>
      </c>
      <c r="B788" s="35" t="s">
        <v>2484</v>
      </c>
      <c r="C788" s="187" t="s">
        <v>1523</v>
      </c>
      <c r="D788" s="187" t="s">
        <v>1524</v>
      </c>
      <c r="E788" s="187" t="s">
        <v>1525</v>
      </c>
      <c r="F788" s="187" t="s">
        <v>1526</v>
      </c>
      <c r="G788" s="187" t="s">
        <v>1527</v>
      </c>
      <c r="H788" s="185" t="s">
        <v>189</v>
      </c>
      <c r="I788" s="186" t="s">
        <v>111</v>
      </c>
      <c r="J788" s="35" t="s">
        <v>1862</v>
      </c>
      <c r="K788" s="35" t="s">
        <v>111</v>
      </c>
    </row>
    <row r="789">
      <c r="A789" s="183" t="s">
        <v>383</v>
      </c>
      <c r="B789" s="35" t="s">
        <v>2485</v>
      </c>
      <c r="C789" s="187" t="s">
        <v>1529</v>
      </c>
      <c r="D789" s="187" t="s">
        <v>1530</v>
      </c>
      <c r="E789" s="187" t="s">
        <v>1531</v>
      </c>
      <c r="F789" s="187" t="s">
        <v>1532</v>
      </c>
      <c r="G789" s="187" t="s">
        <v>1533</v>
      </c>
      <c r="H789" s="185" t="s">
        <v>189</v>
      </c>
      <c r="I789" s="186" t="s">
        <v>111</v>
      </c>
      <c r="J789" s="35" t="s">
        <v>1521</v>
      </c>
      <c r="K789" s="35" t="s">
        <v>111</v>
      </c>
    </row>
    <row r="790">
      <c r="A790" s="183" t="s">
        <v>383</v>
      </c>
      <c r="B790" s="35" t="s">
        <v>2486</v>
      </c>
      <c r="C790" s="187" t="s">
        <v>1535</v>
      </c>
      <c r="D790" s="187" t="s">
        <v>1536</v>
      </c>
      <c r="E790" s="187" t="s">
        <v>1537</v>
      </c>
      <c r="F790" s="187" t="s">
        <v>1538</v>
      </c>
      <c r="G790" s="187" t="s">
        <v>1539</v>
      </c>
      <c r="H790" s="185" t="s">
        <v>189</v>
      </c>
      <c r="I790" s="186" t="s">
        <v>111</v>
      </c>
      <c r="J790" s="35" t="s">
        <v>1521</v>
      </c>
      <c r="K790" s="35" t="s">
        <v>111</v>
      </c>
    </row>
    <row r="791">
      <c r="A791" s="183" t="s">
        <v>383</v>
      </c>
      <c r="B791" s="35" t="s">
        <v>2487</v>
      </c>
      <c r="C791" s="187" t="s">
        <v>1541</v>
      </c>
      <c r="D791" s="187" t="s">
        <v>1542</v>
      </c>
      <c r="E791" s="187" t="s">
        <v>1543</v>
      </c>
      <c r="F791" s="187" t="s">
        <v>1544</v>
      </c>
      <c r="G791" s="187" t="s">
        <v>1545</v>
      </c>
      <c r="H791" s="185" t="s">
        <v>189</v>
      </c>
      <c r="I791" s="186" t="s">
        <v>36</v>
      </c>
      <c r="J791" s="56"/>
      <c r="K791" s="35" t="s">
        <v>36</v>
      </c>
    </row>
    <row r="792">
      <c r="A792" s="183" t="s">
        <v>383</v>
      </c>
      <c r="B792" s="35" t="s">
        <v>2488</v>
      </c>
      <c r="C792" s="187" t="s">
        <v>1547</v>
      </c>
      <c r="D792" s="187" t="s">
        <v>1548</v>
      </c>
      <c r="E792" s="187" t="s">
        <v>1448</v>
      </c>
      <c r="F792" s="187" t="s">
        <v>1549</v>
      </c>
      <c r="G792" s="187" t="s">
        <v>1550</v>
      </c>
      <c r="H792" s="185" t="s">
        <v>189</v>
      </c>
      <c r="I792" s="186" t="s">
        <v>36</v>
      </c>
      <c r="J792" s="56"/>
      <c r="K792" s="35" t="s">
        <v>36</v>
      </c>
    </row>
    <row r="793">
      <c r="A793" s="183" t="s">
        <v>383</v>
      </c>
      <c r="B793" s="35" t="s">
        <v>2489</v>
      </c>
      <c r="C793" s="187" t="s">
        <v>1552</v>
      </c>
      <c r="D793" s="187" t="s">
        <v>1553</v>
      </c>
      <c r="E793" s="187" t="s">
        <v>1448</v>
      </c>
      <c r="F793" s="187" t="s">
        <v>1554</v>
      </c>
      <c r="G793" s="187" t="s">
        <v>1555</v>
      </c>
      <c r="H793" s="185" t="s">
        <v>189</v>
      </c>
      <c r="I793" s="186" t="s">
        <v>111</v>
      </c>
      <c r="J793" s="35" t="s">
        <v>1556</v>
      </c>
      <c r="K793" s="35" t="s">
        <v>111</v>
      </c>
    </row>
    <row r="794">
      <c r="A794" s="183" t="s">
        <v>383</v>
      </c>
      <c r="B794" s="35" t="s">
        <v>2490</v>
      </c>
      <c r="C794" s="187" t="s">
        <v>1558</v>
      </c>
      <c r="D794" s="187" t="s">
        <v>1559</v>
      </c>
      <c r="E794" s="187" t="s">
        <v>1448</v>
      </c>
      <c r="F794" s="187" t="s">
        <v>1560</v>
      </c>
      <c r="G794" s="187" t="s">
        <v>1561</v>
      </c>
      <c r="H794" s="185" t="s">
        <v>189</v>
      </c>
      <c r="I794" s="186" t="s">
        <v>36</v>
      </c>
      <c r="J794" s="35"/>
      <c r="K794" s="35" t="s">
        <v>36</v>
      </c>
    </row>
    <row r="795">
      <c r="A795" s="183" t="s">
        <v>383</v>
      </c>
      <c r="B795" s="35" t="s">
        <v>2491</v>
      </c>
      <c r="C795" s="187" t="s">
        <v>1563</v>
      </c>
      <c r="D795" s="187" t="s">
        <v>1564</v>
      </c>
      <c r="E795" s="187" t="s">
        <v>1448</v>
      </c>
      <c r="F795" s="187" t="s">
        <v>1565</v>
      </c>
      <c r="G795" s="187" t="s">
        <v>1566</v>
      </c>
      <c r="H795" s="185" t="s">
        <v>189</v>
      </c>
      <c r="I795" s="186" t="s">
        <v>36</v>
      </c>
      <c r="J795" s="35"/>
      <c r="K795" s="35" t="s">
        <v>36</v>
      </c>
    </row>
    <row r="796">
      <c r="A796" s="183" t="s">
        <v>383</v>
      </c>
      <c r="B796" s="35" t="s">
        <v>2492</v>
      </c>
      <c r="C796" s="187" t="s">
        <v>1568</v>
      </c>
      <c r="D796" s="187" t="s">
        <v>1569</v>
      </c>
      <c r="E796" s="187" t="s">
        <v>1448</v>
      </c>
      <c r="F796" s="187" t="s">
        <v>1570</v>
      </c>
      <c r="G796" s="187" t="s">
        <v>1571</v>
      </c>
      <c r="H796" s="185" t="s">
        <v>189</v>
      </c>
      <c r="I796" s="186" t="s">
        <v>36</v>
      </c>
      <c r="J796" s="56"/>
      <c r="K796" s="35" t="s">
        <v>36</v>
      </c>
    </row>
    <row r="797">
      <c r="A797" s="183" t="s">
        <v>383</v>
      </c>
      <c r="B797" s="35" t="s">
        <v>2493</v>
      </c>
      <c r="C797" s="187" t="s">
        <v>1573</v>
      </c>
      <c r="D797" s="187" t="s">
        <v>1574</v>
      </c>
      <c r="E797" s="187" t="s">
        <v>1448</v>
      </c>
      <c r="F797" s="187" t="s">
        <v>1575</v>
      </c>
      <c r="G797" s="187" t="s">
        <v>1576</v>
      </c>
      <c r="H797" s="185" t="s">
        <v>189</v>
      </c>
      <c r="I797" s="186" t="s">
        <v>111</v>
      </c>
      <c r="J797" s="35" t="s">
        <v>1577</v>
      </c>
      <c r="K797" s="35" t="s">
        <v>111</v>
      </c>
    </row>
    <row r="798">
      <c r="A798" s="183" t="s">
        <v>383</v>
      </c>
      <c r="B798" s="35" t="s">
        <v>2494</v>
      </c>
      <c r="C798" s="187" t="s">
        <v>1579</v>
      </c>
      <c r="D798" s="187" t="s">
        <v>1580</v>
      </c>
      <c r="E798" s="187" t="s">
        <v>1448</v>
      </c>
      <c r="F798" s="187" t="s">
        <v>1581</v>
      </c>
      <c r="G798" s="187" t="s">
        <v>1582</v>
      </c>
      <c r="H798" s="185" t="s">
        <v>189</v>
      </c>
      <c r="I798" s="186" t="s">
        <v>36</v>
      </c>
      <c r="J798" s="56"/>
      <c r="K798" s="35" t="s">
        <v>36</v>
      </c>
    </row>
    <row r="799">
      <c r="A799" s="183" t="s">
        <v>383</v>
      </c>
      <c r="B799" s="35" t="s">
        <v>2495</v>
      </c>
      <c r="C799" s="187" t="s">
        <v>1584</v>
      </c>
      <c r="D799" s="187" t="s">
        <v>1585</v>
      </c>
      <c r="E799" s="187" t="s">
        <v>1586</v>
      </c>
      <c r="F799" s="187" t="s">
        <v>1587</v>
      </c>
      <c r="G799" s="187" t="s">
        <v>1588</v>
      </c>
      <c r="H799" s="185" t="s">
        <v>189</v>
      </c>
      <c r="I799" s="186" t="s">
        <v>36</v>
      </c>
      <c r="J799" s="56"/>
      <c r="K799" s="35" t="s">
        <v>36</v>
      </c>
    </row>
    <row r="800">
      <c r="A800" s="183" t="s">
        <v>383</v>
      </c>
      <c r="B800" s="35" t="s">
        <v>2496</v>
      </c>
      <c r="C800" s="187" t="s">
        <v>1590</v>
      </c>
      <c r="D800" s="187" t="s">
        <v>1591</v>
      </c>
      <c r="E800" s="187" t="s">
        <v>1592</v>
      </c>
      <c r="F800" s="187" t="s">
        <v>1593</v>
      </c>
      <c r="G800" s="187" t="s">
        <v>1594</v>
      </c>
      <c r="H800" s="185" t="s">
        <v>189</v>
      </c>
      <c r="I800" s="186" t="s">
        <v>111</v>
      </c>
      <c r="J800" s="35" t="s">
        <v>1595</v>
      </c>
      <c r="K800" s="35" t="s">
        <v>111</v>
      </c>
    </row>
    <row r="801">
      <c r="A801" s="183" t="s">
        <v>383</v>
      </c>
      <c r="B801" s="35" t="s">
        <v>2497</v>
      </c>
      <c r="C801" s="187" t="s">
        <v>1597</v>
      </c>
      <c r="D801" s="187" t="s">
        <v>1598</v>
      </c>
      <c r="E801" s="187" t="s">
        <v>1599</v>
      </c>
      <c r="F801" s="187" t="s">
        <v>1600</v>
      </c>
      <c r="G801" s="187" t="s">
        <v>1601</v>
      </c>
      <c r="H801" s="185" t="s">
        <v>189</v>
      </c>
      <c r="I801" s="186" t="s">
        <v>36</v>
      </c>
      <c r="J801" s="56"/>
      <c r="K801" s="35" t="s">
        <v>36</v>
      </c>
    </row>
    <row r="802">
      <c r="A802" s="183" t="s">
        <v>383</v>
      </c>
      <c r="B802" s="35" t="s">
        <v>2498</v>
      </c>
      <c r="C802" s="187" t="s">
        <v>1603</v>
      </c>
      <c r="D802" s="187" t="s">
        <v>1604</v>
      </c>
      <c r="E802" s="187" t="s">
        <v>1605</v>
      </c>
      <c r="F802" s="187" t="s">
        <v>1606</v>
      </c>
      <c r="G802" s="187" t="s">
        <v>1607</v>
      </c>
      <c r="H802" s="185" t="s">
        <v>189</v>
      </c>
      <c r="I802" s="186" t="s">
        <v>36</v>
      </c>
      <c r="J802" s="56"/>
      <c r="K802" s="35" t="s">
        <v>36</v>
      </c>
    </row>
    <row r="803">
      <c r="A803" s="183" t="s">
        <v>383</v>
      </c>
      <c r="B803" s="35" t="s">
        <v>2499</v>
      </c>
      <c r="C803" s="187" t="s">
        <v>1609</v>
      </c>
      <c r="D803" s="187" t="s">
        <v>1610</v>
      </c>
      <c r="E803" s="187" t="s">
        <v>1611</v>
      </c>
      <c r="F803" s="187" t="s">
        <v>1612</v>
      </c>
      <c r="G803" s="187" t="s">
        <v>1613</v>
      </c>
      <c r="H803" s="185" t="s">
        <v>189</v>
      </c>
      <c r="I803" s="186" t="s">
        <v>36</v>
      </c>
      <c r="J803" s="56"/>
      <c r="K803" s="35" t="s">
        <v>36</v>
      </c>
    </row>
    <row r="804">
      <c r="A804" s="183" t="s">
        <v>383</v>
      </c>
      <c r="B804" s="35" t="s">
        <v>2500</v>
      </c>
      <c r="C804" s="187" t="s">
        <v>1615</v>
      </c>
      <c r="D804" s="187" t="s">
        <v>1616</v>
      </c>
      <c r="E804" s="187" t="s">
        <v>1611</v>
      </c>
      <c r="F804" s="187" t="s">
        <v>1617</v>
      </c>
      <c r="G804" s="187" t="s">
        <v>1618</v>
      </c>
      <c r="H804" s="185" t="s">
        <v>189</v>
      </c>
      <c r="I804" s="186" t="s">
        <v>36</v>
      </c>
      <c r="J804" s="56"/>
      <c r="K804" s="35" t="s">
        <v>36</v>
      </c>
    </row>
    <row r="805">
      <c r="A805" s="183" t="s">
        <v>383</v>
      </c>
      <c r="B805" s="35" t="s">
        <v>2501</v>
      </c>
      <c r="C805" s="187" t="s">
        <v>1620</v>
      </c>
      <c r="D805" s="187" t="s">
        <v>1621</v>
      </c>
      <c r="E805" s="187" t="s">
        <v>1622</v>
      </c>
      <c r="F805" s="187" t="s">
        <v>1623</v>
      </c>
      <c r="G805" s="187" t="s">
        <v>1624</v>
      </c>
      <c r="H805" s="185" t="s">
        <v>189</v>
      </c>
      <c r="I805" s="186" t="s">
        <v>36</v>
      </c>
      <c r="J805" s="56"/>
      <c r="K805" s="35" t="s">
        <v>36</v>
      </c>
    </row>
    <row r="806">
      <c r="A806" s="183" t="s">
        <v>383</v>
      </c>
      <c r="B806" s="35" t="s">
        <v>2502</v>
      </c>
      <c r="C806" s="187" t="s">
        <v>1626</v>
      </c>
      <c r="D806" s="187" t="s">
        <v>1627</v>
      </c>
      <c r="E806" s="187" t="s">
        <v>1622</v>
      </c>
      <c r="F806" s="187" t="s">
        <v>1549</v>
      </c>
      <c r="G806" s="187" t="s">
        <v>1628</v>
      </c>
      <c r="H806" s="185" t="s">
        <v>189</v>
      </c>
      <c r="I806" s="186" t="s">
        <v>36</v>
      </c>
      <c r="J806" s="56"/>
      <c r="K806" s="35" t="s">
        <v>36</v>
      </c>
    </row>
    <row r="807">
      <c r="A807" s="183" t="s">
        <v>383</v>
      </c>
      <c r="B807" s="35" t="s">
        <v>2503</v>
      </c>
      <c r="C807" s="187" t="s">
        <v>1630</v>
      </c>
      <c r="D807" s="187" t="s">
        <v>1631</v>
      </c>
      <c r="E807" s="187" t="s">
        <v>1632</v>
      </c>
      <c r="F807" s="187" t="s">
        <v>1633</v>
      </c>
      <c r="G807" s="187" t="s">
        <v>1634</v>
      </c>
      <c r="H807" s="185" t="s">
        <v>189</v>
      </c>
      <c r="I807" s="186" t="s">
        <v>111</v>
      </c>
      <c r="J807" s="56"/>
      <c r="K807" s="35" t="s">
        <v>111</v>
      </c>
    </row>
    <row r="808">
      <c r="A808" s="183" t="s">
        <v>383</v>
      </c>
      <c r="B808" s="35" t="s">
        <v>2504</v>
      </c>
      <c r="C808" s="187" t="s">
        <v>1636</v>
      </c>
      <c r="D808" s="187" t="s">
        <v>1637</v>
      </c>
      <c r="E808" s="187" t="s">
        <v>1638</v>
      </c>
      <c r="F808" s="187" t="s">
        <v>1639</v>
      </c>
      <c r="G808" s="187" t="s">
        <v>1588</v>
      </c>
      <c r="H808" s="185" t="s">
        <v>189</v>
      </c>
      <c r="I808" s="186" t="s">
        <v>36</v>
      </c>
      <c r="J808" s="56"/>
      <c r="K808" s="35" t="s">
        <v>36</v>
      </c>
    </row>
    <row r="809">
      <c r="A809" s="183" t="s">
        <v>383</v>
      </c>
      <c r="B809" s="35" t="s">
        <v>2505</v>
      </c>
      <c r="C809" s="187" t="s">
        <v>1641</v>
      </c>
      <c r="D809" s="187" t="s">
        <v>1642</v>
      </c>
      <c r="E809" s="187" t="s">
        <v>1638</v>
      </c>
      <c r="F809" s="187" t="s">
        <v>1643</v>
      </c>
      <c r="G809" s="187" t="s">
        <v>1594</v>
      </c>
      <c r="H809" s="185" t="s">
        <v>189</v>
      </c>
      <c r="I809" s="186" t="s">
        <v>111</v>
      </c>
      <c r="J809" s="35" t="s">
        <v>1890</v>
      </c>
      <c r="K809" s="35" t="s">
        <v>111</v>
      </c>
    </row>
    <row r="810">
      <c r="A810" s="183" t="s">
        <v>383</v>
      </c>
      <c r="B810" s="35" t="s">
        <v>2506</v>
      </c>
      <c r="C810" s="187" t="s">
        <v>1645</v>
      </c>
      <c r="D810" s="187" t="s">
        <v>1646</v>
      </c>
      <c r="E810" s="187" t="s">
        <v>1638</v>
      </c>
      <c r="F810" s="187" t="s">
        <v>1647</v>
      </c>
      <c r="G810" s="187" t="s">
        <v>1601</v>
      </c>
      <c r="H810" s="185" t="s">
        <v>189</v>
      </c>
      <c r="I810" s="186" t="s">
        <v>36</v>
      </c>
      <c r="J810" s="56"/>
      <c r="K810" s="35" t="s">
        <v>36</v>
      </c>
    </row>
    <row r="811">
      <c r="A811" s="183" t="s">
        <v>383</v>
      </c>
      <c r="B811" s="35" t="s">
        <v>2507</v>
      </c>
      <c r="C811" s="187" t="s">
        <v>1649</v>
      </c>
      <c r="D811" s="187" t="s">
        <v>1650</v>
      </c>
      <c r="E811" s="187" t="s">
        <v>1638</v>
      </c>
      <c r="F811" s="187" t="s">
        <v>1554</v>
      </c>
      <c r="G811" s="187" t="s">
        <v>1651</v>
      </c>
      <c r="H811" s="185" t="s">
        <v>189</v>
      </c>
      <c r="I811" s="186" t="s">
        <v>111</v>
      </c>
      <c r="J811" s="56"/>
      <c r="K811" s="35" t="s">
        <v>111</v>
      </c>
    </row>
    <row r="812">
      <c r="A812" s="183" t="s">
        <v>383</v>
      </c>
      <c r="B812" s="35" t="s">
        <v>2508</v>
      </c>
      <c r="C812" s="187" t="s">
        <v>1653</v>
      </c>
      <c r="D812" s="187" t="s">
        <v>1654</v>
      </c>
      <c r="E812" s="187" t="s">
        <v>1638</v>
      </c>
      <c r="F812" s="187" t="s">
        <v>1560</v>
      </c>
      <c r="G812" s="187" t="s">
        <v>1561</v>
      </c>
      <c r="H812" s="185" t="s">
        <v>189</v>
      </c>
      <c r="I812" s="186" t="s">
        <v>36</v>
      </c>
      <c r="J812" s="56"/>
      <c r="K812" s="35" t="s">
        <v>36</v>
      </c>
    </row>
    <row r="813">
      <c r="A813" s="183" t="s">
        <v>383</v>
      </c>
      <c r="B813" s="35" t="s">
        <v>2509</v>
      </c>
      <c r="C813" s="187" t="s">
        <v>1656</v>
      </c>
      <c r="D813" s="187" t="s">
        <v>1564</v>
      </c>
      <c r="E813" s="187" t="s">
        <v>1638</v>
      </c>
      <c r="F813" s="187" t="s">
        <v>1657</v>
      </c>
      <c r="G813" s="187" t="s">
        <v>1566</v>
      </c>
      <c r="H813" s="185" t="s">
        <v>189</v>
      </c>
      <c r="I813" s="186" t="s">
        <v>36</v>
      </c>
      <c r="J813" s="56"/>
      <c r="K813" s="35" t="s">
        <v>36</v>
      </c>
    </row>
    <row r="814">
      <c r="A814" s="183" t="s">
        <v>383</v>
      </c>
      <c r="B814" s="35" t="s">
        <v>2510</v>
      </c>
      <c r="C814" s="187" t="s">
        <v>1659</v>
      </c>
      <c r="D814" s="187" t="s">
        <v>1569</v>
      </c>
      <c r="E814" s="187" t="s">
        <v>1638</v>
      </c>
      <c r="F814" s="187" t="s">
        <v>1570</v>
      </c>
      <c r="G814" s="187" t="s">
        <v>1571</v>
      </c>
      <c r="H814" s="185" t="s">
        <v>189</v>
      </c>
      <c r="I814" s="186" t="s">
        <v>36</v>
      </c>
      <c r="J814" s="56"/>
      <c r="K814" s="35" t="s">
        <v>36</v>
      </c>
    </row>
    <row r="815">
      <c r="A815" s="183" t="s">
        <v>383</v>
      </c>
      <c r="B815" s="35" t="s">
        <v>2511</v>
      </c>
      <c r="C815" s="187" t="s">
        <v>1661</v>
      </c>
      <c r="D815" s="187" t="s">
        <v>1574</v>
      </c>
      <c r="E815" s="187" t="s">
        <v>1638</v>
      </c>
      <c r="F815" s="187" t="s">
        <v>1575</v>
      </c>
      <c r="G815" s="187" t="s">
        <v>1576</v>
      </c>
      <c r="H815" s="185" t="s">
        <v>189</v>
      </c>
      <c r="I815" s="186" t="s">
        <v>111</v>
      </c>
      <c r="J815" s="35" t="s">
        <v>1577</v>
      </c>
      <c r="K815" s="35" t="s">
        <v>111</v>
      </c>
    </row>
    <row r="816">
      <c r="A816" s="183" t="s">
        <v>383</v>
      </c>
      <c r="B816" s="35" t="s">
        <v>2512</v>
      </c>
      <c r="C816" s="187" t="s">
        <v>1663</v>
      </c>
      <c r="D816" s="187" t="s">
        <v>1580</v>
      </c>
      <c r="E816" s="187" t="s">
        <v>1638</v>
      </c>
      <c r="F816" s="187" t="s">
        <v>1581</v>
      </c>
      <c r="G816" s="187" t="s">
        <v>1582</v>
      </c>
      <c r="H816" s="185" t="s">
        <v>189</v>
      </c>
      <c r="I816" s="186" t="s">
        <v>111</v>
      </c>
      <c r="J816" s="35" t="s">
        <v>1664</v>
      </c>
      <c r="K816" s="35" t="s">
        <v>111</v>
      </c>
    </row>
    <row r="817">
      <c r="A817" s="183" t="s">
        <v>383</v>
      </c>
      <c r="B817" s="35" t="s">
        <v>2513</v>
      </c>
      <c r="C817" s="187" t="s">
        <v>1666</v>
      </c>
      <c r="D817" s="187" t="s">
        <v>1667</v>
      </c>
      <c r="E817" s="187" t="s">
        <v>1668</v>
      </c>
      <c r="F817" s="187" t="s">
        <v>1669</v>
      </c>
      <c r="G817" s="187" t="s">
        <v>1670</v>
      </c>
      <c r="H817" s="185" t="s">
        <v>189</v>
      </c>
      <c r="I817" s="186" t="s">
        <v>111</v>
      </c>
      <c r="J817" s="35" t="s">
        <v>1899</v>
      </c>
      <c r="K817" s="35" t="s">
        <v>111</v>
      </c>
    </row>
    <row r="818">
      <c r="A818" s="183" t="s">
        <v>383</v>
      </c>
      <c r="B818" s="35" t="s">
        <v>2514</v>
      </c>
      <c r="C818" s="187" t="s">
        <v>1672</v>
      </c>
      <c r="D818" s="187" t="s">
        <v>1673</v>
      </c>
      <c r="E818" s="187" t="s">
        <v>1674</v>
      </c>
      <c r="F818" s="187" t="s">
        <v>1675</v>
      </c>
      <c r="G818" s="187" t="s">
        <v>1651</v>
      </c>
      <c r="H818" s="185" t="s">
        <v>189</v>
      </c>
      <c r="I818" s="186" t="s">
        <v>111</v>
      </c>
      <c r="J818" s="56"/>
      <c r="K818" s="35" t="s">
        <v>111</v>
      </c>
    </row>
    <row r="819">
      <c r="A819" s="183" t="s">
        <v>383</v>
      </c>
      <c r="B819" s="35" t="s">
        <v>2515</v>
      </c>
      <c r="C819" s="187" t="s">
        <v>1678</v>
      </c>
      <c r="D819" s="187" t="s">
        <v>1679</v>
      </c>
      <c r="E819" s="187" t="s">
        <v>1680</v>
      </c>
      <c r="F819" s="187" t="s">
        <v>1681</v>
      </c>
      <c r="G819" s="187" t="s">
        <v>1682</v>
      </c>
      <c r="H819" s="185" t="s">
        <v>189</v>
      </c>
      <c r="I819" s="186" t="s">
        <v>111</v>
      </c>
      <c r="J819" s="35" t="s">
        <v>1899</v>
      </c>
      <c r="K819" s="35" t="s">
        <v>111</v>
      </c>
    </row>
    <row r="820">
      <c r="A820" s="183" t="s">
        <v>383</v>
      </c>
      <c r="B820" s="35" t="s">
        <v>2516</v>
      </c>
      <c r="C820" s="187" t="s">
        <v>1684</v>
      </c>
      <c r="D820" s="187" t="s">
        <v>1679</v>
      </c>
      <c r="E820" s="187" t="s">
        <v>1680</v>
      </c>
      <c r="F820" s="187" t="s">
        <v>1675</v>
      </c>
      <c r="G820" s="187" t="s">
        <v>1682</v>
      </c>
      <c r="H820" s="185" t="s">
        <v>189</v>
      </c>
      <c r="I820" s="186" t="s">
        <v>111</v>
      </c>
      <c r="J820" s="56"/>
      <c r="K820" s="35" t="s">
        <v>111</v>
      </c>
    </row>
    <row r="821">
      <c r="A821" s="183" t="s">
        <v>383</v>
      </c>
      <c r="B821" s="35" t="s">
        <v>2517</v>
      </c>
      <c r="C821" s="187" t="s">
        <v>1686</v>
      </c>
      <c r="D821" s="187" t="s">
        <v>1687</v>
      </c>
      <c r="E821" s="187" t="s">
        <v>1688</v>
      </c>
      <c r="F821" s="187" t="s">
        <v>1689</v>
      </c>
      <c r="G821" s="187" t="s">
        <v>1690</v>
      </c>
      <c r="H821" s="185" t="s">
        <v>189</v>
      </c>
      <c r="I821" s="186" t="s">
        <v>36</v>
      </c>
      <c r="J821" s="56"/>
      <c r="K821" s="35" t="s">
        <v>36</v>
      </c>
    </row>
    <row r="822">
      <c r="A822" s="183" t="s">
        <v>383</v>
      </c>
      <c r="B822" s="35" t="s">
        <v>2518</v>
      </c>
      <c r="C822" s="187" t="s">
        <v>1692</v>
      </c>
      <c r="D822" s="187" t="s">
        <v>1693</v>
      </c>
      <c r="E822" s="187" t="s">
        <v>1694</v>
      </c>
      <c r="F822" s="187" t="s">
        <v>1554</v>
      </c>
      <c r="G822" s="187" t="s">
        <v>1555</v>
      </c>
      <c r="H822" s="185" t="s">
        <v>189</v>
      </c>
      <c r="I822" s="186" t="s">
        <v>111</v>
      </c>
      <c r="J822" s="35" t="s">
        <v>1556</v>
      </c>
      <c r="K822" s="35" t="s">
        <v>111</v>
      </c>
    </row>
    <row r="823">
      <c r="A823" s="183" t="s">
        <v>383</v>
      </c>
      <c r="B823" s="35" t="s">
        <v>2519</v>
      </c>
      <c r="C823" s="187" t="s">
        <v>1696</v>
      </c>
      <c r="D823" s="187" t="s">
        <v>1564</v>
      </c>
      <c r="E823" s="187" t="s">
        <v>1697</v>
      </c>
      <c r="F823" s="187" t="s">
        <v>1657</v>
      </c>
      <c r="G823" s="187" t="s">
        <v>1566</v>
      </c>
      <c r="H823" s="185" t="s">
        <v>189</v>
      </c>
      <c r="I823" s="186" t="s">
        <v>36</v>
      </c>
      <c r="J823" s="56"/>
      <c r="K823" s="35" t="s">
        <v>36</v>
      </c>
    </row>
    <row r="824">
      <c r="A824" s="183" t="s">
        <v>383</v>
      </c>
      <c r="B824" s="35" t="s">
        <v>2520</v>
      </c>
      <c r="C824" s="187" t="s">
        <v>1699</v>
      </c>
      <c r="D824" s="187" t="s">
        <v>1700</v>
      </c>
      <c r="E824" s="187" t="s">
        <v>1701</v>
      </c>
      <c r="F824" s="187" t="s">
        <v>1560</v>
      </c>
      <c r="G824" s="187" t="s">
        <v>1561</v>
      </c>
      <c r="H824" s="185" t="s">
        <v>189</v>
      </c>
      <c r="I824" s="186" t="s">
        <v>36</v>
      </c>
      <c r="J824" s="35"/>
      <c r="K824" s="35" t="s">
        <v>36</v>
      </c>
    </row>
    <row r="825">
      <c r="A825" s="183" t="s">
        <v>383</v>
      </c>
      <c r="B825" s="35" t="s">
        <v>2521</v>
      </c>
      <c r="C825" s="187" t="s">
        <v>1703</v>
      </c>
      <c r="D825" s="187" t="s">
        <v>1569</v>
      </c>
      <c r="E825" s="187" t="s">
        <v>1622</v>
      </c>
      <c r="F825" s="187" t="s">
        <v>1570</v>
      </c>
      <c r="G825" s="187" t="s">
        <v>1571</v>
      </c>
      <c r="H825" s="185" t="s">
        <v>189</v>
      </c>
      <c r="I825" s="186" t="s">
        <v>36</v>
      </c>
      <c r="J825" s="56"/>
      <c r="K825" s="35" t="s">
        <v>36</v>
      </c>
    </row>
    <row r="826">
      <c r="A826" s="183" t="s">
        <v>383</v>
      </c>
      <c r="B826" s="35" t="s">
        <v>2522</v>
      </c>
      <c r="C826" s="187" t="s">
        <v>1705</v>
      </c>
      <c r="D826" s="187" t="s">
        <v>1574</v>
      </c>
      <c r="E826" s="187" t="s">
        <v>1622</v>
      </c>
      <c r="F826" s="187" t="s">
        <v>1575</v>
      </c>
      <c r="G826" s="187" t="s">
        <v>1576</v>
      </c>
      <c r="H826" s="185" t="s">
        <v>189</v>
      </c>
      <c r="I826" s="186" t="s">
        <v>111</v>
      </c>
      <c r="J826" s="35" t="s">
        <v>1577</v>
      </c>
      <c r="K826" s="35" t="s">
        <v>111</v>
      </c>
    </row>
    <row r="827">
      <c r="A827" s="183" t="s">
        <v>383</v>
      </c>
      <c r="B827" s="35" t="s">
        <v>2523</v>
      </c>
      <c r="C827" s="187" t="s">
        <v>1707</v>
      </c>
      <c r="D827" s="187" t="s">
        <v>1580</v>
      </c>
      <c r="E827" s="187" t="s">
        <v>1622</v>
      </c>
      <c r="F827" s="187" t="s">
        <v>1581</v>
      </c>
      <c r="G827" s="187" t="s">
        <v>1582</v>
      </c>
      <c r="H827" s="185" t="s">
        <v>189</v>
      </c>
      <c r="I827" s="186" t="s">
        <v>36</v>
      </c>
      <c r="J827" s="56"/>
      <c r="K827" s="35" t="s">
        <v>36</v>
      </c>
    </row>
    <row r="828">
      <c r="A828" s="183" t="s">
        <v>383</v>
      </c>
      <c r="B828" s="35" t="s">
        <v>2524</v>
      </c>
      <c r="C828" s="187" t="s">
        <v>1709</v>
      </c>
      <c r="D828" s="187" t="s">
        <v>1710</v>
      </c>
      <c r="E828" s="187" t="s">
        <v>1622</v>
      </c>
      <c r="F828" s="187" t="s">
        <v>1711</v>
      </c>
      <c r="G828" s="187" t="s">
        <v>1712</v>
      </c>
      <c r="H828" s="185" t="s">
        <v>189</v>
      </c>
      <c r="I828" s="186" t="s">
        <v>111</v>
      </c>
      <c r="J828" s="35" t="s">
        <v>1911</v>
      </c>
      <c r="K828" s="35" t="s">
        <v>111</v>
      </c>
    </row>
    <row r="829">
      <c r="A829" s="183" t="s">
        <v>383</v>
      </c>
      <c r="B829" s="35" t="s">
        <v>2525</v>
      </c>
      <c r="C829" s="187" t="s">
        <v>1714</v>
      </c>
      <c r="D829" s="187" t="s">
        <v>1715</v>
      </c>
      <c r="E829" s="187" t="s">
        <v>1716</v>
      </c>
      <c r="F829" s="187" t="s">
        <v>1717</v>
      </c>
      <c r="G829" s="187" t="s">
        <v>1718</v>
      </c>
      <c r="H829" s="185" t="s">
        <v>189</v>
      </c>
      <c r="I829" s="186" t="s">
        <v>111</v>
      </c>
      <c r="J829" s="35" t="s">
        <v>1913</v>
      </c>
      <c r="K829" s="35" t="s">
        <v>111</v>
      </c>
    </row>
    <row r="830">
      <c r="A830" s="183" t="s">
        <v>383</v>
      </c>
      <c r="B830" s="35" t="s">
        <v>2526</v>
      </c>
      <c r="C830" s="187" t="s">
        <v>1720</v>
      </c>
      <c r="D830" s="187" t="s">
        <v>1721</v>
      </c>
      <c r="E830" s="187" t="s">
        <v>1722</v>
      </c>
      <c r="F830" s="187" t="s">
        <v>1723</v>
      </c>
      <c r="G830" s="187" t="s">
        <v>1628</v>
      </c>
      <c r="H830" s="185" t="s">
        <v>189</v>
      </c>
      <c r="I830" s="186" t="s">
        <v>111</v>
      </c>
      <c r="J830" s="35" t="s">
        <v>1913</v>
      </c>
      <c r="K830" s="35" t="s">
        <v>111</v>
      </c>
    </row>
    <row r="831">
      <c r="A831" s="183" t="s">
        <v>413</v>
      </c>
      <c r="B831" s="35" t="s">
        <v>2527</v>
      </c>
      <c r="C831" s="35" t="s">
        <v>1438</v>
      </c>
      <c r="D831" s="35" t="s">
        <v>1439</v>
      </c>
      <c r="E831" s="184" t="s">
        <v>1440</v>
      </c>
      <c r="F831" s="183" t="s">
        <v>1441</v>
      </c>
      <c r="G831" s="35" t="s">
        <v>1442</v>
      </c>
      <c r="H831" s="185" t="s">
        <v>189</v>
      </c>
      <c r="I831" s="186" t="s">
        <v>36</v>
      </c>
      <c r="J831" s="56"/>
      <c r="K831" s="35" t="s">
        <v>36</v>
      </c>
    </row>
    <row r="832">
      <c r="A832" s="183" t="s">
        <v>413</v>
      </c>
      <c r="B832" s="35" t="s">
        <v>2528</v>
      </c>
      <c r="C832" s="187" t="s">
        <v>1446</v>
      </c>
      <c r="D832" s="187" t="s">
        <v>1447</v>
      </c>
      <c r="E832" s="187" t="s">
        <v>1448</v>
      </c>
      <c r="F832" s="187" t="s">
        <v>1449</v>
      </c>
      <c r="G832" s="187" t="s">
        <v>1450</v>
      </c>
      <c r="H832" s="185" t="s">
        <v>189</v>
      </c>
      <c r="I832" s="186" t="s">
        <v>36</v>
      </c>
      <c r="J832" s="56"/>
      <c r="K832" s="35" t="s">
        <v>36</v>
      </c>
    </row>
    <row r="833">
      <c r="A833" s="183" t="s">
        <v>413</v>
      </c>
      <c r="B833" s="35" t="s">
        <v>2529</v>
      </c>
      <c r="C833" s="187" t="s">
        <v>1453</v>
      </c>
      <c r="D833" s="187" t="s">
        <v>1454</v>
      </c>
      <c r="E833" s="187" t="s">
        <v>1448</v>
      </c>
      <c r="F833" s="187" t="s">
        <v>1455</v>
      </c>
      <c r="G833" s="187" t="s">
        <v>1456</v>
      </c>
      <c r="H833" s="185" t="s">
        <v>189</v>
      </c>
      <c r="I833" s="186" t="s">
        <v>36</v>
      </c>
      <c r="J833" s="56"/>
      <c r="K833" s="35" t="s">
        <v>36</v>
      </c>
    </row>
    <row r="834">
      <c r="A834" s="183" t="s">
        <v>413</v>
      </c>
      <c r="B834" s="35" t="s">
        <v>2530</v>
      </c>
      <c r="C834" s="187" t="s">
        <v>1459</v>
      </c>
      <c r="D834" s="187" t="s">
        <v>1460</v>
      </c>
      <c r="E834" s="187" t="s">
        <v>1448</v>
      </c>
      <c r="F834" s="187" t="s">
        <v>1461</v>
      </c>
      <c r="G834" s="187" t="s">
        <v>1462</v>
      </c>
      <c r="H834" s="185" t="s">
        <v>189</v>
      </c>
      <c r="I834" s="186" t="s">
        <v>36</v>
      </c>
      <c r="J834" s="56"/>
      <c r="K834" s="35" t="s">
        <v>36</v>
      </c>
    </row>
    <row r="835">
      <c r="A835" s="183" t="s">
        <v>413</v>
      </c>
      <c r="B835" s="35" t="s">
        <v>2531</v>
      </c>
      <c r="C835" s="183" t="s">
        <v>1465</v>
      </c>
      <c r="D835" s="183" t="s">
        <v>1466</v>
      </c>
      <c r="E835" s="187" t="s">
        <v>1448</v>
      </c>
      <c r="F835" s="183" t="s">
        <v>1467</v>
      </c>
      <c r="G835" s="183" t="s">
        <v>1468</v>
      </c>
      <c r="H835" s="185" t="s">
        <v>189</v>
      </c>
      <c r="I835" s="186" t="s">
        <v>111</v>
      </c>
      <c r="J835" s="35" t="s">
        <v>1469</v>
      </c>
      <c r="K835" s="35" t="s">
        <v>111</v>
      </c>
    </row>
    <row r="836">
      <c r="A836" s="183" t="s">
        <v>413</v>
      </c>
      <c r="B836" s="35" t="s">
        <v>2532</v>
      </c>
      <c r="C836" s="183" t="s">
        <v>1471</v>
      </c>
      <c r="D836" s="183" t="s">
        <v>1472</v>
      </c>
      <c r="E836" s="187" t="s">
        <v>1448</v>
      </c>
      <c r="F836" s="183" t="s">
        <v>1473</v>
      </c>
      <c r="G836" s="183" t="s">
        <v>1474</v>
      </c>
      <c r="H836" s="185" t="s">
        <v>189</v>
      </c>
      <c r="I836" s="186" t="s">
        <v>111</v>
      </c>
      <c r="J836" s="35" t="s">
        <v>1475</v>
      </c>
      <c r="K836" s="35" t="s">
        <v>111</v>
      </c>
    </row>
    <row r="837">
      <c r="A837" s="183" t="s">
        <v>413</v>
      </c>
      <c r="B837" s="35" t="s">
        <v>2533</v>
      </c>
      <c r="C837" s="183" t="s">
        <v>1477</v>
      </c>
      <c r="D837" s="183" t="s">
        <v>1478</v>
      </c>
      <c r="E837" s="187" t="s">
        <v>1448</v>
      </c>
      <c r="F837" s="183" t="s">
        <v>1479</v>
      </c>
      <c r="G837" s="183" t="s">
        <v>1468</v>
      </c>
      <c r="H837" s="185" t="s">
        <v>189</v>
      </c>
      <c r="I837" s="186" t="s">
        <v>111</v>
      </c>
      <c r="J837" s="35" t="s">
        <v>1469</v>
      </c>
      <c r="K837" s="35" t="s">
        <v>111</v>
      </c>
    </row>
    <row r="838">
      <c r="A838" s="183" t="s">
        <v>413</v>
      </c>
      <c r="B838" s="35" t="s">
        <v>2534</v>
      </c>
      <c r="C838" s="183" t="s">
        <v>1481</v>
      </c>
      <c r="D838" s="183" t="s">
        <v>1472</v>
      </c>
      <c r="E838" s="187" t="s">
        <v>1448</v>
      </c>
      <c r="F838" s="183" t="s">
        <v>1482</v>
      </c>
      <c r="G838" s="183" t="s">
        <v>1474</v>
      </c>
      <c r="H838" s="185" t="s">
        <v>189</v>
      </c>
      <c r="I838" s="186" t="s">
        <v>111</v>
      </c>
      <c r="J838" s="183" t="s">
        <v>1475</v>
      </c>
      <c r="K838" s="35" t="s">
        <v>111</v>
      </c>
    </row>
    <row r="839">
      <c r="A839" s="183" t="s">
        <v>413</v>
      </c>
      <c r="B839" s="35" t="s">
        <v>2535</v>
      </c>
      <c r="C839" s="183" t="s">
        <v>1484</v>
      </c>
      <c r="D839" s="183" t="s">
        <v>1472</v>
      </c>
      <c r="E839" s="187" t="s">
        <v>1448</v>
      </c>
      <c r="F839" s="183" t="s">
        <v>1485</v>
      </c>
      <c r="G839" s="183" t="s">
        <v>1486</v>
      </c>
      <c r="H839" s="185" t="s">
        <v>189</v>
      </c>
      <c r="I839" s="186" t="s">
        <v>111</v>
      </c>
      <c r="J839" s="183" t="s">
        <v>1475</v>
      </c>
      <c r="K839" s="35" t="s">
        <v>111</v>
      </c>
    </row>
    <row r="840">
      <c r="A840" s="183" t="s">
        <v>413</v>
      </c>
      <c r="B840" s="35" t="s">
        <v>2536</v>
      </c>
      <c r="C840" s="187" t="s">
        <v>1488</v>
      </c>
      <c r="D840" s="187" t="s">
        <v>1489</v>
      </c>
      <c r="E840" s="187" t="s">
        <v>1490</v>
      </c>
      <c r="F840" s="187" t="s">
        <v>1491</v>
      </c>
      <c r="G840" s="187" t="s">
        <v>1492</v>
      </c>
      <c r="H840" s="185" t="s">
        <v>189</v>
      </c>
      <c r="I840" s="186" t="s">
        <v>36</v>
      </c>
      <c r="J840" s="56"/>
      <c r="K840" s="35" t="s">
        <v>36</v>
      </c>
    </row>
    <row r="841">
      <c r="A841" s="183" t="s">
        <v>413</v>
      </c>
      <c r="B841" s="35" t="s">
        <v>2537</v>
      </c>
      <c r="C841" s="187" t="s">
        <v>1494</v>
      </c>
      <c r="D841" s="183" t="s">
        <v>1495</v>
      </c>
      <c r="E841" s="187" t="s">
        <v>1496</v>
      </c>
      <c r="F841" s="187" t="s">
        <v>1497</v>
      </c>
      <c r="G841" s="187" t="s">
        <v>1498</v>
      </c>
      <c r="H841" s="185" t="s">
        <v>189</v>
      </c>
      <c r="I841" s="186" t="s">
        <v>111</v>
      </c>
      <c r="J841" s="35" t="s">
        <v>1499</v>
      </c>
      <c r="K841" s="35" t="s">
        <v>111</v>
      </c>
    </row>
    <row r="842">
      <c r="A842" s="183" t="s">
        <v>413</v>
      </c>
      <c r="B842" s="35" t="s">
        <v>2538</v>
      </c>
      <c r="C842" s="187" t="s">
        <v>1501</v>
      </c>
      <c r="D842" s="187" t="s">
        <v>1502</v>
      </c>
      <c r="E842" s="187" t="s">
        <v>1503</v>
      </c>
      <c r="F842" s="187" t="s">
        <v>1491</v>
      </c>
      <c r="G842" s="187" t="s">
        <v>1504</v>
      </c>
      <c r="H842" s="185" t="s">
        <v>189</v>
      </c>
      <c r="I842" s="186" t="s">
        <v>36</v>
      </c>
      <c r="J842" s="56"/>
      <c r="K842" s="35" t="s">
        <v>36</v>
      </c>
    </row>
    <row r="843">
      <c r="A843" s="183" t="s">
        <v>413</v>
      </c>
      <c r="B843" s="35" t="s">
        <v>2539</v>
      </c>
      <c r="C843" s="187" t="s">
        <v>1506</v>
      </c>
      <c r="D843" s="187" t="s">
        <v>1507</v>
      </c>
      <c r="E843" s="187" t="s">
        <v>1508</v>
      </c>
      <c r="F843" s="187" t="s">
        <v>1491</v>
      </c>
      <c r="G843" s="187" t="s">
        <v>1509</v>
      </c>
      <c r="H843" s="185" t="s">
        <v>189</v>
      </c>
      <c r="I843" s="186" t="s">
        <v>36</v>
      </c>
      <c r="J843" s="56"/>
      <c r="K843" s="35" t="s">
        <v>36</v>
      </c>
    </row>
    <row r="844">
      <c r="A844" s="183" t="s">
        <v>413</v>
      </c>
      <c r="B844" s="35" t="s">
        <v>2540</v>
      </c>
      <c r="C844" s="187" t="s">
        <v>1511</v>
      </c>
      <c r="D844" s="187" t="s">
        <v>1512</v>
      </c>
      <c r="E844" s="187" t="s">
        <v>1513</v>
      </c>
      <c r="F844" s="187" t="s">
        <v>1491</v>
      </c>
      <c r="G844" s="187" t="s">
        <v>1514</v>
      </c>
      <c r="H844" s="185" t="s">
        <v>189</v>
      </c>
      <c r="I844" s="186" t="s">
        <v>36</v>
      </c>
      <c r="J844" s="56"/>
      <c r="K844" s="35" t="s">
        <v>36</v>
      </c>
    </row>
    <row r="845">
      <c r="A845" s="183" t="s">
        <v>413</v>
      </c>
      <c r="B845" s="35" t="s">
        <v>2541</v>
      </c>
      <c r="C845" s="187" t="s">
        <v>1516</v>
      </c>
      <c r="D845" s="187" t="s">
        <v>1517</v>
      </c>
      <c r="E845" s="187" t="s">
        <v>1518</v>
      </c>
      <c r="F845" s="187" t="s">
        <v>1519</v>
      </c>
      <c r="G845" s="187" t="s">
        <v>1520</v>
      </c>
      <c r="H845" s="185" t="s">
        <v>189</v>
      </c>
      <c r="I845" s="186" t="s">
        <v>111</v>
      </c>
      <c r="J845" s="35" t="s">
        <v>1521</v>
      </c>
      <c r="K845" s="35" t="s">
        <v>111</v>
      </c>
    </row>
    <row r="846">
      <c r="A846" s="183" t="s">
        <v>413</v>
      </c>
      <c r="B846" s="35" t="s">
        <v>2542</v>
      </c>
      <c r="C846" s="187" t="s">
        <v>1523</v>
      </c>
      <c r="D846" s="187" t="s">
        <v>1524</v>
      </c>
      <c r="E846" s="187" t="s">
        <v>1525</v>
      </c>
      <c r="F846" s="187" t="s">
        <v>1526</v>
      </c>
      <c r="G846" s="187" t="s">
        <v>1527</v>
      </c>
      <c r="H846" s="185" t="s">
        <v>189</v>
      </c>
      <c r="I846" s="186" t="s">
        <v>111</v>
      </c>
      <c r="J846" s="35" t="s">
        <v>1521</v>
      </c>
      <c r="K846" s="35" t="s">
        <v>111</v>
      </c>
    </row>
    <row r="847">
      <c r="A847" s="183" t="s">
        <v>413</v>
      </c>
      <c r="B847" s="35" t="s">
        <v>2543</v>
      </c>
      <c r="C847" s="187" t="s">
        <v>1529</v>
      </c>
      <c r="D847" s="187" t="s">
        <v>1530</v>
      </c>
      <c r="E847" s="187" t="s">
        <v>1531</v>
      </c>
      <c r="F847" s="187" t="s">
        <v>1532</v>
      </c>
      <c r="G847" s="187" t="s">
        <v>1533</v>
      </c>
      <c r="H847" s="185" t="s">
        <v>189</v>
      </c>
      <c r="I847" s="186" t="s">
        <v>111</v>
      </c>
      <c r="J847" s="35" t="s">
        <v>1521</v>
      </c>
      <c r="K847" s="35" t="s">
        <v>111</v>
      </c>
    </row>
    <row r="848">
      <c r="A848" s="183" t="s">
        <v>413</v>
      </c>
      <c r="B848" s="35" t="s">
        <v>2544</v>
      </c>
      <c r="C848" s="187" t="s">
        <v>1535</v>
      </c>
      <c r="D848" s="187" t="s">
        <v>1536</v>
      </c>
      <c r="E848" s="187" t="s">
        <v>1537</v>
      </c>
      <c r="F848" s="187" t="s">
        <v>1538</v>
      </c>
      <c r="G848" s="187" t="s">
        <v>1539</v>
      </c>
      <c r="H848" s="185" t="s">
        <v>189</v>
      </c>
      <c r="I848" s="186" t="s">
        <v>111</v>
      </c>
      <c r="J848" s="35" t="s">
        <v>1521</v>
      </c>
      <c r="K848" s="35" t="s">
        <v>111</v>
      </c>
    </row>
    <row r="849">
      <c r="A849" s="183" t="s">
        <v>413</v>
      </c>
      <c r="B849" s="35" t="s">
        <v>2545</v>
      </c>
      <c r="C849" s="187" t="s">
        <v>1541</v>
      </c>
      <c r="D849" s="187" t="s">
        <v>1542</v>
      </c>
      <c r="E849" s="187" t="s">
        <v>1543</v>
      </c>
      <c r="F849" s="187" t="s">
        <v>1544</v>
      </c>
      <c r="G849" s="187" t="s">
        <v>1545</v>
      </c>
      <c r="H849" s="185" t="s">
        <v>189</v>
      </c>
      <c r="I849" s="186" t="s">
        <v>36</v>
      </c>
      <c r="J849" s="56"/>
      <c r="K849" s="35" t="s">
        <v>36</v>
      </c>
    </row>
    <row r="850">
      <c r="A850" s="183" t="s">
        <v>413</v>
      </c>
      <c r="B850" s="35" t="s">
        <v>2546</v>
      </c>
      <c r="C850" s="187" t="s">
        <v>1547</v>
      </c>
      <c r="D850" s="187" t="s">
        <v>1548</v>
      </c>
      <c r="E850" s="187" t="s">
        <v>1448</v>
      </c>
      <c r="F850" s="187" t="s">
        <v>1549</v>
      </c>
      <c r="G850" s="187" t="s">
        <v>1550</v>
      </c>
      <c r="H850" s="185" t="s">
        <v>189</v>
      </c>
      <c r="I850" s="186" t="s">
        <v>36</v>
      </c>
      <c r="J850" s="56"/>
      <c r="K850" s="35" t="s">
        <v>36</v>
      </c>
    </row>
    <row r="851">
      <c r="A851" s="183" t="s">
        <v>413</v>
      </c>
      <c r="B851" s="35" t="s">
        <v>2547</v>
      </c>
      <c r="C851" s="187" t="s">
        <v>1552</v>
      </c>
      <c r="D851" s="187" t="s">
        <v>1553</v>
      </c>
      <c r="E851" s="187" t="s">
        <v>1448</v>
      </c>
      <c r="F851" s="187" t="s">
        <v>1554</v>
      </c>
      <c r="G851" s="187" t="s">
        <v>1555</v>
      </c>
      <c r="H851" s="185" t="s">
        <v>189</v>
      </c>
      <c r="I851" s="186" t="s">
        <v>111</v>
      </c>
      <c r="J851" s="35" t="s">
        <v>1556</v>
      </c>
      <c r="K851" s="35" t="s">
        <v>111</v>
      </c>
    </row>
    <row r="852">
      <c r="A852" s="183" t="s">
        <v>413</v>
      </c>
      <c r="B852" s="35" t="s">
        <v>2548</v>
      </c>
      <c r="C852" s="187" t="s">
        <v>1558</v>
      </c>
      <c r="D852" s="187" t="s">
        <v>1559</v>
      </c>
      <c r="E852" s="187" t="s">
        <v>1448</v>
      </c>
      <c r="F852" s="187" t="s">
        <v>1560</v>
      </c>
      <c r="G852" s="187" t="s">
        <v>1561</v>
      </c>
      <c r="H852" s="185" t="s">
        <v>189</v>
      </c>
      <c r="I852" s="186" t="s">
        <v>36</v>
      </c>
      <c r="J852" s="35"/>
      <c r="K852" s="35" t="s">
        <v>36</v>
      </c>
    </row>
    <row r="853">
      <c r="A853" s="183" t="s">
        <v>413</v>
      </c>
      <c r="B853" s="35" t="s">
        <v>2549</v>
      </c>
      <c r="C853" s="187" t="s">
        <v>1563</v>
      </c>
      <c r="D853" s="187" t="s">
        <v>1564</v>
      </c>
      <c r="E853" s="187" t="s">
        <v>1448</v>
      </c>
      <c r="F853" s="187" t="s">
        <v>1565</v>
      </c>
      <c r="G853" s="187" t="s">
        <v>1566</v>
      </c>
      <c r="H853" s="185" t="s">
        <v>189</v>
      </c>
      <c r="I853" s="186" t="s">
        <v>36</v>
      </c>
      <c r="J853" s="35"/>
      <c r="K853" s="35" t="s">
        <v>36</v>
      </c>
    </row>
    <row r="854">
      <c r="A854" s="183" t="s">
        <v>413</v>
      </c>
      <c r="B854" s="35" t="s">
        <v>2550</v>
      </c>
      <c r="C854" s="187" t="s">
        <v>1568</v>
      </c>
      <c r="D854" s="187" t="s">
        <v>1569</v>
      </c>
      <c r="E854" s="187" t="s">
        <v>1448</v>
      </c>
      <c r="F854" s="187" t="s">
        <v>1570</v>
      </c>
      <c r="G854" s="187" t="s">
        <v>1571</v>
      </c>
      <c r="H854" s="185" t="s">
        <v>189</v>
      </c>
      <c r="I854" s="186" t="s">
        <v>36</v>
      </c>
      <c r="J854" s="56"/>
      <c r="K854" s="35" t="s">
        <v>36</v>
      </c>
    </row>
    <row r="855">
      <c r="A855" s="183" t="s">
        <v>413</v>
      </c>
      <c r="B855" s="35" t="s">
        <v>2551</v>
      </c>
      <c r="C855" s="187" t="s">
        <v>1573</v>
      </c>
      <c r="D855" s="187" t="s">
        <v>1574</v>
      </c>
      <c r="E855" s="187" t="s">
        <v>1448</v>
      </c>
      <c r="F855" s="187" t="s">
        <v>1575</v>
      </c>
      <c r="G855" s="187" t="s">
        <v>1576</v>
      </c>
      <c r="H855" s="185" t="s">
        <v>189</v>
      </c>
      <c r="I855" s="186" t="s">
        <v>111</v>
      </c>
      <c r="J855" s="35" t="s">
        <v>1577</v>
      </c>
      <c r="K855" s="35" t="s">
        <v>111</v>
      </c>
    </row>
    <row r="856">
      <c r="A856" s="183" t="s">
        <v>413</v>
      </c>
      <c r="B856" s="35" t="s">
        <v>2552</v>
      </c>
      <c r="C856" s="187" t="s">
        <v>1579</v>
      </c>
      <c r="D856" s="187" t="s">
        <v>1580</v>
      </c>
      <c r="E856" s="187" t="s">
        <v>1448</v>
      </c>
      <c r="F856" s="187" t="s">
        <v>1581</v>
      </c>
      <c r="G856" s="187" t="s">
        <v>1582</v>
      </c>
      <c r="H856" s="185" t="s">
        <v>189</v>
      </c>
      <c r="I856" s="186" t="s">
        <v>36</v>
      </c>
      <c r="J856" s="56"/>
      <c r="K856" s="35" t="s">
        <v>36</v>
      </c>
    </row>
    <row r="857">
      <c r="A857" s="183" t="s">
        <v>413</v>
      </c>
      <c r="B857" s="35" t="s">
        <v>2553</v>
      </c>
      <c r="C857" s="187" t="s">
        <v>1584</v>
      </c>
      <c r="D857" s="187" t="s">
        <v>1585</v>
      </c>
      <c r="E857" s="187" t="s">
        <v>1586</v>
      </c>
      <c r="F857" s="187" t="s">
        <v>1587</v>
      </c>
      <c r="G857" s="187" t="s">
        <v>1588</v>
      </c>
      <c r="H857" s="185" t="s">
        <v>189</v>
      </c>
      <c r="I857" s="186" t="s">
        <v>36</v>
      </c>
      <c r="J857" s="56"/>
      <c r="K857" s="35" t="s">
        <v>36</v>
      </c>
    </row>
    <row r="858">
      <c r="A858" s="183" t="s">
        <v>413</v>
      </c>
      <c r="B858" s="35" t="s">
        <v>2554</v>
      </c>
      <c r="C858" s="187" t="s">
        <v>1590</v>
      </c>
      <c r="D858" s="187" t="s">
        <v>1591</v>
      </c>
      <c r="E858" s="187" t="s">
        <v>1592</v>
      </c>
      <c r="F858" s="187" t="s">
        <v>1593</v>
      </c>
      <c r="G858" s="187" t="s">
        <v>1594</v>
      </c>
      <c r="H858" s="185" t="s">
        <v>189</v>
      </c>
      <c r="I858" s="186" t="s">
        <v>111</v>
      </c>
      <c r="J858" s="35" t="s">
        <v>1595</v>
      </c>
      <c r="K858" s="35" t="s">
        <v>111</v>
      </c>
    </row>
    <row r="859">
      <c r="A859" s="183" t="s">
        <v>413</v>
      </c>
      <c r="B859" s="35" t="s">
        <v>2555</v>
      </c>
      <c r="C859" s="187" t="s">
        <v>1597</v>
      </c>
      <c r="D859" s="187" t="s">
        <v>1598</v>
      </c>
      <c r="E859" s="187" t="s">
        <v>1599</v>
      </c>
      <c r="F859" s="187" t="s">
        <v>1600</v>
      </c>
      <c r="G859" s="187" t="s">
        <v>1601</v>
      </c>
      <c r="H859" s="185" t="s">
        <v>189</v>
      </c>
      <c r="I859" s="186" t="s">
        <v>111</v>
      </c>
      <c r="J859" s="35" t="s">
        <v>1944</v>
      </c>
      <c r="K859" s="35" t="s">
        <v>111</v>
      </c>
    </row>
    <row r="860">
      <c r="A860" s="183" t="s">
        <v>413</v>
      </c>
      <c r="B860" s="35" t="s">
        <v>2556</v>
      </c>
      <c r="C860" s="187" t="s">
        <v>1603</v>
      </c>
      <c r="D860" s="187" t="s">
        <v>1604</v>
      </c>
      <c r="E860" s="187" t="s">
        <v>1605</v>
      </c>
      <c r="F860" s="187" t="s">
        <v>1606</v>
      </c>
      <c r="G860" s="187" t="s">
        <v>1607</v>
      </c>
      <c r="H860" s="185" t="s">
        <v>189</v>
      </c>
      <c r="I860" s="186" t="s">
        <v>36</v>
      </c>
      <c r="J860" s="35"/>
      <c r="K860" s="35" t="s">
        <v>36</v>
      </c>
    </row>
    <row r="861">
      <c r="A861" s="183" t="s">
        <v>413</v>
      </c>
      <c r="B861" s="35" t="s">
        <v>2557</v>
      </c>
      <c r="C861" s="187" t="s">
        <v>1609</v>
      </c>
      <c r="D861" s="187" t="s">
        <v>1610</v>
      </c>
      <c r="E861" s="187" t="s">
        <v>1611</v>
      </c>
      <c r="F861" s="187" t="s">
        <v>1612</v>
      </c>
      <c r="G861" s="187" t="s">
        <v>1613</v>
      </c>
      <c r="H861" s="185" t="s">
        <v>189</v>
      </c>
      <c r="I861" s="186" t="s">
        <v>36</v>
      </c>
      <c r="J861" s="56"/>
      <c r="K861" s="35" t="s">
        <v>36</v>
      </c>
    </row>
    <row r="862">
      <c r="A862" s="183" t="s">
        <v>413</v>
      </c>
      <c r="B862" s="35" t="s">
        <v>2558</v>
      </c>
      <c r="C862" s="187" t="s">
        <v>1615</v>
      </c>
      <c r="D862" s="187" t="s">
        <v>1616</v>
      </c>
      <c r="E862" s="187" t="s">
        <v>1611</v>
      </c>
      <c r="F862" s="187" t="s">
        <v>1617</v>
      </c>
      <c r="G862" s="187" t="s">
        <v>1618</v>
      </c>
      <c r="H862" s="185" t="s">
        <v>189</v>
      </c>
      <c r="I862" s="186" t="s">
        <v>36</v>
      </c>
      <c r="J862" s="56"/>
      <c r="K862" s="35" t="s">
        <v>36</v>
      </c>
    </row>
    <row r="863">
      <c r="A863" s="183" t="s">
        <v>413</v>
      </c>
      <c r="B863" s="35" t="s">
        <v>2559</v>
      </c>
      <c r="C863" s="187" t="s">
        <v>1620</v>
      </c>
      <c r="D863" s="187" t="s">
        <v>1621</v>
      </c>
      <c r="E863" s="187" t="s">
        <v>1622</v>
      </c>
      <c r="F863" s="187" t="s">
        <v>1623</v>
      </c>
      <c r="G863" s="187" t="s">
        <v>1624</v>
      </c>
      <c r="H863" s="185" t="s">
        <v>189</v>
      </c>
      <c r="I863" s="186" t="s">
        <v>36</v>
      </c>
      <c r="J863" s="56"/>
      <c r="K863" s="35" t="s">
        <v>36</v>
      </c>
    </row>
    <row r="864">
      <c r="A864" s="183" t="s">
        <v>413</v>
      </c>
      <c r="B864" s="35" t="s">
        <v>2560</v>
      </c>
      <c r="C864" s="187" t="s">
        <v>1626</v>
      </c>
      <c r="D864" s="187" t="s">
        <v>1627</v>
      </c>
      <c r="E864" s="187" t="s">
        <v>1622</v>
      </c>
      <c r="F864" s="187" t="s">
        <v>1549</v>
      </c>
      <c r="G864" s="187" t="s">
        <v>1628</v>
      </c>
      <c r="H864" s="185" t="s">
        <v>189</v>
      </c>
      <c r="I864" s="186" t="s">
        <v>36</v>
      </c>
      <c r="J864" s="56"/>
      <c r="K864" s="35" t="s">
        <v>36</v>
      </c>
    </row>
    <row r="865">
      <c r="A865" s="183" t="s">
        <v>413</v>
      </c>
      <c r="B865" s="35" t="s">
        <v>2561</v>
      </c>
      <c r="C865" s="187" t="s">
        <v>1630</v>
      </c>
      <c r="D865" s="187" t="s">
        <v>1631</v>
      </c>
      <c r="E865" s="187" t="s">
        <v>1632</v>
      </c>
      <c r="F865" s="187" t="s">
        <v>1633</v>
      </c>
      <c r="G865" s="187" t="s">
        <v>1634</v>
      </c>
      <c r="H865" s="185" t="s">
        <v>189</v>
      </c>
      <c r="I865" s="186" t="s">
        <v>36</v>
      </c>
      <c r="J865" s="56"/>
      <c r="K865" s="35" t="s">
        <v>36</v>
      </c>
    </row>
    <row r="866">
      <c r="A866" s="183" t="s">
        <v>413</v>
      </c>
      <c r="B866" s="35" t="s">
        <v>2562</v>
      </c>
      <c r="C866" s="187" t="s">
        <v>1636</v>
      </c>
      <c r="D866" s="187" t="s">
        <v>1637</v>
      </c>
      <c r="E866" s="187" t="s">
        <v>1638</v>
      </c>
      <c r="F866" s="187" t="s">
        <v>1639</v>
      </c>
      <c r="G866" s="187" t="s">
        <v>1588</v>
      </c>
      <c r="H866" s="185" t="s">
        <v>189</v>
      </c>
      <c r="I866" s="186" t="s">
        <v>36</v>
      </c>
      <c r="J866" s="56"/>
      <c r="K866" s="35" t="s">
        <v>36</v>
      </c>
    </row>
    <row r="867">
      <c r="A867" s="183" t="s">
        <v>413</v>
      </c>
      <c r="B867" s="35" t="s">
        <v>2563</v>
      </c>
      <c r="C867" s="187" t="s">
        <v>1641</v>
      </c>
      <c r="D867" s="187" t="s">
        <v>1642</v>
      </c>
      <c r="E867" s="187" t="s">
        <v>1638</v>
      </c>
      <c r="F867" s="187" t="s">
        <v>1643</v>
      </c>
      <c r="G867" s="187" t="s">
        <v>1594</v>
      </c>
      <c r="H867" s="185" t="s">
        <v>189</v>
      </c>
      <c r="I867" s="186" t="s">
        <v>111</v>
      </c>
      <c r="J867" s="35" t="s">
        <v>1595</v>
      </c>
      <c r="K867" s="35" t="s">
        <v>111</v>
      </c>
    </row>
    <row r="868">
      <c r="A868" s="183" t="s">
        <v>413</v>
      </c>
      <c r="B868" s="35" t="s">
        <v>2564</v>
      </c>
      <c r="C868" s="187" t="s">
        <v>1645</v>
      </c>
      <c r="D868" s="187" t="s">
        <v>1646</v>
      </c>
      <c r="E868" s="187" t="s">
        <v>1638</v>
      </c>
      <c r="F868" s="187" t="s">
        <v>1647</v>
      </c>
      <c r="G868" s="187" t="s">
        <v>1601</v>
      </c>
      <c r="H868" s="185" t="s">
        <v>189</v>
      </c>
      <c r="I868" s="186" t="s">
        <v>111</v>
      </c>
      <c r="J868" s="35" t="s">
        <v>1944</v>
      </c>
      <c r="K868" s="35" t="s">
        <v>111</v>
      </c>
    </row>
    <row r="869">
      <c r="A869" s="183" t="s">
        <v>413</v>
      </c>
      <c r="B869" s="35" t="s">
        <v>2565</v>
      </c>
      <c r="C869" s="187" t="s">
        <v>1649</v>
      </c>
      <c r="D869" s="187" t="s">
        <v>1650</v>
      </c>
      <c r="E869" s="187" t="s">
        <v>1638</v>
      </c>
      <c r="F869" s="187" t="s">
        <v>1554</v>
      </c>
      <c r="G869" s="187" t="s">
        <v>1651</v>
      </c>
      <c r="H869" s="185" t="s">
        <v>189</v>
      </c>
      <c r="I869" s="186" t="s">
        <v>111</v>
      </c>
      <c r="J869" s="56"/>
      <c r="K869" s="35" t="s">
        <v>111</v>
      </c>
    </row>
    <row r="870">
      <c r="A870" s="183" t="s">
        <v>413</v>
      </c>
      <c r="B870" s="35" t="s">
        <v>2566</v>
      </c>
      <c r="C870" s="187" t="s">
        <v>1653</v>
      </c>
      <c r="D870" s="187" t="s">
        <v>1654</v>
      </c>
      <c r="E870" s="187" t="s">
        <v>1638</v>
      </c>
      <c r="F870" s="187" t="s">
        <v>1560</v>
      </c>
      <c r="G870" s="187" t="s">
        <v>1561</v>
      </c>
      <c r="H870" s="185" t="s">
        <v>189</v>
      </c>
      <c r="I870" s="186" t="s">
        <v>36</v>
      </c>
      <c r="J870" s="56"/>
      <c r="K870" s="35" t="s">
        <v>36</v>
      </c>
    </row>
    <row r="871">
      <c r="A871" s="183" t="s">
        <v>413</v>
      </c>
      <c r="B871" s="35" t="s">
        <v>2567</v>
      </c>
      <c r="C871" s="187" t="s">
        <v>1656</v>
      </c>
      <c r="D871" s="187" t="s">
        <v>1564</v>
      </c>
      <c r="E871" s="187" t="s">
        <v>1638</v>
      </c>
      <c r="F871" s="187" t="s">
        <v>1657</v>
      </c>
      <c r="G871" s="187" t="s">
        <v>1566</v>
      </c>
      <c r="H871" s="185" t="s">
        <v>189</v>
      </c>
      <c r="I871" s="186" t="s">
        <v>36</v>
      </c>
      <c r="J871" s="56"/>
      <c r="K871" s="35" t="s">
        <v>36</v>
      </c>
    </row>
    <row r="872">
      <c r="A872" s="183" t="s">
        <v>413</v>
      </c>
      <c r="B872" s="35" t="s">
        <v>2568</v>
      </c>
      <c r="C872" s="187" t="s">
        <v>1659</v>
      </c>
      <c r="D872" s="187" t="s">
        <v>1569</v>
      </c>
      <c r="E872" s="187" t="s">
        <v>1638</v>
      </c>
      <c r="F872" s="187" t="s">
        <v>1570</v>
      </c>
      <c r="G872" s="187" t="s">
        <v>1571</v>
      </c>
      <c r="H872" s="185" t="s">
        <v>189</v>
      </c>
      <c r="I872" s="186" t="s">
        <v>36</v>
      </c>
      <c r="J872" s="56"/>
      <c r="K872" s="35" t="s">
        <v>36</v>
      </c>
    </row>
    <row r="873">
      <c r="A873" s="183" t="s">
        <v>413</v>
      </c>
      <c r="B873" s="35" t="s">
        <v>2569</v>
      </c>
      <c r="C873" s="187" t="s">
        <v>1661</v>
      </c>
      <c r="D873" s="187" t="s">
        <v>1574</v>
      </c>
      <c r="E873" s="187" t="s">
        <v>1638</v>
      </c>
      <c r="F873" s="187" t="s">
        <v>1575</v>
      </c>
      <c r="G873" s="187" t="s">
        <v>1576</v>
      </c>
      <c r="H873" s="185" t="s">
        <v>189</v>
      </c>
      <c r="I873" s="186" t="s">
        <v>111</v>
      </c>
      <c r="J873" s="35" t="s">
        <v>1577</v>
      </c>
      <c r="K873" s="35" t="s">
        <v>111</v>
      </c>
    </row>
    <row r="874">
      <c r="A874" s="183" t="s">
        <v>413</v>
      </c>
      <c r="B874" s="35" t="s">
        <v>2570</v>
      </c>
      <c r="C874" s="187" t="s">
        <v>1663</v>
      </c>
      <c r="D874" s="187" t="s">
        <v>1580</v>
      </c>
      <c r="E874" s="187" t="s">
        <v>1638</v>
      </c>
      <c r="F874" s="187" t="s">
        <v>1581</v>
      </c>
      <c r="G874" s="187" t="s">
        <v>1582</v>
      </c>
      <c r="H874" s="185" t="s">
        <v>189</v>
      </c>
      <c r="I874" s="186" t="s">
        <v>111</v>
      </c>
      <c r="J874" s="35" t="s">
        <v>1664</v>
      </c>
      <c r="K874" s="35" t="s">
        <v>111</v>
      </c>
    </row>
    <row r="875">
      <c r="A875" s="183" t="s">
        <v>413</v>
      </c>
      <c r="B875" s="35" t="s">
        <v>2571</v>
      </c>
      <c r="C875" s="187" t="s">
        <v>1666</v>
      </c>
      <c r="D875" s="187" t="s">
        <v>1667</v>
      </c>
      <c r="E875" s="187" t="s">
        <v>1668</v>
      </c>
      <c r="F875" s="187" t="s">
        <v>1669</v>
      </c>
      <c r="G875" s="187" t="s">
        <v>1670</v>
      </c>
      <c r="H875" s="185" t="s">
        <v>189</v>
      </c>
      <c r="I875" s="186" t="s">
        <v>36</v>
      </c>
      <c r="J875" s="56"/>
      <c r="K875" s="35" t="s">
        <v>36</v>
      </c>
    </row>
    <row r="876">
      <c r="A876" s="183" t="s">
        <v>413</v>
      </c>
      <c r="B876" s="35" t="s">
        <v>2572</v>
      </c>
      <c r="C876" s="187" t="s">
        <v>1672</v>
      </c>
      <c r="D876" s="187" t="s">
        <v>1673</v>
      </c>
      <c r="E876" s="187" t="s">
        <v>1674</v>
      </c>
      <c r="F876" s="187" t="s">
        <v>1675</v>
      </c>
      <c r="G876" s="187" t="s">
        <v>1962</v>
      </c>
      <c r="H876" s="185" t="s">
        <v>189</v>
      </c>
      <c r="I876" s="186" t="s">
        <v>36</v>
      </c>
      <c r="J876" s="56"/>
      <c r="K876" s="35" t="s">
        <v>36</v>
      </c>
    </row>
    <row r="877">
      <c r="A877" s="183" t="s">
        <v>413</v>
      </c>
      <c r="B877" s="35" t="s">
        <v>2573</v>
      </c>
      <c r="C877" s="187" t="s">
        <v>1678</v>
      </c>
      <c r="D877" s="187" t="s">
        <v>1679</v>
      </c>
      <c r="E877" s="187" t="s">
        <v>1680</v>
      </c>
      <c r="F877" s="187" t="s">
        <v>1681</v>
      </c>
      <c r="G877" s="187" t="s">
        <v>1682</v>
      </c>
      <c r="H877" s="185" t="s">
        <v>189</v>
      </c>
      <c r="I877" s="186" t="s">
        <v>36</v>
      </c>
      <c r="J877" s="56"/>
      <c r="K877" s="35" t="s">
        <v>36</v>
      </c>
    </row>
    <row r="878">
      <c r="A878" s="183" t="s">
        <v>413</v>
      </c>
      <c r="B878" s="35" t="s">
        <v>2574</v>
      </c>
      <c r="C878" s="187" t="s">
        <v>1684</v>
      </c>
      <c r="D878" s="187" t="s">
        <v>1679</v>
      </c>
      <c r="E878" s="187" t="s">
        <v>1680</v>
      </c>
      <c r="F878" s="187" t="s">
        <v>1681</v>
      </c>
      <c r="G878" s="187" t="s">
        <v>1682</v>
      </c>
      <c r="H878" s="185" t="s">
        <v>189</v>
      </c>
      <c r="I878" s="186" t="s">
        <v>36</v>
      </c>
      <c r="J878" s="56"/>
      <c r="K878" s="35" t="s">
        <v>36</v>
      </c>
    </row>
    <row r="879">
      <c r="A879" s="183" t="s">
        <v>413</v>
      </c>
      <c r="B879" s="35" t="s">
        <v>2575</v>
      </c>
      <c r="C879" s="187" t="s">
        <v>1686</v>
      </c>
      <c r="D879" s="187" t="s">
        <v>1687</v>
      </c>
      <c r="E879" s="187" t="s">
        <v>1688</v>
      </c>
      <c r="F879" s="187" t="s">
        <v>1689</v>
      </c>
      <c r="G879" s="187" t="s">
        <v>1690</v>
      </c>
      <c r="H879" s="185" t="s">
        <v>189</v>
      </c>
      <c r="I879" s="186" t="s">
        <v>36</v>
      </c>
      <c r="J879" s="56"/>
      <c r="K879" s="35" t="s">
        <v>36</v>
      </c>
    </row>
    <row r="880">
      <c r="A880" s="183" t="s">
        <v>413</v>
      </c>
      <c r="B880" s="35" t="s">
        <v>2576</v>
      </c>
      <c r="C880" s="187" t="s">
        <v>1692</v>
      </c>
      <c r="D880" s="187" t="s">
        <v>1693</v>
      </c>
      <c r="E880" s="187" t="s">
        <v>1694</v>
      </c>
      <c r="F880" s="187" t="s">
        <v>1554</v>
      </c>
      <c r="G880" s="187" t="s">
        <v>1555</v>
      </c>
      <c r="H880" s="185" t="s">
        <v>189</v>
      </c>
      <c r="I880" s="186" t="s">
        <v>111</v>
      </c>
      <c r="J880" s="35" t="s">
        <v>1556</v>
      </c>
      <c r="K880" s="35" t="s">
        <v>111</v>
      </c>
    </row>
    <row r="881">
      <c r="A881" s="183" t="s">
        <v>413</v>
      </c>
      <c r="B881" s="35" t="s">
        <v>2577</v>
      </c>
      <c r="C881" s="187" t="s">
        <v>1696</v>
      </c>
      <c r="D881" s="187" t="s">
        <v>1564</v>
      </c>
      <c r="E881" s="187" t="s">
        <v>1697</v>
      </c>
      <c r="F881" s="187" t="s">
        <v>1657</v>
      </c>
      <c r="G881" s="187" t="s">
        <v>1566</v>
      </c>
      <c r="H881" s="185" t="s">
        <v>189</v>
      </c>
      <c r="I881" s="186" t="s">
        <v>36</v>
      </c>
      <c r="J881" s="56"/>
      <c r="K881" s="35" t="s">
        <v>36</v>
      </c>
    </row>
    <row r="882">
      <c r="A882" s="183" t="s">
        <v>413</v>
      </c>
      <c r="B882" s="35" t="s">
        <v>2578</v>
      </c>
      <c r="C882" s="187" t="s">
        <v>1699</v>
      </c>
      <c r="D882" s="187" t="s">
        <v>1700</v>
      </c>
      <c r="E882" s="187" t="s">
        <v>1701</v>
      </c>
      <c r="F882" s="187" t="s">
        <v>1560</v>
      </c>
      <c r="G882" s="187" t="s">
        <v>1561</v>
      </c>
      <c r="H882" s="185" t="s">
        <v>189</v>
      </c>
      <c r="I882" s="186" t="s">
        <v>36</v>
      </c>
      <c r="J882" s="35"/>
      <c r="K882" s="35" t="s">
        <v>36</v>
      </c>
    </row>
    <row r="883">
      <c r="A883" s="183" t="s">
        <v>413</v>
      </c>
      <c r="B883" s="35" t="s">
        <v>2579</v>
      </c>
      <c r="C883" s="187" t="s">
        <v>1703</v>
      </c>
      <c r="D883" s="187" t="s">
        <v>1569</v>
      </c>
      <c r="E883" s="187" t="s">
        <v>1622</v>
      </c>
      <c r="F883" s="187" t="s">
        <v>1570</v>
      </c>
      <c r="G883" s="187" t="s">
        <v>1571</v>
      </c>
      <c r="H883" s="185" t="s">
        <v>189</v>
      </c>
      <c r="I883" s="186" t="s">
        <v>36</v>
      </c>
      <c r="J883" s="56"/>
      <c r="K883" s="35" t="s">
        <v>36</v>
      </c>
    </row>
    <row r="884">
      <c r="A884" s="183" t="s">
        <v>413</v>
      </c>
      <c r="B884" s="35" t="s">
        <v>2580</v>
      </c>
      <c r="C884" s="187" t="s">
        <v>1705</v>
      </c>
      <c r="D884" s="187" t="s">
        <v>1574</v>
      </c>
      <c r="E884" s="187" t="s">
        <v>1622</v>
      </c>
      <c r="F884" s="187" t="s">
        <v>1575</v>
      </c>
      <c r="G884" s="187" t="s">
        <v>1576</v>
      </c>
      <c r="H884" s="185" t="s">
        <v>189</v>
      </c>
      <c r="I884" s="186" t="s">
        <v>111</v>
      </c>
      <c r="J884" s="35" t="s">
        <v>1577</v>
      </c>
      <c r="K884" s="35" t="s">
        <v>111</v>
      </c>
    </row>
    <row r="885">
      <c r="A885" s="183" t="s">
        <v>413</v>
      </c>
      <c r="B885" s="35" t="s">
        <v>2581</v>
      </c>
      <c r="C885" s="187" t="s">
        <v>1707</v>
      </c>
      <c r="D885" s="187" t="s">
        <v>1580</v>
      </c>
      <c r="E885" s="187" t="s">
        <v>1622</v>
      </c>
      <c r="F885" s="187" t="s">
        <v>1581</v>
      </c>
      <c r="G885" s="187" t="s">
        <v>1582</v>
      </c>
      <c r="H885" s="185" t="s">
        <v>189</v>
      </c>
      <c r="I885" s="186" t="s">
        <v>36</v>
      </c>
      <c r="J885" s="56"/>
      <c r="K885" s="35" t="s">
        <v>36</v>
      </c>
    </row>
    <row r="886">
      <c r="A886" s="183" t="s">
        <v>413</v>
      </c>
      <c r="B886" s="35" t="s">
        <v>2582</v>
      </c>
      <c r="C886" s="187" t="s">
        <v>1709</v>
      </c>
      <c r="D886" s="187" t="s">
        <v>1710</v>
      </c>
      <c r="E886" s="187" t="s">
        <v>1622</v>
      </c>
      <c r="F886" s="187" t="s">
        <v>1711</v>
      </c>
      <c r="G886" s="187" t="s">
        <v>1712</v>
      </c>
      <c r="H886" s="185" t="s">
        <v>189</v>
      </c>
      <c r="I886" s="186" t="s">
        <v>36</v>
      </c>
      <c r="J886" s="56"/>
      <c r="K886" s="35" t="s">
        <v>36</v>
      </c>
    </row>
    <row r="887">
      <c r="A887" s="183" t="s">
        <v>413</v>
      </c>
      <c r="B887" s="35" t="s">
        <v>2583</v>
      </c>
      <c r="C887" s="187" t="s">
        <v>1714</v>
      </c>
      <c r="D887" s="187" t="s">
        <v>1715</v>
      </c>
      <c r="E887" s="187" t="s">
        <v>1716</v>
      </c>
      <c r="F887" s="187" t="s">
        <v>1717</v>
      </c>
      <c r="G887" s="187" t="s">
        <v>1718</v>
      </c>
      <c r="H887" s="185" t="s">
        <v>189</v>
      </c>
      <c r="I887" s="186" t="s">
        <v>36</v>
      </c>
      <c r="J887" s="56"/>
      <c r="K887" s="35" t="s">
        <v>36</v>
      </c>
    </row>
    <row r="888">
      <c r="A888" s="183" t="s">
        <v>413</v>
      </c>
      <c r="B888" s="35" t="s">
        <v>2584</v>
      </c>
      <c r="C888" s="187" t="s">
        <v>1720</v>
      </c>
      <c r="D888" s="187" t="s">
        <v>1721</v>
      </c>
      <c r="E888" s="187" t="s">
        <v>1722</v>
      </c>
      <c r="F888" s="187" t="s">
        <v>1723</v>
      </c>
      <c r="G888" s="187" t="s">
        <v>1628</v>
      </c>
      <c r="H888" s="185" t="s">
        <v>189</v>
      </c>
      <c r="I888" s="186" t="s">
        <v>36</v>
      </c>
      <c r="J888" s="56"/>
      <c r="K888" s="35" t="s">
        <v>36</v>
      </c>
    </row>
    <row r="889">
      <c r="A889" s="35" t="s">
        <v>413</v>
      </c>
      <c r="B889" s="35" t="s">
        <v>2585</v>
      </c>
      <c r="C889" s="183" t="s">
        <v>1438</v>
      </c>
      <c r="D889" s="183" t="s">
        <v>1976</v>
      </c>
      <c r="E889" s="183" t="s">
        <v>1977</v>
      </c>
      <c r="F889" s="183" t="s">
        <v>1978</v>
      </c>
      <c r="G889" s="183" t="s">
        <v>1979</v>
      </c>
      <c r="H889" s="185" t="s">
        <v>189</v>
      </c>
      <c r="I889" s="186" t="s">
        <v>111</v>
      </c>
      <c r="J889" s="35" t="s">
        <v>1980</v>
      </c>
      <c r="K889" s="35" t="s">
        <v>111</v>
      </c>
    </row>
    <row r="890">
      <c r="A890" s="35" t="s">
        <v>413</v>
      </c>
      <c r="B890" s="35" t="s">
        <v>2586</v>
      </c>
      <c r="C890" s="183" t="s">
        <v>1982</v>
      </c>
      <c r="D890" s="183" t="s">
        <v>1983</v>
      </c>
      <c r="E890" s="183" t="s">
        <v>1984</v>
      </c>
      <c r="F890" s="183" t="s">
        <v>1985</v>
      </c>
      <c r="G890" s="183" t="s">
        <v>1986</v>
      </c>
      <c r="H890" s="185" t="s">
        <v>189</v>
      </c>
      <c r="I890" s="186" t="s">
        <v>36</v>
      </c>
      <c r="J890" s="56"/>
      <c r="K890" s="35" t="s">
        <v>111</v>
      </c>
    </row>
    <row r="891">
      <c r="A891" s="35" t="s">
        <v>413</v>
      </c>
      <c r="B891" s="35" t="s">
        <v>2587</v>
      </c>
      <c r="C891" s="183" t="s">
        <v>1988</v>
      </c>
      <c r="D891" s="183" t="s">
        <v>1989</v>
      </c>
      <c r="E891" s="183" t="s">
        <v>1990</v>
      </c>
      <c r="F891" s="183" t="s">
        <v>1991</v>
      </c>
      <c r="G891" s="183" t="s">
        <v>1992</v>
      </c>
      <c r="H891" s="185" t="s">
        <v>189</v>
      </c>
      <c r="I891" s="186" t="s">
        <v>36</v>
      </c>
      <c r="J891" s="56"/>
      <c r="K891" s="35" t="s">
        <v>111</v>
      </c>
    </row>
    <row r="892">
      <c r="A892" s="35" t="s">
        <v>413</v>
      </c>
      <c r="B892" s="35" t="s">
        <v>2588</v>
      </c>
      <c r="C892" s="183" t="s">
        <v>1994</v>
      </c>
      <c r="D892" s="183" t="s">
        <v>1995</v>
      </c>
      <c r="E892" s="183" t="s">
        <v>1996</v>
      </c>
      <c r="F892" s="183" t="s">
        <v>1997</v>
      </c>
      <c r="G892" s="183" t="s">
        <v>1998</v>
      </c>
      <c r="H892" s="185" t="s">
        <v>189</v>
      </c>
      <c r="I892" s="186" t="s">
        <v>36</v>
      </c>
      <c r="J892" s="56"/>
      <c r="K892" s="35" t="s">
        <v>111</v>
      </c>
    </row>
    <row r="893" ht="34.5" customHeight="1">
      <c r="A893" s="180" t="s">
        <v>192</v>
      </c>
      <c r="B893" s="181"/>
      <c r="C893" s="181"/>
      <c r="D893" s="181"/>
      <c r="E893" s="181"/>
      <c r="F893" s="181"/>
      <c r="G893" s="181"/>
      <c r="H893" s="181"/>
      <c r="I893" s="181"/>
      <c r="J893" s="181"/>
      <c r="K893" s="182"/>
    </row>
    <row r="894">
      <c r="A894" s="183" t="s">
        <v>195</v>
      </c>
      <c r="B894" s="35" t="s">
        <v>2588</v>
      </c>
      <c r="C894" s="35" t="s">
        <v>1438</v>
      </c>
      <c r="D894" s="35" t="s">
        <v>1439</v>
      </c>
      <c r="E894" s="184" t="s">
        <v>1440</v>
      </c>
      <c r="F894" s="183" t="s">
        <v>1441</v>
      </c>
      <c r="G894" s="35" t="s">
        <v>1442</v>
      </c>
      <c r="H894" s="185" t="s">
        <v>193</v>
      </c>
      <c r="I894" s="186" t="s">
        <v>36</v>
      </c>
      <c r="J894" s="56"/>
      <c r="K894" s="35" t="s">
        <v>36</v>
      </c>
    </row>
    <row r="895">
      <c r="A895" s="183" t="s">
        <v>195</v>
      </c>
      <c r="B895" s="35" t="s">
        <v>2589</v>
      </c>
      <c r="C895" s="187" t="s">
        <v>1446</v>
      </c>
      <c r="D895" s="187" t="s">
        <v>1447</v>
      </c>
      <c r="E895" s="187" t="s">
        <v>1448</v>
      </c>
      <c r="F895" s="187" t="s">
        <v>1449</v>
      </c>
      <c r="G895" s="187" t="s">
        <v>1450</v>
      </c>
      <c r="H895" s="185" t="s">
        <v>193</v>
      </c>
      <c r="I895" s="186" t="s">
        <v>36</v>
      </c>
      <c r="J895" s="56"/>
      <c r="K895" s="35" t="s">
        <v>36</v>
      </c>
    </row>
    <row r="896">
      <c r="A896" s="183" t="s">
        <v>195</v>
      </c>
      <c r="B896" s="35" t="s">
        <v>2590</v>
      </c>
      <c r="C896" s="187" t="s">
        <v>1453</v>
      </c>
      <c r="D896" s="187" t="s">
        <v>1454</v>
      </c>
      <c r="E896" s="187" t="s">
        <v>1448</v>
      </c>
      <c r="F896" s="187" t="s">
        <v>1455</v>
      </c>
      <c r="G896" s="187" t="s">
        <v>1456</v>
      </c>
      <c r="H896" s="185" t="s">
        <v>193</v>
      </c>
      <c r="I896" s="186" t="s">
        <v>36</v>
      </c>
      <c r="J896" s="56"/>
      <c r="K896" s="35" t="s">
        <v>36</v>
      </c>
    </row>
    <row r="897">
      <c r="A897" s="183" t="s">
        <v>195</v>
      </c>
      <c r="B897" s="35" t="s">
        <v>2591</v>
      </c>
      <c r="C897" s="187" t="s">
        <v>1459</v>
      </c>
      <c r="D897" s="187" t="s">
        <v>1460</v>
      </c>
      <c r="E897" s="187" t="s">
        <v>1448</v>
      </c>
      <c r="F897" s="187" t="s">
        <v>1461</v>
      </c>
      <c r="G897" s="187" t="s">
        <v>1462</v>
      </c>
      <c r="H897" s="185" t="s">
        <v>193</v>
      </c>
      <c r="I897" s="186" t="s">
        <v>36</v>
      </c>
      <c r="J897" s="56"/>
      <c r="K897" s="35" t="s">
        <v>36</v>
      </c>
    </row>
    <row r="898">
      <c r="A898" s="183" t="s">
        <v>195</v>
      </c>
      <c r="B898" s="35" t="s">
        <v>2592</v>
      </c>
      <c r="C898" s="183" t="s">
        <v>1465</v>
      </c>
      <c r="D898" s="183" t="s">
        <v>1466</v>
      </c>
      <c r="E898" s="187" t="s">
        <v>1448</v>
      </c>
      <c r="F898" s="183" t="s">
        <v>1467</v>
      </c>
      <c r="G898" s="183" t="s">
        <v>1468</v>
      </c>
      <c r="H898" s="185" t="s">
        <v>193</v>
      </c>
      <c r="I898" s="188" t="s">
        <v>111</v>
      </c>
      <c r="J898" s="35" t="s">
        <v>1469</v>
      </c>
      <c r="K898" s="35" t="s">
        <v>111</v>
      </c>
    </row>
    <row r="899">
      <c r="A899" s="183" t="s">
        <v>195</v>
      </c>
      <c r="B899" s="35" t="s">
        <v>2593</v>
      </c>
      <c r="C899" s="183" t="s">
        <v>1471</v>
      </c>
      <c r="D899" s="183" t="s">
        <v>1472</v>
      </c>
      <c r="E899" s="187" t="s">
        <v>1448</v>
      </c>
      <c r="F899" s="183" t="s">
        <v>1473</v>
      </c>
      <c r="G899" s="183" t="s">
        <v>1474</v>
      </c>
      <c r="H899" s="185" t="s">
        <v>193</v>
      </c>
      <c r="I899" s="188" t="s">
        <v>111</v>
      </c>
      <c r="J899" s="35" t="s">
        <v>1475</v>
      </c>
      <c r="K899" s="35" t="s">
        <v>111</v>
      </c>
    </row>
    <row r="900">
      <c r="A900" s="183" t="s">
        <v>195</v>
      </c>
      <c r="B900" s="35" t="s">
        <v>2594</v>
      </c>
      <c r="C900" s="183" t="s">
        <v>1477</v>
      </c>
      <c r="D900" s="183" t="s">
        <v>1478</v>
      </c>
      <c r="E900" s="187" t="s">
        <v>1448</v>
      </c>
      <c r="F900" s="183" t="s">
        <v>1479</v>
      </c>
      <c r="G900" s="183" t="s">
        <v>1468</v>
      </c>
      <c r="H900" s="185" t="s">
        <v>193</v>
      </c>
      <c r="I900" s="188" t="s">
        <v>111</v>
      </c>
      <c r="J900" s="35" t="s">
        <v>1469</v>
      </c>
      <c r="K900" s="35" t="s">
        <v>111</v>
      </c>
    </row>
    <row r="901">
      <c r="A901" s="183" t="s">
        <v>195</v>
      </c>
      <c r="B901" s="35" t="s">
        <v>2595</v>
      </c>
      <c r="C901" s="183" t="s">
        <v>1481</v>
      </c>
      <c r="D901" s="183" t="s">
        <v>1472</v>
      </c>
      <c r="E901" s="187" t="s">
        <v>1448</v>
      </c>
      <c r="F901" s="183" t="s">
        <v>1482</v>
      </c>
      <c r="G901" s="183" t="s">
        <v>1474</v>
      </c>
      <c r="H901" s="185" t="s">
        <v>193</v>
      </c>
      <c r="I901" s="188" t="s">
        <v>111</v>
      </c>
      <c r="J901" s="183" t="s">
        <v>1475</v>
      </c>
      <c r="K901" s="35" t="s">
        <v>111</v>
      </c>
    </row>
    <row r="902">
      <c r="A902" s="183" t="s">
        <v>195</v>
      </c>
      <c r="B902" s="35" t="s">
        <v>2596</v>
      </c>
      <c r="C902" s="183" t="s">
        <v>1484</v>
      </c>
      <c r="D902" s="183" t="s">
        <v>1472</v>
      </c>
      <c r="E902" s="187" t="s">
        <v>1448</v>
      </c>
      <c r="F902" s="183" t="s">
        <v>1485</v>
      </c>
      <c r="G902" s="183" t="s">
        <v>1486</v>
      </c>
      <c r="H902" s="185" t="s">
        <v>193</v>
      </c>
      <c r="I902" s="188" t="s">
        <v>111</v>
      </c>
      <c r="J902" s="183" t="s">
        <v>1475</v>
      </c>
      <c r="K902" s="35" t="s">
        <v>111</v>
      </c>
    </row>
    <row r="903">
      <c r="A903" s="183" t="s">
        <v>195</v>
      </c>
      <c r="B903" s="35" t="s">
        <v>2597</v>
      </c>
      <c r="C903" s="187" t="s">
        <v>1488</v>
      </c>
      <c r="D903" s="187" t="s">
        <v>1489</v>
      </c>
      <c r="E903" s="187" t="s">
        <v>1490</v>
      </c>
      <c r="F903" s="187" t="s">
        <v>1491</v>
      </c>
      <c r="G903" s="187" t="s">
        <v>1492</v>
      </c>
      <c r="H903" s="185" t="s">
        <v>193</v>
      </c>
      <c r="I903" s="186" t="s">
        <v>36</v>
      </c>
      <c r="J903" s="56"/>
      <c r="K903" s="35" t="s">
        <v>36</v>
      </c>
    </row>
    <row r="904">
      <c r="A904" s="183" t="s">
        <v>195</v>
      </c>
      <c r="B904" s="35" t="s">
        <v>2598</v>
      </c>
      <c r="C904" s="187" t="s">
        <v>1494</v>
      </c>
      <c r="D904" s="183" t="s">
        <v>1495</v>
      </c>
      <c r="E904" s="187" t="s">
        <v>1496</v>
      </c>
      <c r="F904" s="187" t="s">
        <v>1497</v>
      </c>
      <c r="G904" s="187" t="s">
        <v>1498</v>
      </c>
      <c r="H904" s="185" t="s">
        <v>193</v>
      </c>
      <c r="I904" s="186" t="s">
        <v>111</v>
      </c>
      <c r="J904" s="35" t="s">
        <v>1499</v>
      </c>
      <c r="K904" s="35" t="s">
        <v>111</v>
      </c>
    </row>
    <row r="905">
      <c r="A905" s="183" t="s">
        <v>195</v>
      </c>
      <c r="B905" s="35" t="s">
        <v>2599</v>
      </c>
      <c r="C905" s="187" t="s">
        <v>1501</v>
      </c>
      <c r="D905" s="187" t="s">
        <v>1502</v>
      </c>
      <c r="E905" s="187" t="s">
        <v>1503</v>
      </c>
      <c r="F905" s="187" t="s">
        <v>1491</v>
      </c>
      <c r="G905" s="187" t="s">
        <v>1504</v>
      </c>
      <c r="H905" s="185" t="s">
        <v>193</v>
      </c>
      <c r="I905" s="186" t="s">
        <v>36</v>
      </c>
      <c r="J905" s="56"/>
      <c r="K905" s="35" t="s">
        <v>36</v>
      </c>
    </row>
    <row r="906">
      <c r="A906" s="183" t="s">
        <v>195</v>
      </c>
      <c r="B906" s="35" t="s">
        <v>2600</v>
      </c>
      <c r="C906" s="187" t="s">
        <v>1506</v>
      </c>
      <c r="D906" s="187" t="s">
        <v>1507</v>
      </c>
      <c r="E906" s="187" t="s">
        <v>1508</v>
      </c>
      <c r="F906" s="187" t="s">
        <v>1491</v>
      </c>
      <c r="G906" s="187" t="s">
        <v>1509</v>
      </c>
      <c r="H906" s="185" t="s">
        <v>193</v>
      </c>
      <c r="I906" s="186" t="s">
        <v>36</v>
      </c>
      <c r="J906" s="56"/>
      <c r="K906" s="35" t="s">
        <v>36</v>
      </c>
    </row>
    <row r="907">
      <c r="A907" s="183" t="s">
        <v>195</v>
      </c>
      <c r="B907" s="35" t="s">
        <v>2601</v>
      </c>
      <c r="C907" s="187" t="s">
        <v>1511</v>
      </c>
      <c r="D907" s="187" t="s">
        <v>1512</v>
      </c>
      <c r="E907" s="187" t="s">
        <v>1513</v>
      </c>
      <c r="F907" s="187" t="s">
        <v>1491</v>
      </c>
      <c r="G907" s="187" t="s">
        <v>1514</v>
      </c>
      <c r="H907" s="185" t="s">
        <v>193</v>
      </c>
      <c r="I907" s="186" t="s">
        <v>36</v>
      </c>
      <c r="J907" s="56"/>
      <c r="K907" s="35" t="s">
        <v>36</v>
      </c>
    </row>
    <row r="908">
      <c r="A908" s="183" t="s">
        <v>195</v>
      </c>
      <c r="B908" s="35" t="s">
        <v>2602</v>
      </c>
      <c r="C908" s="187" t="s">
        <v>1516</v>
      </c>
      <c r="D908" s="187" t="s">
        <v>1517</v>
      </c>
      <c r="E908" s="187" t="s">
        <v>1518</v>
      </c>
      <c r="F908" s="187" t="s">
        <v>1519</v>
      </c>
      <c r="G908" s="187" t="s">
        <v>1520</v>
      </c>
      <c r="H908" s="185" t="s">
        <v>193</v>
      </c>
      <c r="I908" s="186" t="s">
        <v>111</v>
      </c>
      <c r="J908" s="35" t="s">
        <v>1521</v>
      </c>
      <c r="K908" s="35" t="s">
        <v>111</v>
      </c>
    </row>
    <row r="909">
      <c r="A909" s="183" t="s">
        <v>195</v>
      </c>
      <c r="B909" s="35" t="s">
        <v>2603</v>
      </c>
      <c r="C909" s="187" t="s">
        <v>1523</v>
      </c>
      <c r="D909" s="187" t="s">
        <v>1524</v>
      </c>
      <c r="E909" s="187" t="s">
        <v>1525</v>
      </c>
      <c r="F909" s="187" t="s">
        <v>1526</v>
      </c>
      <c r="G909" s="187" t="s">
        <v>1527</v>
      </c>
      <c r="H909" s="185" t="s">
        <v>193</v>
      </c>
      <c r="I909" s="186" t="s">
        <v>111</v>
      </c>
      <c r="J909" s="35" t="s">
        <v>1521</v>
      </c>
      <c r="K909" s="35" t="s">
        <v>111</v>
      </c>
    </row>
    <row r="910">
      <c r="A910" s="183" t="s">
        <v>195</v>
      </c>
      <c r="B910" s="35" t="s">
        <v>2604</v>
      </c>
      <c r="C910" s="187" t="s">
        <v>1529</v>
      </c>
      <c r="D910" s="187" t="s">
        <v>1530</v>
      </c>
      <c r="E910" s="187" t="s">
        <v>1531</v>
      </c>
      <c r="F910" s="187" t="s">
        <v>1532</v>
      </c>
      <c r="G910" s="187" t="s">
        <v>1533</v>
      </c>
      <c r="H910" s="185" t="s">
        <v>193</v>
      </c>
      <c r="I910" s="186" t="s">
        <v>111</v>
      </c>
      <c r="J910" s="35" t="s">
        <v>1521</v>
      </c>
      <c r="K910" s="35" t="s">
        <v>111</v>
      </c>
    </row>
    <row r="911">
      <c r="A911" s="183" t="s">
        <v>195</v>
      </c>
      <c r="B911" s="35" t="s">
        <v>2605</v>
      </c>
      <c r="C911" s="187" t="s">
        <v>1535</v>
      </c>
      <c r="D911" s="187" t="s">
        <v>1536</v>
      </c>
      <c r="E911" s="187" t="s">
        <v>1537</v>
      </c>
      <c r="F911" s="187" t="s">
        <v>1538</v>
      </c>
      <c r="G911" s="187" t="s">
        <v>1539</v>
      </c>
      <c r="H911" s="185" t="s">
        <v>193</v>
      </c>
      <c r="I911" s="186" t="s">
        <v>111</v>
      </c>
      <c r="J911" s="35" t="s">
        <v>1521</v>
      </c>
      <c r="K911" s="35" t="s">
        <v>111</v>
      </c>
    </row>
    <row r="912">
      <c r="A912" s="183" t="s">
        <v>195</v>
      </c>
      <c r="B912" s="35" t="s">
        <v>2606</v>
      </c>
      <c r="C912" s="187" t="s">
        <v>1541</v>
      </c>
      <c r="D912" s="187" t="s">
        <v>1542</v>
      </c>
      <c r="E912" s="187" t="s">
        <v>1543</v>
      </c>
      <c r="F912" s="187" t="s">
        <v>1544</v>
      </c>
      <c r="G912" s="187" t="s">
        <v>1545</v>
      </c>
      <c r="H912" s="185" t="s">
        <v>193</v>
      </c>
      <c r="I912" s="186" t="s">
        <v>36</v>
      </c>
      <c r="J912" s="56"/>
      <c r="K912" s="35" t="s">
        <v>36</v>
      </c>
    </row>
    <row r="913">
      <c r="A913" s="183" t="s">
        <v>195</v>
      </c>
      <c r="B913" s="35" t="s">
        <v>2607</v>
      </c>
      <c r="C913" s="187" t="s">
        <v>1547</v>
      </c>
      <c r="D913" s="187" t="s">
        <v>1548</v>
      </c>
      <c r="E913" s="187" t="s">
        <v>1448</v>
      </c>
      <c r="F913" s="187" t="s">
        <v>1549</v>
      </c>
      <c r="G913" s="187" t="s">
        <v>1550</v>
      </c>
      <c r="H913" s="185" t="s">
        <v>193</v>
      </c>
      <c r="I913" s="186" t="s">
        <v>36</v>
      </c>
      <c r="J913" s="56"/>
      <c r="K913" s="35" t="s">
        <v>36</v>
      </c>
    </row>
    <row r="914">
      <c r="A914" s="183" t="s">
        <v>195</v>
      </c>
      <c r="B914" s="35" t="s">
        <v>2608</v>
      </c>
      <c r="C914" s="187" t="s">
        <v>1552</v>
      </c>
      <c r="D914" s="187" t="s">
        <v>1553</v>
      </c>
      <c r="E914" s="187" t="s">
        <v>1448</v>
      </c>
      <c r="F914" s="187" t="s">
        <v>1554</v>
      </c>
      <c r="G914" s="187" t="s">
        <v>1555</v>
      </c>
      <c r="H914" s="185" t="s">
        <v>193</v>
      </c>
      <c r="I914" s="186" t="s">
        <v>111</v>
      </c>
      <c r="J914" s="35" t="s">
        <v>1556</v>
      </c>
      <c r="K914" s="35" t="s">
        <v>111</v>
      </c>
    </row>
    <row r="915">
      <c r="A915" s="183" t="s">
        <v>195</v>
      </c>
      <c r="B915" s="35" t="s">
        <v>2609</v>
      </c>
      <c r="C915" s="187" t="s">
        <v>1558</v>
      </c>
      <c r="D915" s="187" t="s">
        <v>1559</v>
      </c>
      <c r="E915" s="187" t="s">
        <v>1448</v>
      </c>
      <c r="F915" s="187" t="s">
        <v>1560</v>
      </c>
      <c r="G915" s="187" t="s">
        <v>1561</v>
      </c>
      <c r="H915" s="185" t="s">
        <v>193</v>
      </c>
      <c r="I915" s="186" t="s">
        <v>36</v>
      </c>
      <c r="J915" s="35"/>
      <c r="K915" s="35" t="s">
        <v>36</v>
      </c>
    </row>
    <row r="916">
      <c r="A916" s="183" t="s">
        <v>195</v>
      </c>
      <c r="B916" s="35" t="s">
        <v>2610</v>
      </c>
      <c r="C916" s="187" t="s">
        <v>1563</v>
      </c>
      <c r="D916" s="187" t="s">
        <v>1564</v>
      </c>
      <c r="E916" s="187" t="s">
        <v>1448</v>
      </c>
      <c r="F916" s="187" t="s">
        <v>1565</v>
      </c>
      <c r="G916" s="187" t="s">
        <v>1566</v>
      </c>
      <c r="H916" s="185" t="s">
        <v>193</v>
      </c>
      <c r="I916" s="186" t="s">
        <v>36</v>
      </c>
      <c r="J916" s="35"/>
      <c r="K916" s="35" t="s">
        <v>36</v>
      </c>
    </row>
    <row r="917">
      <c r="A917" s="183" t="s">
        <v>195</v>
      </c>
      <c r="B917" s="35" t="s">
        <v>2611</v>
      </c>
      <c r="C917" s="187" t="s">
        <v>1568</v>
      </c>
      <c r="D917" s="187" t="s">
        <v>1569</v>
      </c>
      <c r="E917" s="187" t="s">
        <v>1448</v>
      </c>
      <c r="F917" s="187" t="s">
        <v>1570</v>
      </c>
      <c r="G917" s="187" t="s">
        <v>1571</v>
      </c>
      <c r="H917" s="185" t="s">
        <v>193</v>
      </c>
      <c r="I917" s="186" t="s">
        <v>36</v>
      </c>
      <c r="J917" s="56"/>
      <c r="K917" s="35" t="s">
        <v>36</v>
      </c>
    </row>
    <row r="918">
      <c r="A918" s="183" t="s">
        <v>195</v>
      </c>
      <c r="B918" s="35" t="s">
        <v>2612</v>
      </c>
      <c r="C918" s="187" t="s">
        <v>1573</v>
      </c>
      <c r="D918" s="187" t="s">
        <v>1574</v>
      </c>
      <c r="E918" s="187" t="s">
        <v>1448</v>
      </c>
      <c r="F918" s="187" t="s">
        <v>1575</v>
      </c>
      <c r="G918" s="187" t="s">
        <v>1576</v>
      </c>
      <c r="H918" s="185" t="s">
        <v>193</v>
      </c>
      <c r="I918" s="186" t="s">
        <v>111</v>
      </c>
      <c r="J918" s="35" t="s">
        <v>1577</v>
      </c>
      <c r="K918" s="35" t="s">
        <v>111</v>
      </c>
    </row>
    <row r="919">
      <c r="A919" s="183" t="s">
        <v>195</v>
      </c>
      <c r="B919" s="35" t="s">
        <v>2613</v>
      </c>
      <c r="C919" s="187" t="s">
        <v>1579</v>
      </c>
      <c r="D919" s="187" t="s">
        <v>1580</v>
      </c>
      <c r="E919" s="187" t="s">
        <v>1448</v>
      </c>
      <c r="F919" s="187" t="s">
        <v>1581</v>
      </c>
      <c r="G919" s="187" t="s">
        <v>1582</v>
      </c>
      <c r="H919" s="185" t="s">
        <v>193</v>
      </c>
      <c r="I919" s="186" t="s">
        <v>36</v>
      </c>
      <c r="J919" s="56"/>
      <c r="K919" s="35" t="s">
        <v>36</v>
      </c>
    </row>
    <row r="920">
      <c r="A920" s="183" t="s">
        <v>195</v>
      </c>
      <c r="B920" s="35" t="s">
        <v>2614</v>
      </c>
      <c r="C920" s="187" t="s">
        <v>1584</v>
      </c>
      <c r="D920" s="187" t="s">
        <v>1585</v>
      </c>
      <c r="E920" s="187" t="s">
        <v>1586</v>
      </c>
      <c r="F920" s="187" t="s">
        <v>1587</v>
      </c>
      <c r="G920" s="187" t="s">
        <v>1588</v>
      </c>
      <c r="H920" s="185" t="s">
        <v>193</v>
      </c>
      <c r="I920" s="188" t="s">
        <v>36</v>
      </c>
      <c r="J920" s="56"/>
      <c r="K920" s="35" t="s">
        <v>36</v>
      </c>
    </row>
    <row r="921">
      <c r="A921" s="183" t="s">
        <v>195</v>
      </c>
      <c r="B921" s="35" t="s">
        <v>2615</v>
      </c>
      <c r="C921" s="187" t="s">
        <v>1590</v>
      </c>
      <c r="D921" s="187" t="s">
        <v>1591</v>
      </c>
      <c r="E921" s="187" t="s">
        <v>1592</v>
      </c>
      <c r="F921" s="187" t="s">
        <v>1593</v>
      </c>
      <c r="G921" s="187" t="s">
        <v>1594</v>
      </c>
      <c r="H921" s="185" t="s">
        <v>193</v>
      </c>
      <c r="I921" s="188" t="s">
        <v>111</v>
      </c>
      <c r="J921" s="35" t="s">
        <v>1595</v>
      </c>
      <c r="K921" s="35" t="s">
        <v>111</v>
      </c>
    </row>
    <row r="922">
      <c r="A922" s="183" t="s">
        <v>195</v>
      </c>
      <c r="B922" s="35" t="s">
        <v>2616</v>
      </c>
      <c r="C922" s="187" t="s">
        <v>1597</v>
      </c>
      <c r="D922" s="187" t="s">
        <v>1598</v>
      </c>
      <c r="E922" s="187" t="s">
        <v>1599</v>
      </c>
      <c r="F922" s="187" t="s">
        <v>1600</v>
      </c>
      <c r="G922" s="187" t="s">
        <v>1601</v>
      </c>
      <c r="H922" s="185" t="s">
        <v>193</v>
      </c>
      <c r="I922" s="188" t="s">
        <v>36</v>
      </c>
      <c r="J922" s="56"/>
      <c r="K922" s="35" t="s">
        <v>36</v>
      </c>
    </row>
    <row r="923">
      <c r="A923" s="183" t="s">
        <v>195</v>
      </c>
      <c r="B923" s="35" t="s">
        <v>2617</v>
      </c>
      <c r="C923" s="187" t="s">
        <v>1603</v>
      </c>
      <c r="D923" s="187" t="s">
        <v>1604</v>
      </c>
      <c r="E923" s="187" t="s">
        <v>1605</v>
      </c>
      <c r="F923" s="187" t="s">
        <v>1606</v>
      </c>
      <c r="G923" s="187" t="s">
        <v>1607</v>
      </c>
      <c r="H923" s="185" t="s">
        <v>193</v>
      </c>
      <c r="I923" s="188" t="s">
        <v>36</v>
      </c>
      <c r="J923" s="56"/>
      <c r="K923" s="35" t="s">
        <v>36</v>
      </c>
    </row>
    <row r="924">
      <c r="A924" s="183" t="s">
        <v>195</v>
      </c>
      <c r="B924" s="35" t="s">
        <v>2618</v>
      </c>
      <c r="C924" s="187" t="s">
        <v>1609</v>
      </c>
      <c r="D924" s="187" t="s">
        <v>1610</v>
      </c>
      <c r="E924" s="187" t="s">
        <v>1611</v>
      </c>
      <c r="F924" s="187" t="s">
        <v>1612</v>
      </c>
      <c r="G924" s="187" t="s">
        <v>1613</v>
      </c>
      <c r="H924" s="185" t="s">
        <v>193</v>
      </c>
      <c r="I924" s="188" t="s">
        <v>36</v>
      </c>
      <c r="J924" s="56"/>
      <c r="K924" s="35" t="s">
        <v>36</v>
      </c>
    </row>
    <row r="925">
      <c r="A925" s="183" t="s">
        <v>195</v>
      </c>
      <c r="B925" s="35" t="s">
        <v>2619</v>
      </c>
      <c r="C925" s="187" t="s">
        <v>1615</v>
      </c>
      <c r="D925" s="187" t="s">
        <v>1616</v>
      </c>
      <c r="E925" s="187" t="s">
        <v>1611</v>
      </c>
      <c r="F925" s="187" t="s">
        <v>1617</v>
      </c>
      <c r="G925" s="187" t="s">
        <v>1618</v>
      </c>
      <c r="H925" s="185" t="s">
        <v>193</v>
      </c>
      <c r="I925" s="188" t="s">
        <v>36</v>
      </c>
      <c r="J925" s="56"/>
      <c r="K925" s="35" t="s">
        <v>36</v>
      </c>
    </row>
    <row r="926">
      <c r="A926" s="183" t="s">
        <v>195</v>
      </c>
      <c r="B926" s="35" t="s">
        <v>2620</v>
      </c>
      <c r="C926" s="187" t="s">
        <v>1620</v>
      </c>
      <c r="D926" s="187" t="s">
        <v>1621</v>
      </c>
      <c r="E926" s="187" t="s">
        <v>1622</v>
      </c>
      <c r="F926" s="187" t="s">
        <v>1623</v>
      </c>
      <c r="G926" s="187" t="s">
        <v>1624</v>
      </c>
      <c r="H926" s="185" t="s">
        <v>193</v>
      </c>
      <c r="I926" s="186" t="s">
        <v>36</v>
      </c>
      <c r="J926" s="56"/>
      <c r="K926" s="35" t="s">
        <v>36</v>
      </c>
    </row>
    <row r="927">
      <c r="A927" s="183" t="s">
        <v>195</v>
      </c>
      <c r="B927" s="35" t="s">
        <v>2621</v>
      </c>
      <c r="C927" s="187" t="s">
        <v>1626</v>
      </c>
      <c r="D927" s="187" t="s">
        <v>1627</v>
      </c>
      <c r="E927" s="187" t="s">
        <v>1622</v>
      </c>
      <c r="F927" s="187" t="s">
        <v>1549</v>
      </c>
      <c r="G927" s="187" t="s">
        <v>1628</v>
      </c>
      <c r="H927" s="185" t="s">
        <v>193</v>
      </c>
      <c r="I927" s="186" t="s">
        <v>36</v>
      </c>
      <c r="J927" s="56"/>
      <c r="K927" s="35" t="s">
        <v>36</v>
      </c>
    </row>
    <row r="928">
      <c r="A928" s="183" t="s">
        <v>195</v>
      </c>
      <c r="B928" s="35" t="s">
        <v>2622</v>
      </c>
      <c r="C928" s="187" t="s">
        <v>1630</v>
      </c>
      <c r="D928" s="187" t="s">
        <v>1631</v>
      </c>
      <c r="E928" s="187" t="s">
        <v>1632</v>
      </c>
      <c r="F928" s="187" t="s">
        <v>1633</v>
      </c>
      <c r="G928" s="187" t="s">
        <v>1634</v>
      </c>
      <c r="H928" s="185" t="s">
        <v>193</v>
      </c>
      <c r="I928" s="186" t="s">
        <v>36</v>
      </c>
      <c r="J928" s="56"/>
      <c r="K928" s="35" t="s">
        <v>36</v>
      </c>
    </row>
    <row r="929">
      <c r="A929" s="183" t="s">
        <v>195</v>
      </c>
      <c r="B929" s="35" t="s">
        <v>2623</v>
      </c>
      <c r="C929" s="187" t="s">
        <v>1636</v>
      </c>
      <c r="D929" s="187" t="s">
        <v>1637</v>
      </c>
      <c r="E929" s="187" t="s">
        <v>1638</v>
      </c>
      <c r="F929" s="187" t="s">
        <v>1639</v>
      </c>
      <c r="G929" s="187" t="s">
        <v>1588</v>
      </c>
      <c r="H929" s="185" t="s">
        <v>193</v>
      </c>
      <c r="I929" s="186" t="s">
        <v>36</v>
      </c>
      <c r="J929" s="56"/>
      <c r="K929" s="35" t="s">
        <v>36</v>
      </c>
    </row>
    <row r="930">
      <c r="A930" s="183" t="s">
        <v>195</v>
      </c>
      <c r="B930" s="35" t="s">
        <v>2624</v>
      </c>
      <c r="C930" s="187" t="s">
        <v>1641</v>
      </c>
      <c r="D930" s="187" t="s">
        <v>1642</v>
      </c>
      <c r="E930" s="187" t="s">
        <v>1638</v>
      </c>
      <c r="F930" s="187" t="s">
        <v>1643</v>
      </c>
      <c r="G930" s="187" t="s">
        <v>1594</v>
      </c>
      <c r="H930" s="185" t="s">
        <v>193</v>
      </c>
      <c r="I930" s="186" t="s">
        <v>36</v>
      </c>
      <c r="J930" s="56"/>
      <c r="K930" s="35" t="s">
        <v>36</v>
      </c>
    </row>
    <row r="931">
      <c r="A931" s="183" t="s">
        <v>195</v>
      </c>
      <c r="B931" s="35" t="s">
        <v>2625</v>
      </c>
      <c r="C931" s="187" t="s">
        <v>1645</v>
      </c>
      <c r="D931" s="187" t="s">
        <v>1646</v>
      </c>
      <c r="E931" s="187" t="s">
        <v>1638</v>
      </c>
      <c r="F931" s="187" t="s">
        <v>1647</v>
      </c>
      <c r="G931" s="187" t="s">
        <v>1601</v>
      </c>
      <c r="H931" s="185" t="s">
        <v>193</v>
      </c>
      <c r="I931" s="186" t="s">
        <v>36</v>
      </c>
      <c r="J931" s="56"/>
      <c r="K931" s="35" t="s">
        <v>36</v>
      </c>
    </row>
    <row r="932">
      <c r="A932" s="183" t="s">
        <v>195</v>
      </c>
      <c r="B932" s="35" t="s">
        <v>2626</v>
      </c>
      <c r="C932" s="187" t="s">
        <v>1649</v>
      </c>
      <c r="D932" s="187" t="s">
        <v>1650</v>
      </c>
      <c r="E932" s="187" t="s">
        <v>1638</v>
      </c>
      <c r="F932" s="187" t="s">
        <v>1554</v>
      </c>
      <c r="G932" s="187" t="s">
        <v>1651</v>
      </c>
      <c r="H932" s="185" t="s">
        <v>193</v>
      </c>
      <c r="I932" s="186" t="s">
        <v>111</v>
      </c>
      <c r="J932" s="56"/>
      <c r="K932" s="35" t="s">
        <v>111</v>
      </c>
    </row>
    <row r="933">
      <c r="A933" s="183" t="s">
        <v>195</v>
      </c>
      <c r="B933" s="35" t="s">
        <v>2627</v>
      </c>
      <c r="C933" s="187" t="s">
        <v>1653</v>
      </c>
      <c r="D933" s="187" t="s">
        <v>1654</v>
      </c>
      <c r="E933" s="187" t="s">
        <v>1638</v>
      </c>
      <c r="F933" s="187" t="s">
        <v>1560</v>
      </c>
      <c r="G933" s="187" t="s">
        <v>1561</v>
      </c>
      <c r="H933" s="185" t="s">
        <v>193</v>
      </c>
      <c r="I933" s="186" t="s">
        <v>36</v>
      </c>
      <c r="J933" s="56"/>
      <c r="K933" s="35" t="s">
        <v>36</v>
      </c>
    </row>
    <row r="934">
      <c r="A934" s="183" t="s">
        <v>195</v>
      </c>
      <c r="B934" s="35" t="s">
        <v>2628</v>
      </c>
      <c r="C934" s="187" t="s">
        <v>1656</v>
      </c>
      <c r="D934" s="187" t="s">
        <v>1564</v>
      </c>
      <c r="E934" s="187" t="s">
        <v>1638</v>
      </c>
      <c r="F934" s="187" t="s">
        <v>1657</v>
      </c>
      <c r="G934" s="187" t="s">
        <v>1566</v>
      </c>
      <c r="H934" s="185" t="s">
        <v>193</v>
      </c>
      <c r="I934" s="186" t="s">
        <v>36</v>
      </c>
      <c r="J934" s="56"/>
      <c r="K934" s="35" t="s">
        <v>36</v>
      </c>
    </row>
    <row r="935">
      <c r="A935" s="183" t="s">
        <v>195</v>
      </c>
      <c r="B935" s="35" t="s">
        <v>2629</v>
      </c>
      <c r="C935" s="187" t="s">
        <v>1659</v>
      </c>
      <c r="D935" s="187" t="s">
        <v>1569</v>
      </c>
      <c r="E935" s="187" t="s">
        <v>1638</v>
      </c>
      <c r="F935" s="187" t="s">
        <v>1570</v>
      </c>
      <c r="G935" s="187" t="s">
        <v>1571</v>
      </c>
      <c r="H935" s="185" t="s">
        <v>193</v>
      </c>
      <c r="I935" s="186" t="s">
        <v>36</v>
      </c>
      <c r="J935" s="56"/>
      <c r="K935" s="35" t="s">
        <v>36</v>
      </c>
    </row>
    <row r="936">
      <c r="A936" s="183" t="s">
        <v>195</v>
      </c>
      <c r="B936" s="35" t="s">
        <v>2630</v>
      </c>
      <c r="C936" s="187" t="s">
        <v>1661</v>
      </c>
      <c r="D936" s="187" t="s">
        <v>1574</v>
      </c>
      <c r="E936" s="187" t="s">
        <v>1638</v>
      </c>
      <c r="F936" s="187" t="s">
        <v>1575</v>
      </c>
      <c r="G936" s="187" t="s">
        <v>1576</v>
      </c>
      <c r="H936" s="185" t="s">
        <v>193</v>
      </c>
      <c r="I936" s="186" t="s">
        <v>111</v>
      </c>
      <c r="J936" s="35" t="s">
        <v>1577</v>
      </c>
      <c r="K936" s="35" t="s">
        <v>111</v>
      </c>
    </row>
    <row r="937">
      <c r="A937" s="183" t="s">
        <v>195</v>
      </c>
      <c r="B937" s="35" t="s">
        <v>2631</v>
      </c>
      <c r="C937" s="187" t="s">
        <v>1663</v>
      </c>
      <c r="D937" s="187" t="s">
        <v>1580</v>
      </c>
      <c r="E937" s="187" t="s">
        <v>1638</v>
      </c>
      <c r="F937" s="187" t="s">
        <v>1581</v>
      </c>
      <c r="G937" s="187" t="s">
        <v>1582</v>
      </c>
      <c r="H937" s="185" t="s">
        <v>193</v>
      </c>
      <c r="I937" s="186" t="s">
        <v>111</v>
      </c>
      <c r="J937" s="35" t="s">
        <v>1664</v>
      </c>
      <c r="K937" s="35" t="s">
        <v>111</v>
      </c>
    </row>
    <row r="938">
      <c r="A938" s="183" t="s">
        <v>195</v>
      </c>
      <c r="B938" s="35" t="s">
        <v>2632</v>
      </c>
      <c r="C938" s="187" t="s">
        <v>1666</v>
      </c>
      <c r="D938" s="187" t="s">
        <v>1667</v>
      </c>
      <c r="E938" s="187" t="s">
        <v>1668</v>
      </c>
      <c r="F938" s="187" t="s">
        <v>1669</v>
      </c>
      <c r="G938" s="187" t="s">
        <v>1670</v>
      </c>
      <c r="H938" s="185" t="s">
        <v>193</v>
      </c>
      <c r="I938" s="186" t="s">
        <v>36</v>
      </c>
      <c r="J938" s="56"/>
      <c r="K938" s="35" t="s">
        <v>36</v>
      </c>
    </row>
    <row r="939">
      <c r="A939" s="183" t="s">
        <v>195</v>
      </c>
      <c r="B939" s="35" t="s">
        <v>2633</v>
      </c>
      <c r="C939" s="187" t="s">
        <v>1672</v>
      </c>
      <c r="D939" s="187" t="s">
        <v>1673</v>
      </c>
      <c r="E939" s="187" t="s">
        <v>1674</v>
      </c>
      <c r="F939" s="187" t="s">
        <v>1675</v>
      </c>
      <c r="G939" s="187" t="s">
        <v>1676</v>
      </c>
      <c r="H939" s="185" t="s">
        <v>193</v>
      </c>
      <c r="I939" s="186" t="s">
        <v>36</v>
      </c>
      <c r="J939" s="56"/>
      <c r="K939" s="35" t="s">
        <v>36</v>
      </c>
    </row>
    <row r="940">
      <c r="A940" s="183" t="s">
        <v>195</v>
      </c>
      <c r="B940" s="35" t="s">
        <v>2634</v>
      </c>
      <c r="C940" s="187" t="s">
        <v>1678</v>
      </c>
      <c r="D940" s="187" t="s">
        <v>1679</v>
      </c>
      <c r="E940" s="187" t="s">
        <v>1680</v>
      </c>
      <c r="F940" s="187" t="s">
        <v>1681</v>
      </c>
      <c r="G940" s="187" t="s">
        <v>1682</v>
      </c>
      <c r="H940" s="185" t="s">
        <v>193</v>
      </c>
      <c r="I940" s="186" t="s">
        <v>36</v>
      </c>
      <c r="J940" s="56"/>
      <c r="K940" s="35" t="s">
        <v>36</v>
      </c>
    </row>
    <row r="941">
      <c r="A941" s="183" t="s">
        <v>195</v>
      </c>
      <c r="B941" s="35" t="s">
        <v>2635</v>
      </c>
      <c r="C941" s="187" t="s">
        <v>1684</v>
      </c>
      <c r="D941" s="187" t="s">
        <v>1679</v>
      </c>
      <c r="E941" s="187" t="s">
        <v>1680</v>
      </c>
      <c r="F941" s="187" t="s">
        <v>1681</v>
      </c>
      <c r="G941" s="187" t="s">
        <v>1682</v>
      </c>
      <c r="H941" s="185" t="s">
        <v>193</v>
      </c>
      <c r="I941" s="186" t="s">
        <v>36</v>
      </c>
      <c r="J941" s="56"/>
      <c r="K941" s="35" t="s">
        <v>36</v>
      </c>
    </row>
    <row r="942">
      <c r="A942" s="183" t="s">
        <v>195</v>
      </c>
      <c r="B942" s="35" t="s">
        <v>2636</v>
      </c>
      <c r="C942" s="187" t="s">
        <v>1686</v>
      </c>
      <c r="D942" s="187" t="s">
        <v>1687</v>
      </c>
      <c r="E942" s="187" t="s">
        <v>1688</v>
      </c>
      <c r="F942" s="187" t="s">
        <v>1689</v>
      </c>
      <c r="G942" s="187" t="s">
        <v>1690</v>
      </c>
      <c r="H942" s="185" t="s">
        <v>193</v>
      </c>
      <c r="I942" s="186" t="s">
        <v>36</v>
      </c>
      <c r="J942" s="56"/>
      <c r="K942" s="35" t="s">
        <v>36</v>
      </c>
    </row>
    <row r="943">
      <c r="A943" s="183" t="s">
        <v>195</v>
      </c>
      <c r="B943" s="35" t="s">
        <v>2637</v>
      </c>
      <c r="C943" s="187" t="s">
        <v>1692</v>
      </c>
      <c r="D943" s="187" t="s">
        <v>1693</v>
      </c>
      <c r="E943" s="187" t="s">
        <v>1694</v>
      </c>
      <c r="F943" s="187" t="s">
        <v>1554</v>
      </c>
      <c r="G943" s="187" t="s">
        <v>1555</v>
      </c>
      <c r="H943" s="185" t="s">
        <v>193</v>
      </c>
      <c r="I943" s="186" t="s">
        <v>111</v>
      </c>
      <c r="J943" s="35" t="s">
        <v>1556</v>
      </c>
      <c r="K943" s="35" t="s">
        <v>111</v>
      </c>
    </row>
    <row r="944">
      <c r="A944" s="183" t="s">
        <v>195</v>
      </c>
      <c r="B944" s="35" t="s">
        <v>2638</v>
      </c>
      <c r="C944" s="187" t="s">
        <v>1696</v>
      </c>
      <c r="D944" s="187" t="s">
        <v>1564</v>
      </c>
      <c r="E944" s="187" t="s">
        <v>1697</v>
      </c>
      <c r="F944" s="187" t="s">
        <v>1657</v>
      </c>
      <c r="G944" s="187" t="s">
        <v>1566</v>
      </c>
      <c r="H944" s="185" t="s">
        <v>193</v>
      </c>
      <c r="I944" s="188" t="s">
        <v>36</v>
      </c>
      <c r="J944" s="56"/>
      <c r="K944" s="35" t="s">
        <v>36</v>
      </c>
    </row>
    <row r="945">
      <c r="A945" s="183" t="s">
        <v>195</v>
      </c>
      <c r="B945" s="35" t="s">
        <v>2639</v>
      </c>
      <c r="C945" s="187" t="s">
        <v>1699</v>
      </c>
      <c r="D945" s="187" t="s">
        <v>1700</v>
      </c>
      <c r="E945" s="187" t="s">
        <v>1701</v>
      </c>
      <c r="F945" s="187" t="s">
        <v>1560</v>
      </c>
      <c r="G945" s="187" t="s">
        <v>1561</v>
      </c>
      <c r="H945" s="185" t="s">
        <v>193</v>
      </c>
      <c r="I945" s="186" t="s">
        <v>36</v>
      </c>
      <c r="J945" s="35"/>
      <c r="K945" s="35" t="s">
        <v>36</v>
      </c>
    </row>
    <row r="946">
      <c r="A946" s="183" t="s">
        <v>195</v>
      </c>
      <c r="B946" s="35" t="s">
        <v>2640</v>
      </c>
      <c r="C946" s="187" t="s">
        <v>1703</v>
      </c>
      <c r="D946" s="187" t="s">
        <v>1569</v>
      </c>
      <c r="E946" s="187" t="s">
        <v>1622</v>
      </c>
      <c r="F946" s="187" t="s">
        <v>1570</v>
      </c>
      <c r="G946" s="187" t="s">
        <v>1571</v>
      </c>
      <c r="H946" s="185" t="s">
        <v>193</v>
      </c>
      <c r="I946" s="186" t="s">
        <v>36</v>
      </c>
      <c r="J946" s="56"/>
      <c r="K946" s="35" t="s">
        <v>36</v>
      </c>
    </row>
    <row r="947">
      <c r="A947" s="183" t="s">
        <v>195</v>
      </c>
      <c r="B947" s="35" t="s">
        <v>2641</v>
      </c>
      <c r="C947" s="187" t="s">
        <v>1705</v>
      </c>
      <c r="D947" s="187" t="s">
        <v>1574</v>
      </c>
      <c r="E947" s="187" t="s">
        <v>1622</v>
      </c>
      <c r="F947" s="187" t="s">
        <v>1575</v>
      </c>
      <c r="G947" s="187" t="s">
        <v>1576</v>
      </c>
      <c r="H947" s="185" t="s">
        <v>193</v>
      </c>
      <c r="I947" s="186" t="s">
        <v>111</v>
      </c>
      <c r="J947" s="35" t="s">
        <v>1577</v>
      </c>
      <c r="K947" s="35" t="s">
        <v>111</v>
      </c>
    </row>
    <row r="948">
      <c r="A948" s="183" t="s">
        <v>195</v>
      </c>
      <c r="B948" s="35" t="s">
        <v>2642</v>
      </c>
      <c r="C948" s="187" t="s">
        <v>1707</v>
      </c>
      <c r="D948" s="187" t="s">
        <v>1580</v>
      </c>
      <c r="E948" s="187" t="s">
        <v>1622</v>
      </c>
      <c r="F948" s="187" t="s">
        <v>1581</v>
      </c>
      <c r="G948" s="187" t="s">
        <v>1582</v>
      </c>
      <c r="H948" s="185" t="s">
        <v>193</v>
      </c>
      <c r="I948" s="186" t="s">
        <v>36</v>
      </c>
      <c r="J948" s="56"/>
      <c r="K948" s="35" t="s">
        <v>36</v>
      </c>
    </row>
    <row r="949">
      <c r="A949" s="183" t="s">
        <v>195</v>
      </c>
      <c r="B949" s="35" t="s">
        <v>2643</v>
      </c>
      <c r="C949" s="187" t="s">
        <v>1709</v>
      </c>
      <c r="D949" s="187" t="s">
        <v>1710</v>
      </c>
      <c r="E949" s="187" t="s">
        <v>1622</v>
      </c>
      <c r="F949" s="187" t="s">
        <v>1711</v>
      </c>
      <c r="G949" s="187" t="s">
        <v>1712</v>
      </c>
      <c r="H949" s="185" t="s">
        <v>193</v>
      </c>
      <c r="I949" s="186" t="s">
        <v>36</v>
      </c>
      <c r="J949" s="56"/>
      <c r="K949" s="35" t="s">
        <v>36</v>
      </c>
    </row>
    <row r="950">
      <c r="A950" s="183" t="s">
        <v>195</v>
      </c>
      <c r="B950" s="35" t="s">
        <v>2644</v>
      </c>
      <c r="C950" s="187" t="s">
        <v>1714</v>
      </c>
      <c r="D950" s="187" t="s">
        <v>1715</v>
      </c>
      <c r="E950" s="187" t="s">
        <v>1716</v>
      </c>
      <c r="F950" s="187" t="s">
        <v>1717</v>
      </c>
      <c r="G950" s="187" t="s">
        <v>1718</v>
      </c>
      <c r="H950" s="185" t="s">
        <v>193</v>
      </c>
      <c r="I950" s="186" t="s">
        <v>36</v>
      </c>
      <c r="J950" s="56"/>
      <c r="K950" s="35" t="s">
        <v>36</v>
      </c>
    </row>
    <row r="951">
      <c r="A951" s="183" t="s">
        <v>195</v>
      </c>
      <c r="B951" s="35" t="s">
        <v>2645</v>
      </c>
      <c r="C951" s="187" t="s">
        <v>1720</v>
      </c>
      <c r="D951" s="187" t="s">
        <v>1721</v>
      </c>
      <c r="E951" s="187" t="s">
        <v>1722</v>
      </c>
      <c r="F951" s="187" t="s">
        <v>1723</v>
      </c>
      <c r="G951" s="187" t="s">
        <v>1628</v>
      </c>
      <c r="H951" s="185" t="s">
        <v>193</v>
      </c>
      <c r="I951" s="186" t="s">
        <v>36</v>
      </c>
      <c r="J951" s="56"/>
      <c r="K951" s="35" t="s">
        <v>36</v>
      </c>
    </row>
    <row r="952">
      <c r="A952" s="189" t="s">
        <v>319</v>
      </c>
      <c r="B952" s="35" t="s">
        <v>2646</v>
      </c>
      <c r="C952" s="35" t="s">
        <v>1725</v>
      </c>
      <c r="D952" s="35" t="s">
        <v>1726</v>
      </c>
      <c r="E952" s="35" t="s">
        <v>1727</v>
      </c>
      <c r="F952" s="35" t="s">
        <v>1728</v>
      </c>
      <c r="G952" s="35" t="s">
        <v>1729</v>
      </c>
      <c r="H952" s="185" t="s">
        <v>193</v>
      </c>
      <c r="I952" s="186" t="s">
        <v>36</v>
      </c>
      <c r="J952" s="56"/>
      <c r="K952" s="35" t="s">
        <v>36</v>
      </c>
    </row>
    <row r="953">
      <c r="A953" s="190" t="s">
        <v>322</v>
      </c>
      <c r="B953" s="35" t="s">
        <v>2647</v>
      </c>
      <c r="C953" s="35" t="s">
        <v>1438</v>
      </c>
      <c r="D953" s="35" t="s">
        <v>1439</v>
      </c>
      <c r="E953" s="184" t="s">
        <v>1440</v>
      </c>
      <c r="F953" s="183" t="s">
        <v>1441</v>
      </c>
      <c r="G953" s="35" t="s">
        <v>1442</v>
      </c>
      <c r="H953" s="185" t="s">
        <v>193</v>
      </c>
      <c r="I953" s="186" t="s">
        <v>36</v>
      </c>
      <c r="J953" s="56"/>
      <c r="K953" s="35" t="s">
        <v>36</v>
      </c>
    </row>
    <row r="954">
      <c r="A954" s="183" t="s">
        <v>322</v>
      </c>
      <c r="B954" s="35" t="s">
        <v>2648</v>
      </c>
      <c r="C954" s="187" t="s">
        <v>1446</v>
      </c>
      <c r="D954" s="187" t="s">
        <v>1447</v>
      </c>
      <c r="E954" s="187" t="s">
        <v>1448</v>
      </c>
      <c r="F954" s="187" t="s">
        <v>1449</v>
      </c>
      <c r="G954" s="187" t="s">
        <v>1450</v>
      </c>
      <c r="H954" s="185" t="s">
        <v>193</v>
      </c>
      <c r="I954" s="186" t="s">
        <v>36</v>
      </c>
      <c r="J954" s="56"/>
      <c r="K954" s="35" t="s">
        <v>36</v>
      </c>
    </row>
    <row r="955">
      <c r="A955" s="183" t="s">
        <v>322</v>
      </c>
      <c r="B955" s="35" t="s">
        <v>2649</v>
      </c>
      <c r="C955" s="187" t="s">
        <v>1453</v>
      </c>
      <c r="D955" s="187" t="s">
        <v>1454</v>
      </c>
      <c r="E955" s="187" t="s">
        <v>1448</v>
      </c>
      <c r="F955" s="187" t="s">
        <v>1455</v>
      </c>
      <c r="G955" s="187" t="s">
        <v>1456</v>
      </c>
      <c r="H955" s="185" t="s">
        <v>193</v>
      </c>
      <c r="I955" s="186" t="s">
        <v>111</v>
      </c>
      <c r="J955" s="35" t="s">
        <v>1733</v>
      </c>
      <c r="K955" s="35" t="s">
        <v>111</v>
      </c>
    </row>
    <row r="956">
      <c r="A956" s="183" t="s">
        <v>322</v>
      </c>
      <c r="B956" s="35" t="s">
        <v>2650</v>
      </c>
      <c r="C956" s="187" t="s">
        <v>1459</v>
      </c>
      <c r="D956" s="187" t="s">
        <v>1460</v>
      </c>
      <c r="E956" s="187" t="s">
        <v>1448</v>
      </c>
      <c r="F956" s="187" t="s">
        <v>1461</v>
      </c>
      <c r="G956" s="187" t="s">
        <v>1462</v>
      </c>
      <c r="H956" s="185" t="s">
        <v>193</v>
      </c>
      <c r="I956" s="186" t="s">
        <v>36</v>
      </c>
      <c r="J956" s="56"/>
      <c r="K956" s="35" t="s">
        <v>36</v>
      </c>
    </row>
    <row r="957">
      <c r="A957" s="183" t="s">
        <v>322</v>
      </c>
      <c r="B957" s="35" t="s">
        <v>2651</v>
      </c>
      <c r="C957" s="183" t="s">
        <v>1465</v>
      </c>
      <c r="D957" s="183" t="s">
        <v>1466</v>
      </c>
      <c r="E957" s="187" t="s">
        <v>1448</v>
      </c>
      <c r="F957" s="183" t="s">
        <v>1467</v>
      </c>
      <c r="G957" s="183" t="s">
        <v>1468</v>
      </c>
      <c r="H957" s="185" t="s">
        <v>193</v>
      </c>
      <c r="I957" s="186" t="s">
        <v>111</v>
      </c>
      <c r="J957" s="35" t="s">
        <v>1469</v>
      </c>
      <c r="K957" s="35" t="s">
        <v>111</v>
      </c>
    </row>
    <row r="958">
      <c r="A958" s="183" t="s">
        <v>322</v>
      </c>
      <c r="B958" s="35" t="s">
        <v>2652</v>
      </c>
      <c r="C958" s="183" t="s">
        <v>1471</v>
      </c>
      <c r="D958" s="183" t="s">
        <v>1472</v>
      </c>
      <c r="E958" s="187" t="s">
        <v>1448</v>
      </c>
      <c r="F958" s="183" t="s">
        <v>1473</v>
      </c>
      <c r="G958" s="183" t="s">
        <v>1474</v>
      </c>
      <c r="H958" s="185" t="s">
        <v>193</v>
      </c>
      <c r="I958" s="186" t="s">
        <v>111</v>
      </c>
      <c r="J958" s="183" t="s">
        <v>1475</v>
      </c>
      <c r="K958" s="35" t="s">
        <v>111</v>
      </c>
    </row>
    <row r="959">
      <c r="A959" s="183" t="s">
        <v>322</v>
      </c>
      <c r="B959" s="35" t="s">
        <v>2653</v>
      </c>
      <c r="C959" s="183" t="s">
        <v>1477</v>
      </c>
      <c r="D959" s="183" t="s">
        <v>1478</v>
      </c>
      <c r="E959" s="187" t="s">
        <v>1448</v>
      </c>
      <c r="F959" s="183" t="s">
        <v>1479</v>
      </c>
      <c r="G959" s="183" t="s">
        <v>1468</v>
      </c>
      <c r="H959" s="185" t="s">
        <v>193</v>
      </c>
      <c r="I959" s="186" t="s">
        <v>111</v>
      </c>
      <c r="J959" s="35" t="s">
        <v>1733</v>
      </c>
      <c r="K959" s="35" t="s">
        <v>111</v>
      </c>
    </row>
    <row r="960">
      <c r="A960" s="183" t="s">
        <v>322</v>
      </c>
      <c r="B960" s="35" t="s">
        <v>2654</v>
      </c>
      <c r="C960" s="183" t="s">
        <v>1481</v>
      </c>
      <c r="D960" s="183" t="s">
        <v>1472</v>
      </c>
      <c r="E960" s="187" t="s">
        <v>1448</v>
      </c>
      <c r="F960" s="183" t="s">
        <v>1482</v>
      </c>
      <c r="G960" s="183" t="s">
        <v>1474</v>
      </c>
      <c r="H960" s="185" t="s">
        <v>193</v>
      </c>
      <c r="I960" s="186" t="s">
        <v>111</v>
      </c>
      <c r="J960" s="35" t="s">
        <v>1733</v>
      </c>
      <c r="K960" s="35" t="s">
        <v>111</v>
      </c>
    </row>
    <row r="961">
      <c r="A961" s="183" t="s">
        <v>322</v>
      </c>
      <c r="B961" s="35" t="s">
        <v>2655</v>
      </c>
      <c r="C961" s="183" t="s">
        <v>1484</v>
      </c>
      <c r="D961" s="183" t="s">
        <v>1472</v>
      </c>
      <c r="E961" s="187" t="s">
        <v>1448</v>
      </c>
      <c r="F961" s="183" t="s">
        <v>1485</v>
      </c>
      <c r="G961" s="183" t="s">
        <v>1486</v>
      </c>
      <c r="H961" s="185" t="s">
        <v>193</v>
      </c>
      <c r="I961" s="186" t="s">
        <v>111</v>
      </c>
      <c r="J961" s="183" t="s">
        <v>1475</v>
      </c>
      <c r="K961" s="35" t="s">
        <v>111</v>
      </c>
    </row>
    <row r="962">
      <c r="A962" s="183" t="s">
        <v>322</v>
      </c>
      <c r="B962" s="35" t="s">
        <v>2656</v>
      </c>
      <c r="C962" s="187" t="s">
        <v>1488</v>
      </c>
      <c r="D962" s="187" t="s">
        <v>1489</v>
      </c>
      <c r="E962" s="187" t="s">
        <v>1490</v>
      </c>
      <c r="F962" s="187" t="s">
        <v>1491</v>
      </c>
      <c r="G962" s="187" t="s">
        <v>1492</v>
      </c>
      <c r="H962" s="185" t="s">
        <v>193</v>
      </c>
      <c r="I962" s="186" t="s">
        <v>111</v>
      </c>
      <c r="J962" s="35" t="s">
        <v>1741</v>
      </c>
      <c r="K962" s="35" t="s">
        <v>111</v>
      </c>
    </row>
    <row r="963">
      <c r="A963" s="183" t="s">
        <v>322</v>
      </c>
      <c r="B963" s="35" t="s">
        <v>2657</v>
      </c>
      <c r="C963" s="187" t="s">
        <v>1494</v>
      </c>
      <c r="D963" s="183" t="s">
        <v>1495</v>
      </c>
      <c r="E963" s="187" t="s">
        <v>1496</v>
      </c>
      <c r="F963" s="187" t="s">
        <v>1497</v>
      </c>
      <c r="G963" s="187" t="s">
        <v>1498</v>
      </c>
      <c r="H963" s="185" t="s">
        <v>193</v>
      </c>
      <c r="I963" s="186" t="s">
        <v>111</v>
      </c>
      <c r="J963" s="185" t="s">
        <v>1741</v>
      </c>
      <c r="K963" s="35" t="s">
        <v>111</v>
      </c>
    </row>
    <row r="964">
      <c r="A964" s="183" t="s">
        <v>322</v>
      </c>
      <c r="B964" s="35" t="s">
        <v>2658</v>
      </c>
      <c r="C964" s="187" t="s">
        <v>1501</v>
      </c>
      <c r="D964" s="187" t="s">
        <v>1502</v>
      </c>
      <c r="E964" s="187" t="s">
        <v>1503</v>
      </c>
      <c r="F964" s="187" t="s">
        <v>1491</v>
      </c>
      <c r="G964" s="187" t="s">
        <v>1504</v>
      </c>
      <c r="H964" s="185" t="s">
        <v>193</v>
      </c>
      <c r="I964" s="186" t="s">
        <v>36</v>
      </c>
      <c r="J964" s="56"/>
      <c r="K964" s="35" t="s">
        <v>36</v>
      </c>
    </row>
    <row r="965">
      <c r="A965" s="183" t="s">
        <v>322</v>
      </c>
      <c r="B965" s="35" t="s">
        <v>2659</v>
      </c>
      <c r="C965" s="187" t="s">
        <v>1506</v>
      </c>
      <c r="D965" s="187" t="s">
        <v>1507</v>
      </c>
      <c r="E965" s="187" t="s">
        <v>1508</v>
      </c>
      <c r="F965" s="187" t="s">
        <v>1491</v>
      </c>
      <c r="G965" s="187" t="s">
        <v>1509</v>
      </c>
      <c r="H965" s="185" t="s">
        <v>193</v>
      </c>
      <c r="I965" s="186" t="s">
        <v>36</v>
      </c>
      <c r="J965" s="56"/>
      <c r="K965" s="35" t="s">
        <v>36</v>
      </c>
    </row>
    <row r="966">
      <c r="A966" s="183" t="s">
        <v>322</v>
      </c>
      <c r="B966" s="35" t="s">
        <v>2660</v>
      </c>
      <c r="C966" s="187" t="s">
        <v>1511</v>
      </c>
      <c r="D966" s="187" t="s">
        <v>1512</v>
      </c>
      <c r="E966" s="187" t="s">
        <v>1513</v>
      </c>
      <c r="F966" s="187" t="s">
        <v>1491</v>
      </c>
      <c r="G966" s="187" t="s">
        <v>1514</v>
      </c>
      <c r="H966" s="185" t="s">
        <v>193</v>
      </c>
      <c r="I966" s="186" t="s">
        <v>111</v>
      </c>
      <c r="J966" s="185" t="s">
        <v>1741</v>
      </c>
      <c r="K966" s="35" t="s">
        <v>111</v>
      </c>
    </row>
    <row r="967">
      <c r="A967" s="183" t="s">
        <v>322</v>
      </c>
      <c r="B967" s="35" t="s">
        <v>2661</v>
      </c>
      <c r="C967" s="187" t="s">
        <v>1516</v>
      </c>
      <c r="D967" s="187" t="s">
        <v>1517</v>
      </c>
      <c r="E967" s="187" t="s">
        <v>1518</v>
      </c>
      <c r="F967" s="187" t="s">
        <v>1519</v>
      </c>
      <c r="G967" s="187" t="s">
        <v>1520</v>
      </c>
      <c r="H967" s="185" t="s">
        <v>193</v>
      </c>
      <c r="I967" s="186" t="s">
        <v>111</v>
      </c>
      <c r="J967" s="185" t="s">
        <v>1741</v>
      </c>
      <c r="K967" s="35" t="s">
        <v>111</v>
      </c>
    </row>
    <row r="968">
      <c r="A968" s="183" t="s">
        <v>322</v>
      </c>
      <c r="B968" s="35" t="s">
        <v>2662</v>
      </c>
      <c r="C968" s="187" t="s">
        <v>1523</v>
      </c>
      <c r="D968" s="187" t="s">
        <v>1524</v>
      </c>
      <c r="E968" s="187" t="s">
        <v>1525</v>
      </c>
      <c r="F968" s="187" t="s">
        <v>1526</v>
      </c>
      <c r="G968" s="187" t="s">
        <v>1527</v>
      </c>
      <c r="H968" s="185" t="s">
        <v>193</v>
      </c>
      <c r="I968" s="186" t="s">
        <v>111</v>
      </c>
      <c r="J968" s="185" t="s">
        <v>1741</v>
      </c>
      <c r="K968" s="35" t="s">
        <v>111</v>
      </c>
    </row>
    <row r="969">
      <c r="A969" s="183" t="s">
        <v>322</v>
      </c>
      <c r="B969" s="35" t="s">
        <v>2663</v>
      </c>
      <c r="C969" s="187" t="s">
        <v>1529</v>
      </c>
      <c r="D969" s="187" t="s">
        <v>1530</v>
      </c>
      <c r="E969" s="187" t="s">
        <v>1531</v>
      </c>
      <c r="F969" s="187" t="s">
        <v>1532</v>
      </c>
      <c r="G969" s="187" t="s">
        <v>1533</v>
      </c>
      <c r="H969" s="185" t="s">
        <v>193</v>
      </c>
      <c r="I969" s="186" t="s">
        <v>111</v>
      </c>
      <c r="J969" s="185" t="s">
        <v>1741</v>
      </c>
      <c r="K969" s="35" t="s">
        <v>111</v>
      </c>
    </row>
    <row r="970">
      <c r="A970" s="183" t="s">
        <v>322</v>
      </c>
      <c r="B970" s="35" t="s">
        <v>2664</v>
      </c>
      <c r="C970" s="187" t="s">
        <v>1535</v>
      </c>
      <c r="D970" s="187" t="s">
        <v>1536</v>
      </c>
      <c r="E970" s="187" t="s">
        <v>1537</v>
      </c>
      <c r="F970" s="187" t="s">
        <v>1538</v>
      </c>
      <c r="G970" s="187" t="s">
        <v>1539</v>
      </c>
      <c r="H970" s="185" t="s">
        <v>193</v>
      </c>
      <c r="I970" s="186" t="s">
        <v>111</v>
      </c>
      <c r="J970" s="185" t="s">
        <v>1741</v>
      </c>
      <c r="K970" s="35" t="s">
        <v>111</v>
      </c>
    </row>
    <row r="971">
      <c r="A971" s="183" t="s">
        <v>322</v>
      </c>
      <c r="B971" s="35" t="s">
        <v>2665</v>
      </c>
      <c r="C971" s="187" t="s">
        <v>1541</v>
      </c>
      <c r="D971" s="187" t="s">
        <v>1542</v>
      </c>
      <c r="E971" s="187" t="s">
        <v>1543</v>
      </c>
      <c r="F971" s="187" t="s">
        <v>1544</v>
      </c>
      <c r="G971" s="187" t="s">
        <v>1545</v>
      </c>
      <c r="H971" s="185" t="s">
        <v>193</v>
      </c>
      <c r="I971" s="186" t="s">
        <v>36</v>
      </c>
      <c r="J971" s="56"/>
      <c r="K971" s="35" t="s">
        <v>36</v>
      </c>
    </row>
    <row r="972">
      <c r="A972" s="183" t="s">
        <v>322</v>
      </c>
      <c r="B972" s="35" t="s">
        <v>2666</v>
      </c>
      <c r="C972" s="187" t="s">
        <v>1547</v>
      </c>
      <c r="D972" s="187" t="s">
        <v>1548</v>
      </c>
      <c r="E972" s="187" t="s">
        <v>1448</v>
      </c>
      <c r="F972" s="187" t="s">
        <v>1549</v>
      </c>
      <c r="G972" s="187" t="s">
        <v>1550</v>
      </c>
      <c r="H972" s="185" t="s">
        <v>193</v>
      </c>
      <c r="I972" s="186" t="s">
        <v>36</v>
      </c>
      <c r="J972" s="56"/>
      <c r="K972" s="35" t="s">
        <v>36</v>
      </c>
    </row>
    <row r="973">
      <c r="A973" s="183" t="s">
        <v>322</v>
      </c>
      <c r="B973" s="35" t="s">
        <v>2667</v>
      </c>
      <c r="C973" s="187" t="s">
        <v>1552</v>
      </c>
      <c r="D973" s="187" t="s">
        <v>1553</v>
      </c>
      <c r="E973" s="187" t="s">
        <v>1448</v>
      </c>
      <c r="F973" s="187" t="s">
        <v>1554</v>
      </c>
      <c r="G973" s="187" t="s">
        <v>1555</v>
      </c>
      <c r="H973" s="185" t="s">
        <v>193</v>
      </c>
      <c r="I973" s="186" t="s">
        <v>111</v>
      </c>
      <c r="J973" s="35" t="s">
        <v>1753</v>
      </c>
      <c r="K973" s="35" t="s">
        <v>111</v>
      </c>
    </row>
    <row r="974">
      <c r="A974" s="183" t="s">
        <v>322</v>
      </c>
      <c r="B974" s="35" t="s">
        <v>2668</v>
      </c>
      <c r="C974" s="187" t="s">
        <v>1558</v>
      </c>
      <c r="D974" s="187" t="s">
        <v>1559</v>
      </c>
      <c r="E974" s="187" t="s">
        <v>1448</v>
      </c>
      <c r="F974" s="187" t="s">
        <v>1560</v>
      </c>
      <c r="G974" s="187" t="s">
        <v>1561</v>
      </c>
      <c r="H974" s="185" t="s">
        <v>193</v>
      </c>
      <c r="I974" s="186" t="s">
        <v>36</v>
      </c>
      <c r="J974" s="35"/>
      <c r="K974" s="35" t="s">
        <v>36</v>
      </c>
    </row>
    <row r="975">
      <c r="A975" s="183" t="s">
        <v>322</v>
      </c>
      <c r="B975" s="35" t="s">
        <v>2669</v>
      </c>
      <c r="C975" s="187" t="s">
        <v>1563</v>
      </c>
      <c r="D975" s="187" t="s">
        <v>1564</v>
      </c>
      <c r="E975" s="187" t="s">
        <v>1448</v>
      </c>
      <c r="F975" s="187" t="s">
        <v>1565</v>
      </c>
      <c r="G975" s="187" t="s">
        <v>1566</v>
      </c>
      <c r="H975" s="185" t="s">
        <v>193</v>
      </c>
      <c r="I975" s="186" t="s">
        <v>36</v>
      </c>
      <c r="J975" s="35"/>
      <c r="K975" s="35" t="s">
        <v>36</v>
      </c>
    </row>
    <row r="976">
      <c r="A976" s="183" t="s">
        <v>322</v>
      </c>
      <c r="B976" s="35" t="s">
        <v>2670</v>
      </c>
      <c r="C976" s="187" t="s">
        <v>1568</v>
      </c>
      <c r="D976" s="187" t="s">
        <v>1569</v>
      </c>
      <c r="E976" s="187" t="s">
        <v>1448</v>
      </c>
      <c r="F976" s="187" t="s">
        <v>1570</v>
      </c>
      <c r="G976" s="187" t="s">
        <v>1571</v>
      </c>
      <c r="H976" s="185" t="s">
        <v>193</v>
      </c>
      <c r="I976" s="186" t="s">
        <v>36</v>
      </c>
      <c r="J976" s="56"/>
      <c r="K976" s="35" t="s">
        <v>36</v>
      </c>
    </row>
    <row r="977">
      <c r="A977" s="183" t="s">
        <v>322</v>
      </c>
      <c r="B977" s="35" t="s">
        <v>2671</v>
      </c>
      <c r="C977" s="187" t="s">
        <v>1573</v>
      </c>
      <c r="D977" s="187" t="s">
        <v>1574</v>
      </c>
      <c r="E977" s="187" t="s">
        <v>1448</v>
      </c>
      <c r="F977" s="187" t="s">
        <v>1575</v>
      </c>
      <c r="G977" s="187" t="s">
        <v>1576</v>
      </c>
      <c r="H977" s="185" t="s">
        <v>193</v>
      </c>
      <c r="I977" s="186" t="s">
        <v>111</v>
      </c>
      <c r="J977" s="35" t="s">
        <v>1577</v>
      </c>
      <c r="K977" s="35" t="s">
        <v>111</v>
      </c>
    </row>
    <row r="978">
      <c r="A978" s="183" t="s">
        <v>322</v>
      </c>
      <c r="B978" s="35" t="s">
        <v>2672</v>
      </c>
      <c r="C978" s="187" t="s">
        <v>1579</v>
      </c>
      <c r="D978" s="187" t="s">
        <v>1580</v>
      </c>
      <c r="E978" s="187" t="s">
        <v>1448</v>
      </c>
      <c r="F978" s="187" t="s">
        <v>1581</v>
      </c>
      <c r="G978" s="187" t="s">
        <v>1582</v>
      </c>
      <c r="H978" s="185" t="s">
        <v>193</v>
      </c>
      <c r="I978" s="186" t="s">
        <v>36</v>
      </c>
      <c r="J978" s="56"/>
      <c r="K978" s="35" t="s">
        <v>36</v>
      </c>
    </row>
    <row r="979">
      <c r="A979" s="183" t="s">
        <v>322</v>
      </c>
      <c r="B979" s="35" t="s">
        <v>2673</v>
      </c>
      <c r="C979" s="187" t="s">
        <v>1584</v>
      </c>
      <c r="D979" s="187" t="s">
        <v>1585</v>
      </c>
      <c r="E979" s="187" t="s">
        <v>1586</v>
      </c>
      <c r="F979" s="187" t="s">
        <v>1587</v>
      </c>
      <c r="G979" s="187" t="s">
        <v>1588</v>
      </c>
      <c r="H979" s="185" t="s">
        <v>193</v>
      </c>
      <c r="I979" s="186" t="s">
        <v>111</v>
      </c>
      <c r="J979" s="185" t="s">
        <v>1741</v>
      </c>
      <c r="K979" s="35" t="s">
        <v>111</v>
      </c>
    </row>
    <row r="980">
      <c r="A980" s="183" t="s">
        <v>322</v>
      </c>
      <c r="B980" s="35" t="s">
        <v>2674</v>
      </c>
      <c r="C980" s="187" t="s">
        <v>1590</v>
      </c>
      <c r="D980" s="187" t="s">
        <v>1591</v>
      </c>
      <c r="E980" s="187" t="s">
        <v>1592</v>
      </c>
      <c r="F980" s="187" t="s">
        <v>1593</v>
      </c>
      <c r="G980" s="187" t="s">
        <v>1594</v>
      </c>
      <c r="H980" s="185" t="s">
        <v>193</v>
      </c>
      <c r="I980" s="186" t="s">
        <v>111</v>
      </c>
      <c r="J980" s="185" t="s">
        <v>1741</v>
      </c>
      <c r="K980" s="35" t="s">
        <v>111</v>
      </c>
    </row>
    <row r="981">
      <c r="A981" s="183" t="s">
        <v>322</v>
      </c>
      <c r="B981" s="35" t="s">
        <v>2675</v>
      </c>
      <c r="C981" s="187" t="s">
        <v>1597</v>
      </c>
      <c r="D981" s="187" t="s">
        <v>1598</v>
      </c>
      <c r="E981" s="187" t="s">
        <v>1599</v>
      </c>
      <c r="F981" s="187" t="s">
        <v>1600</v>
      </c>
      <c r="G981" s="187" t="s">
        <v>1601</v>
      </c>
      <c r="H981" s="185" t="s">
        <v>193</v>
      </c>
      <c r="I981" s="186" t="s">
        <v>111</v>
      </c>
      <c r="J981" s="185" t="s">
        <v>1741</v>
      </c>
      <c r="K981" s="35" t="s">
        <v>111</v>
      </c>
    </row>
    <row r="982">
      <c r="A982" s="183" t="s">
        <v>322</v>
      </c>
      <c r="B982" s="35" t="s">
        <v>2676</v>
      </c>
      <c r="C982" s="187" t="s">
        <v>1603</v>
      </c>
      <c r="D982" s="187" t="s">
        <v>1604</v>
      </c>
      <c r="E982" s="187" t="s">
        <v>1605</v>
      </c>
      <c r="F982" s="187" t="s">
        <v>1606</v>
      </c>
      <c r="G982" s="187" t="s">
        <v>1607</v>
      </c>
      <c r="H982" s="185" t="s">
        <v>193</v>
      </c>
      <c r="I982" s="186" t="s">
        <v>111</v>
      </c>
      <c r="J982" s="185" t="s">
        <v>1741</v>
      </c>
      <c r="K982" s="35" t="s">
        <v>111</v>
      </c>
    </row>
    <row r="983">
      <c r="A983" s="183" t="s">
        <v>322</v>
      </c>
      <c r="B983" s="35" t="s">
        <v>2677</v>
      </c>
      <c r="C983" s="187" t="s">
        <v>1609</v>
      </c>
      <c r="D983" s="187" t="s">
        <v>1610</v>
      </c>
      <c r="E983" s="187" t="s">
        <v>1611</v>
      </c>
      <c r="F983" s="187" t="s">
        <v>1612</v>
      </c>
      <c r="G983" s="187" t="s">
        <v>1613</v>
      </c>
      <c r="H983" s="185" t="s">
        <v>193</v>
      </c>
      <c r="I983" s="186" t="s">
        <v>111</v>
      </c>
      <c r="J983" s="185" t="s">
        <v>1741</v>
      </c>
      <c r="K983" s="35" t="s">
        <v>111</v>
      </c>
    </row>
    <row r="984">
      <c r="A984" s="183" t="s">
        <v>322</v>
      </c>
      <c r="B984" s="35" t="s">
        <v>2678</v>
      </c>
      <c r="C984" s="187" t="s">
        <v>1615</v>
      </c>
      <c r="D984" s="187" t="s">
        <v>1616</v>
      </c>
      <c r="E984" s="187" t="s">
        <v>1611</v>
      </c>
      <c r="F984" s="187" t="s">
        <v>1617</v>
      </c>
      <c r="G984" s="187" t="s">
        <v>1618</v>
      </c>
      <c r="H984" s="185" t="s">
        <v>193</v>
      </c>
      <c r="I984" s="186" t="s">
        <v>111</v>
      </c>
      <c r="J984" s="185" t="s">
        <v>1741</v>
      </c>
      <c r="K984" s="35" t="s">
        <v>111</v>
      </c>
    </row>
    <row r="985">
      <c r="A985" s="183" t="s">
        <v>322</v>
      </c>
      <c r="B985" s="35" t="s">
        <v>2679</v>
      </c>
      <c r="C985" s="187" t="s">
        <v>1620</v>
      </c>
      <c r="D985" s="187" t="s">
        <v>1621</v>
      </c>
      <c r="E985" s="187" t="s">
        <v>1622</v>
      </c>
      <c r="F985" s="187" t="s">
        <v>1623</v>
      </c>
      <c r="G985" s="187" t="s">
        <v>1624</v>
      </c>
      <c r="H985" s="185" t="s">
        <v>193</v>
      </c>
      <c r="I985" s="186" t="s">
        <v>111</v>
      </c>
      <c r="J985" s="185" t="s">
        <v>1741</v>
      </c>
      <c r="K985" s="35" t="s">
        <v>111</v>
      </c>
    </row>
    <row r="986">
      <c r="A986" s="183" t="s">
        <v>322</v>
      </c>
      <c r="B986" s="35" t="s">
        <v>2680</v>
      </c>
      <c r="C986" s="187" t="s">
        <v>1626</v>
      </c>
      <c r="D986" s="187" t="s">
        <v>1627</v>
      </c>
      <c r="E986" s="187" t="s">
        <v>1622</v>
      </c>
      <c r="F986" s="187" t="s">
        <v>1549</v>
      </c>
      <c r="G986" s="187" t="s">
        <v>1628</v>
      </c>
      <c r="H986" s="185" t="s">
        <v>193</v>
      </c>
      <c r="I986" s="186" t="s">
        <v>111</v>
      </c>
      <c r="J986" s="185" t="s">
        <v>1741</v>
      </c>
      <c r="K986" s="35" t="s">
        <v>111</v>
      </c>
    </row>
    <row r="987">
      <c r="A987" s="183" t="s">
        <v>322</v>
      </c>
      <c r="B987" s="35" t="s">
        <v>2681</v>
      </c>
      <c r="C987" s="187" t="s">
        <v>1630</v>
      </c>
      <c r="D987" s="187" t="s">
        <v>1631</v>
      </c>
      <c r="E987" s="187" t="s">
        <v>1632</v>
      </c>
      <c r="F987" s="187" t="s">
        <v>1633</v>
      </c>
      <c r="G987" s="187" t="s">
        <v>1634</v>
      </c>
      <c r="H987" s="185" t="s">
        <v>193</v>
      </c>
      <c r="I987" s="186" t="s">
        <v>111</v>
      </c>
      <c r="J987" s="185" t="s">
        <v>1741</v>
      </c>
      <c r="K987" s="35" t="s">
        <v>111</v>
      </c>
    </row>
    <row r="988">
      <c r="A988" s="183" t="s">
        <v>322</v>
      </c>
      <c r="B988" s="35" t="s">
        <v>2682</v>
      </c>
      <c r="C988" s="187" t="s">
        <v>1636</v>
      </c>
      <c r="D988" s="187" t="s">
        <v>1637</v>
      </c>
      <c r="E988" s="187" t="s">
        <v>1638</v>
      </c>
      <c r="F988" s="187" t="s">
        <v>1639</v>
      </c>
      <c r="G988" s="187" t="s">
        <v>1588</v>
      </c>
      <c r="H988" s="185" t="s">
        <v>193</v>
      </c>
      <c r="I988" s="186" t="s">
        <v>111</v>
      </c>
      <c r="J988" s="185" t="s">
        <v>1741</v>
      </c>
      <c r="K988" s="35" t="s">
        <v>111</v>
      </c>
    </row>
    <row r="989">
      <c r="A989" s="183" t="s">
        <v>322</v>
      </c>
      <c r="B989" s="35" t="s">
        <v>2683</v>
      </c>
      <c r="C989" s="187" t="s">
        <v>1641</v>
      </c>
      <c r="D989" s="187" t="s">
        <v>1642</v>
      </c>
      <c r="E989" s="187" t="s">
        <v>1638</v>
      </c>
      <c r="F989" s="187" t="s">
        <v>1643</v>
      </c>
      <c r="G989" s="187" t="s">
        <v>1594</v>
      </c>
      <c r="H989" s="185" t="s">
        <v>193</v>
      </c>
      <c r="I989" s="186" t="s">
        <v>111</v>
      </c>
      <c r="J989" s="185" t="s">
        <v>1741</v>
      </c>
      <c r="K989" s="35" t="s">
        <v>111</v>
      </c>
    </row>
    <row r="990">
      <c r="A990" s="183" t="s">
        <v>322</v>
      </c>
      <c r="B990" s="35" t="s">
        <v>2684</v>
      </c>
      <c r="C990" s="187" t="s">
        <v>1645</v>
      </c>
      <c r="D990" s="187" t="s">
        <v>1646</v>
      </c>
      <c r="E990" s="187" t="s">
        <v>1638</v>
      </c>
      <c r="F990" s="187" t="s">
        <v>1647</v>
      </c>
      <c r="G990" s="187" t="s">
        <v>1601</v>
      </c>
      <c r="H990" s="185" t="s">
        <v>193</v>
      </c>
      <c r="I990" s="186" t="s">
        <v>111</v>
      </c>
      <c r="J990" s="185" t="s">
        <v>1741</v>
      </c>
      <c r="K990" s="35" t="s">
        <v>111</v>
      </c>
    </row>
    <row r="991">
      <c r="A991" s="183" t="s">
        <v>322</v>
      </c>
      <c r="B991" s="35" t="s">
        <v>2685</v>
      </c>
      <c r="C991" s="187" t="s">
        <v>1649</v>
      </c>
      <c r="D991" s="187" t="s">
        <v>1650</v>
      </c>
      <c r="E991" s="187" t="s">
        <v>1638</v>
      </c>
      <c r="F991" s="187" t="s">
        <v>1554</v>
      </c>
      <c r="G991" s="187" t="s">
        <v>1651</v>
      </c>
      <c r="H991" s="185" t="s">
        <v>193</v>
      </c>
      <c r="I991" s="186" t="s">
        <v>111</v>
      </c>
      <c r="J991" s="185" t="s">
        <v>1741</v>
      </c>
      <c r="K991" s="35" t="s">
        <v>111</v>
      </c>
    </row>
    <row r="992">
      <c r="A992" s="183" t="s">
        <v>322</v>
      </c>
      <c r="B992" s="35" t="s">
        <v>2686</v>
      </c>
      <c r="C992" s="187" t="s">
        <v>1653</v>
      </c>
      <c r="D992" s="187" t="s">
        <v>1654</v>
      </c>
      <c r="E992" s="187" t="s">
        <v>1638</v>
      </c>
      <c r="F992" s="187" t="s">
        <v>1560</v>
      </c>
      <c r="G992" s="187" t="s">
        <v>1561</v>
      </c>
      <c r="H992" s="185" t="s">
        <v>193</v>
      </c>
      <c r="I992" s="186" t="s">
        <v>111</v>
      </c>
      <c r="J992" s="185" t="s">
        <v>1741</v>
      </c>
      <c r="K992" s="35" t="s">
        <v>111</v>
      </c>
    </row>
    <row r="993">
      <c r="A993" s="183" t="s">
        <v>322</v>
      </c>
      <c r="B993" s="35" t="s">
        <v>2687</v>
      </c>
      <c r="C993" s="187" t="s">
        <v>1656</v>
      </c>
      <c r="D993" s="187" t="s">
        <v>1564</v>
      </c>
      <c r="E993" s="187" t="s">
        <v>1638</v>
      </c>
      <c r="F993" s="187" t="s">
        <v>1657</v>
      </c>
      <c r="G993" s="187" t="s">
        <v>1566</v>
      </c>
      <c r="H993" s="185" t="s">
        <v>193</v>
      </c>
      <c r="I993" s="186" t="s">
        <v>111</v>
      </c>
      <c r="J993" s="185" t="s">
        <v>1741</v>
      </c>
      <c r="K993" s="35" t="s">
        <v>111</v>
      </c>
    </row>
    <row r="994">
      <c r="A994" s="183" t="s">
        <v>322</v>
      </c>
      <c r="B994" s="35" t="s">
        <v>2688</v>
      </c>
      <c r="C994" s="187" t="s">
        <v>1659</v>
      </c>
      <c r="D994" s="187" t="s">
        <v>1569</v>
      </c>
      <c r="E994" s="187" t="s">
        <v>1638</v>
      </c>
      <c r="F994" s="187" t="s">
        <v>1570</v>
      </c>
      <c r="G994" s="187" t="s">
        <v>1571</v>
      </c>
      <c r="H994" s="185" t="s">
        <v>193</v>
      </c>
      <c r="I994" s="186" t="s">
        <v>111</v>
      </c>
      <c r="J994" s="185" t="s">
        <v>1741</v>
      </c>
      <c r="K994" s="35" t="s">
        <v>111</v>
      </c>
    </row>
    <row r="995">
      <c r="A995" s="183" t="s">
        <v>322</v>
      </c>
      <c r="B995" s="35" t="s">
        <v>2689</v>
      </c>
      <c r="C995" s="187" t="s">
        <v>1661</v>
      </c>
      <c r="D995" s="187" t="s">
        <v>1574</v>
      </c>
      <c r="E995" s="187" t="s">
        <v>1638</v>
      </c>
      <c r="F995" s="187" t="s">
        <v>1575</v>
      </c>
      <c r="G995" s="187" t="s">
        <v>1576</v>
      </c>
      <c r="H995" s="185" t="s">
        <v>193</v>
      </c>
      <c r="I995" s="186" t="s">
        <v>111</v>
      </c>
      <c r="J995" s="185" t="s">
        <v>1741</v>
      </c>
      <c r="K995" s="35" t="s">
        <v>111</v>
      </c>
    </row>
    <row r="996">
      <c r="A996" s="183" t="s">
        <v>322</v>
      </c>
      <c r="B996" s="35" t="s">
        <v>2690</v>
      </c>
      <c r="C996" s="187" t="s">
        <v>1663</v>
      </c>
      <c r="D996" s="187" t="s">
        <v>1580</v>
      </c>
      <c r="E996" s="187" t="s">
        <v>1638</v>
      </c>
      <c r="F996" s="187" t="s">
        <v>1581</v>
      </c>
      <c r="G996" s="187" t="s">
        <v>1582</v>
      </c>
      <c r="H996" s="185" t="s">
        <v>193</v>
      </c>
      <c r="I996" s="186" t="s">
        <v>111</v>
      </c>
      <c r="J996" s="185" t="s">
        <v>1741</v>
      </c>
      <c r="K996" s="35" t="s">
        <v>111</v>
      </c>
    </row>
    <row r="997">
      <c r="A997" s="183" t="s">
        <v>322</v>
      </c>
      <c r="B997" s="35" t="s">
        <v>2691</v>
      </c>
      <c r="C997" s="187" t="s">
        <v>1666</v>
      </c>
      <c r="D997" s="187" t="s">
        <v>1667</v>
      </c>
      <c r="E997" s="187" t="s">
        <v>1668</v>
      </c>
      <c r="F997" s="187" t="s">
        <v>1669</v>
      </c>
      <c r="G997" s="187" t="s">
        <v>1670</v>
      </c>
      <c r="H997" s="185" t="s">
        <v>193</v>
      </c>
      <c r="I997" s="186" t="s">
        <v>111</v>
      </c>
      <c r="J997" s="185" t="s">
        <v>1741</v>
      </c>
      <c r="K997" s="35" t="s">
        <v>111</v>
      </c>
    </row>
    <row r="998">
      <c r="A998" s="183" t="s">
        <v>322</v>
      </c>
      <c r="B998" s="35" t="s">
        <v>2692</v>
      </c>
      <c r="C998" s="187" t="s">
        <v>1672</v>
      </c>
      <c r="D998" s="187" t="s">
        <v>1673</v>
      </c>
      <c r="E998" s="187" t="s">
        <v>1674</v>
      </c>
      <c r="F998" s="187" t="s">
        <v>1675</v>
      </c>
      <c r="G998" s="187" t="s">
        <v>1676</v>
      </c>
      <c r="H998" s="185" t="s">
        <v>193</v>
      </c>
      <c r="I998" s="186" t="s">
        <v>111</v>
      </c>
      <c r="J998" s="185" t="s">
        <v>1741</v>
      </c>
      <c r="K998" s="35" t="s">
        <v>111</v>
      </c>
    </row>
    <row r="999">
      <c r="A999" s="183" t="s">
        <v>322</v>
      </c>
      <c r="B999" s="35" t="s">
        <v>2693</v>
      </c>
      <c r="C999" s="187" t="s">
        <v>1678</v>
      </c>
      <c r="D999" s="187" t="s">
        <v>1679</v>
      </c>
      <c r="E999" s="187" t="s">
        <v>1680</v>
      </c>
      <c r="F999" s="187" t="s">
        <v>1681</v>
      </c>
      <c r="G999" s="187" t="s">
        <v>1682</v>
      </c>
      <c r="H999" s="185" t="s">
        <v>193</v>
      </c>
      <c r="I999" s="186" t="s">
        <v>111</v>
      </c>
      <c r="J999" s="185" t="s">
        <v>1741</v>
      </c>
      <c r="K999" s="35" t="s">
        <v>111</v>
      </c>
    </row>
    <row r="1000">
      <c r="A1000" s="183" t="s">
        <v>322</v>
      </c>
      <c r="B1000" s="35" t="s">
        <v>2694</v>
      </c>
      <c r="C1000" s="187" t="s">
        <v>1684</v>
      </c>
      <c r="D1000" s="187" t="s">
        <v>1679</v>
      </c>
      <c r="E1000" s="187" t="s">
        <v>1680</v>
      </c>
      <c r="F1000" s="187" t="s">
        <v>1681</v>
      </c>
      <c r="G1000" s="187" t="s">
        <v>1682</v>
      </c>
      <c r="H1000" s="185" t="s">
        <v>193</v>
      </c>
      <c r="I1000" s="186" t="s">
        <v>111</v>
      </c>
      <c r="J1000" s="185" t="s">
        <v>1741</v>
      </c>
      <c r="K1000" s="35" t="s">
        <v>111</v>
      </c>
    </row>
    <row r="1001">
      <c r="A1001" s="183" t="s">
        <v>322</v>
      </c>
      <c r="B1001" s="35" t="s">
        <v>2695</v>
      </c>
      <c r="C1001" s="187" t="s">
        <v>1686</v>
      </c>
      <c r="D1001" s="187" t="s">
        <v>1687</v>
      </c>
      <c r="E1001" s="187" t="s">
        <v>1688</v>
      </c>
      <c r="F1001" s="187" t="s">
        <v>1689</v>
      </c>
      <c r="G1001" s="187" t="s">
        <v>1690</v>
      </c>
      <c r="H1001" s="185" t="s">
        <v>193</v>
      </c>
      <c r="I1001" s="186" t="s">
        <v>111</v>
      </c>
      <c r="J1001" s="185" t="s">
        <v>1741</v>
      </c>
      <c r="K1001" s="35" t="s">
        <v>111</v>
      </c>
    </row>
    <row r="1002">
      <c r="A1002" s="183" t="s">
        <v>322</v>
      </c>
      <c r="B1002" s="35" t="s">
        <v>2696</v>
      </c>
      <c r="C1002" s="187" t="s">
        <v>1692</v>
      </c>
      <c r="D1002" s="187" t="s">
        <v>1693</v>
      </c>
      <c r="E1002" s="187" t="s">
        <v>1694</v>
      </c>
      <c r="F1002" s="187" t="s">
        <v>1554</v>
      </c>
      <c r="G1002" s="187" t="s">
        <v>1555</v>
      </c>
      <c r="H1002" s="185" t="s">
        <v>193</v>
      </c>
      <c r="I1002" s="186" t="s">
        <v>111</v>
      </c>
      <c r="J1002" s="185" t="s">
        <v>1741</v>
      </c>
      <c r="K1002" s="35" t="s">
        <v>111</v>
      </c>
    </row>
    <row r="1003">
      <c r="A1003" s="183" t="s">
        <v>322</v>
      </c>
      <c r="B1003" s="35" t="s">
        <v>2697</v>
      </c>
      <c r="C1003" s="187" t="s">
        <v>1696</v>
      </c>
      <c r="D1003" s="187" t="s">
        <v>1564</v>
      </c>
      <c r="E1003" s="187" t="s">
        <v>1697</v>
      </c>
      <c r="F1003" s="187" t="s">
        <v>1657</v>
      </c>
      <c r="G1003" s="187" t="s">
        <v>1566</v>
      </c>
      <c r="H1003" s="185" t="s">
        <v>193</v>
      </c>
      <c r="I1003" s="186" t="s">
        <v>111</v>
      </c>
      <c r="J1003" s="185" t="s">
        <v>1741</v>
      </c>
      <c r="K1003" s="35" t="s">
        <v>111</v>
      </c>
    </row>
    <row r="1004">
      <c r="A1004" s="183" t="s">
        <v>322</v>
      </c>
      <c r="B1004" s="35" t="s">
        <v>2698</v>
      </c>
      <c r="C1004" s="187" t="s">
        <v>1699</v>
      </c>
      <c r="D1004" s="187" t="s">
        <v>1700</v>
      </c>
      <c r="E1004" s="187" t="s">
        <v>1701</v>
      </c>
      <c r="F1004" s="187" t="s">
        <v>1560</v>
      </c>
      <c r="G1004" s="187" t="s">
        <v>1561</v>
      </c>
      <c r="H1004" s="185" t="s">
        <v>193</v>
      </c>
      <c r="I1004" s="186" t="s">
        <v>111</v>
      </c>
      <c r="J1004" s="185" t="s">
        <v>1741</v>
      </c>
      <c r="K1004" s="35" t="s">
        <v>111</v>
      </c>
    </row>
    <row r="1005">
      <c r="A1005" s="183" t="s">
        <v>322</v>
      </c>
      <c r="B1005" s="35" t="s">
        <v>2699</v>
      </c>
      <c r="C1005" s="187" t="s">
        <v>1703</v>
      </c>
      <c r="D1005" s="187" t="s">
        <v>1569</v>
      </c>
      <c r="E1005" s="187" t="s">
        <v>1622</v>
      </c>
      <c r="F1005" s="187" t="s">
        <v>1570</v>
      </c>
      <c r="G1005" s="187" t="s">
        <v>1571</v>
      </c>
      <c r="H1005" s="185" t="s">
        <v>193</v>
      </c>
      <c r="I1005" s="186" t="s">
        <v>111</v>
      </c>
      <c r="J1005" s="185" t="s">
        <v>1741</v>
      </c>
      <c r="K1005" s="35" t="s">
        <v>111</v>
      </c>
    </row>
    <row r="1006">
      <c r="A1006" s="183" t="s">
        <v>322</v>
      </c>
      <c r="B1006" s="35" t="s">
        <v>2700</v>
      </c>
      <c r="C1006" s="187" t="s">
        <v>1705</v>
      </c>
      <c r="D1006" s="187" t="s">
        <v>1574</v>
      </c>
      <c r="E1006" s="187" t="s">
        <v>1622</v>
      </c>
      <c r="F1006" s="187" t="s">
        <v>1575</v>
      </c>
      <c r="G1006" s="187" t="s">
        <v>1576</v>
      </c>
      <c r="H1006" s="185" t="s">
        <v>193</v>
      </c>
      <c r="I1006" s="186" t="s">
        <v>111</v>
      </c>
      <c r="J1006" s="185" t="s">
        <v>1741</v>
      </c>
      <c r="K1006" s="35" t="s">
        <v>111</v>
      </c>
    </row>
    <row r="1007">
      <c r="A1007" s="183" t="s">
        <v>322</v>
      </c>
      <c r="B1007" s="35" t="s">
        <v>2701</v>
      </c>
      <c r="C1007" s="187" t="s">
        <v>1707</v>
      </c>
      <c r="D1007" s="187" t="s">
        <v>1580</v>
      </c>
      <c r="E1007" s="187" t="s">
        <v>1622</v>
      </c>
      <c r="F1007" s="187" t="s">
        <v>1581</v>
      </c>
      <c r="G1007" s="187" t="s">
        <v>1582</v>
      </c>
      <c r="H1007" s="185" t="s">
        <v>193</v>
      </c>
      <c r="I1007" s="186" t="s">
        <v>111</v>
      </c>
      <c r="J1007" s="185" t="s">
        <v>1741</v>
      </c>
      <c r="K1007" s="35" t="s">
        <v>111</v>
      </c>
    </row>
    <row r="1008">
      <c r="A1008" s="183" t="s">
        <v>322</v>
      </c>
      <c r="B1008" s="35" t="s">
        <v>2702</v>
      </c>
      <c r="C1008" s="187" t="s">
        <v>1709</v>
      </c>
      <c r="D1008" s="187" t="s">
        <v>1710</v>
      </c>
      <c r="E1008" s="187" t="s">
        <v>1622</v>
      </c>
      <c r="F1008" s="187" t="s">
        <v>1711</v>
      </c>
      <c r="G1008" s="187" t="s">
        <v>1712</v>
      </c>
      <c r="H1008" s="185" t="s">
        <v>193</v>
      </c>
      <c r="I1008" s="186" t="s">
        <v>111</v>
      </c>
      <c r="J1008" s="185" t="s">
        <v>1741</v>
      </c>
      <c r="K1008" s="35" t="s">
        <v>111</v>
      </c>
    </row>
    <row r="1009">
      <c r="A1009" s="183" t="s">
        <v>322</v>
      </c>
      <c r="B1009" s="35" t="s">
        <v>2703</v>
      </c>
      <c r="C1009" s="187" t="s">
        <v>1714</v>
      </c>
      <c r="D1009" s="187" t="s">
        <v>1715</v>
      </c>
      <c r="E1009" s="187" t="s">
        <v>1716</v>
      </c>
      <c r="F1009" s="187" t="s">
        <v>1717</v>
      </c>
      <c r="G1009" s="187" t="s">
        <v>1718</v>
      </c>
      <c r="H1009" s="185" t="s">
        <v>193</v>
      </c>
      <c r="I1009" s="186" t="s">
        <v>111</v>
      </c>
      <c r="J1009" s="185" t="s">
        <v>1741</v>
      </c>
      <c r="K1009" s="35" t="s">
        <v>111</v>
      </c>
    </row>
    <row r="1010">
      <c r="A1010" s="183" t="s">
        <v>322</v>
      </c>
      <c r="B1010" s="35" t="s">
        <v>2704</v>
      </c>
      <c r="C1010" s="187" t="s">
        <v>1720</v>
      </c>
      <c r="D1010" s="187" t="s">
        <v>1721</v>
      </c>
      <c r="E1010" s="187" t="s">
        <v>1722</v>
      </c>
      <c r="F1010" s="187" t="s">
        <v>1723</v>
      </c>
      <c r="G1010" s="187" t="s">
        <v>1628</v>
      </c>
      <c r="H1010" s="185" t="s">
        <v>193</v>
      </c>
      <c r="I1010" s="186" t="s">
        <v>111</v>
      </c>
      <c r="J1010" s="185" t="s">
        <v>1741</v>
      </c>
      <c r="K1010" s="35" t="s">
        <v>111</v>
      </c>
    </row>
    <row r="1011">
      <c r="A1011" s="183" t="s">
        <v>322</v>
      </c>
      <c r="B1011" s="35" t="s">
        <v>2705</v>
      </c>
      <c r="C1011" s="35" t="s">
        <v>1725</v>
      </c>
      <c r="D1011" s="35" t="s">
        <v>1726</v>
      </c>
      <c r="E1011" s="35" t="s">
        <v>1727</v>
      </c>
      <c r="F1011" s="35" t="s">
        <v>1728</v>
      </c>
      <c r="G1011" s="35" t="s">
        <v>1729</v>
      </c>
      <c r="H1011" s="185" t="s">
        <v>193</v>
      </c>
      <c r="I1011" s="186" t="s">
        <v>111</v>
      </c>
      <c r="J1011" s="185" t="s">
        <v>1741</v>
      </c>
      <c r="K1011" s="35" t="s">
        <v>111</v>
      </c>
    </row>
    <row r="1012">
      <c r="A1012" s="183" t="s">
        <v>355</v>
      </c>
      <c r="B1012" s="35" t="s">
        <v>2706</v>
      </c>
      <c r="C1012" s="35" t="s">
        <v>1438</v>
      </c>
      <c r="D1012" s="35" t="s">
        <v>1439</v>
      </c>
      <c r="E1012" s="184" t="s">
        <v>1440</v>
      </c>
      <c r="F1012" s="183" t="s">
        <v>1441</v>
      </c>
      <c r="G1012" s="35" t="s">
        <v>1442</v>
      </c>
      <c r="H1012" s="185" t="s">
        <v>193</v>
      </c>
      <c r="I1012" s="186" t="s">
        <v>36</v>
      </c>
      <c r="J1012" s="56"/>
      <c r="K1012" s="35" t="s">
        <v>36</v>
      </c>
    </row>
    <row r="1013">
      <c r="A1013" s="183" t="s">
        <v>355</v>
      </c>
      <c r="B1013" s="35" t="s">
        <v>2707</v>
      </c>
      <c r="C1013" s="187" t="s">
        <v>1446</v>
      </c>
      <c r="D1013" s="187" t="s">
        <v>1447</v>
      </c>
      <c r="E1013" s="187" t="s">
        <v>1448</v>
      </c>
      <c r="F1013" s="187" t="s">
        <v>1449</v>
      </c>
      <c r="G1013" s="187" t="s">
        <v>1450</v>
      </c>
      <c r="H1013" s="185" t="s">
        <v>193</v>
      </c>
      <c r="I1013" s="186" t="s">
        <v>36</v>
      </c>
      <c r="J1013" s="56"/>
      <c r="K1013" s="35" t="s">
        <v>36</v>
      </c>
    </row>
    <row r="1014">
      <c r="A1014" s="183" t="s">
        <v>355</v>
      </c>
      <c r="B1014" s="35" t="s">
        <v>2708</v>
      </c>
      <c r="C1014" s="187" t="s">
        <v>1453</v>
      </c>
      <c r="D1014" s="187" t="s">
        <v>1454</v>
      </c>
      <c r="E1014" s="187" t="s">
        <v>1448</v>
      </c>
      <c r="F1014" s="187" t="s">
        <v>1455</v>
      </c>
      <c r="G1014" s="187" t="s">
        <v>1456</v>
      </c>
      <c r="H1014" s="185" t="s">
        <v>193</v>
      </c>
      <c r="I1014" s="186" t="s">
        <v>36</v>
      </c>
      <c r="J1014" s="56"/>
      <c r="K1014" s="35" t="s">
        <v>36</v>
      </c>
    </row>
    <row r="1015">
      <c r="A1015" s="183" t="s">
        <v>355</v>
      </c>
      <c r="B1015" s="35" t="s">
        <v>2709</v>
      </c>
      <c r="C1015" s="187" t="s">
        <v>1459</v>
      </c>
      <c r="D1015" s="187" t="s">
        <v>1460</v>
      </c>
      <c r="E1015" s="187" t="s">
        <v>1448</v>
      </c>
      <c r="F1015" s="187" t="s">
        <v>1461</v>
      </c>
      <c r="G1015" s="187" t="s">
        <v>1462</v>
      </c>
      <c r="H1015" s="185" t="s">
        <v>193</v>
      </c>
      <c r="I1015" s="186" t="s">
        <v>36</v>
      </c>
      <c r="J1015" s="56"/>
      <c r="K1015" s="35" t="s">
        <v>36</v>
      </c>
    </row>
    <row r="1016">
      <c r="A1016" s="183" t="s">
        <v>355</v>
      </c>
      <c r="B1016" s="35" t="s">
        <v>2710</v>
      </c>
      <c r="C1016" s="183" t="s">
        <v>1465</v>
      </c>
      <c r="D1016" s="183" t="s">
        <v>1466</v>
      </c>
      <c r="E1016" s="187" t="s">
        <v>1448</v>
      </c>
      <c r="F1016" s="183" t="s">
        <v>1467</v>
      </c>
      <c r="G1016" s="183" t="s">
        <v>1468</v>
      </c>
      <c r="H1016" s="185" t="s">
        <v>193</v>
      </c>
      <c r="I1016" s="186" t="s">
        <v>111</v>
      </c>
      <c r="J1016" s="35" t="s">
        <v>1469</v>
      </c>
      <c r="K1016" s="35" t="s">
        <v>111</v>
      </c>
    </row>
    <row r="1017">
      <c r="A1017" s="183" t="s">
        <v>355</v>
      </c>
      <c r="B1017" s="35" t="s">
        <v>2711</v>
      </c>
      <c r="C1017" s="183" t="s">
        <v>1471</v>
      </c>
      <c r="D1017" s="183" t="s">
        <v>1472</v>
      </c>
      <c r="E1017" s="187" t="s">
        <v>1448</v>
      </c>
      <c r="F1017" s="183" t="s">
        <v>1473</v>
      </c>
      <c r="G1017" s="183" t="s">
        <v>1474</v>
      </c>
      <c r="H1017" s="185" t="s">
        <v>193</v>
      </c>
      <c r="I1017" s="186" t="s">
        <v>111</v>
      </c>
      <c r="J1017" s="35" t="s">
        <v>1475</v>
      </c>
      <c r="K1017" s="35" t="s">
        <v>111</v>
      </c>
    </row>
    <row r="1018">
      <c r="A1018" s="183" t="s">
        <v>355</v>
      </c>
      <c r="B1018" s="35" t="s">
        <v>2712</v>
      </c>
      <c r="C1018" s="183" t="s">
        <v>1477</v>
      </c>
      <c r="D1018" s="183" t="s">
        <v>1478</v>
      </c>
      <c r="E1018" s="187" t="s">
        <v>1448</v>
      </c>
      <c r="F1018" s="183" t="s">
        <v>1479</v>
      </c>
      <c r="G1018" s="183" t="s">
        <v>1468</v>
      </c>
      <c r="H1018" s="185" t="s">
        <v>193</v>
      </c>
      <c r="I1018" s="186" t="s">
        <v>111</v>
      </c>
      <c r="J1018" s="35" t="s">
        <v>1469</v>
      </c>
      <c r="K1018" s="35" t="s">
        <v>111</v>
      </c>
    </row>
    <row r="1019">
      <c r="A1019" s="183" t="s">
        <v>355</v>
      </c>
      <c r="B1019" s="35" t="s">
        <v>2713</v>
      </c>
      <c r="C1019" s="183" t="s">
        <v>1481</v>
      </c>
      <c r="D1019" s="183" t="s">
        <v>1472</v>
      </c>
      <c r="E1019" s="187" t="s">
        <v>1448</v>
      </c>
      <c r="F1019" s="183" t="s">
        <v>1482</v>
      </c>
      <c r="G1019" s="183" t="s">
        <v>1474</v>
      </c>
      <c r="H1019" s="185" t="s">
        <v>193</v>
      </c>
      <c r="I1019" s="186" t="s">
        <v>111</v>
      </c>
      <c r="J1019" s="183" t="s">
        <v>1475</v>
      </c>
      <c r="K1019" s="35" t="s">
        <v>111</v>
      </c>
    </row>
    <row r="1020">
      <c r="A1020" s="183" t="s">
        <v>355</v>
      </c>
      <c r="B1020" s="35" t="s">
        <v>2714</v>
      </c>
      <c r="C1020" s="183" t="s">
        <v>1484</v>
      </c>
      <c r="D1020" s="183" t="s">
        <v>1472</v>
      </c>
      <c r="E1020" s="187" t="s">
        <v>1448</v>
      </c>
      <c r="F1020" s="183" t="s">
        <v>1485</v>
      </c>
      <c r="G1020" s="183" t="s">
        <v>1486</v>
      </c>
      <c r="H1020" s="185" t="s">
        <v>193</v>
      </c>
      <c r="I1020" s="186" t="s">
        <v>111</v>
      </c>
      <c r="J1020" s="183" t="s">
        <v>1475</v>
      </c>
      <c r="K1020" s="35" t="s">
        <v>111</v>
      </c>
    </row>
    <row r="1021">
      <c r="A1021" s="183" t="s">
        <v>355</v>
      </c>
      <c r="B1021" s="35" t="s">
        <v>2715</v>
      </c>
      <c r="C1021" s="187" t="s">
        <v>1488</v>
      </c>
      <c r="D1021" s="187" t="s">
        <v>1489</v>
      </c>
      <c r="E1021" s="187" t="s">
        <v>1490</v>
      </c>
      <c r="F1021" s="187" t="s">
        <v>1491</v>
      </c>
      <c r="G1021" s="187" t="s">
        <v>1492</v>
      </c>
      <c r="H1021" s="185" t="s">
        <v>193</v>
      </c>
      <c r="I1021" s="186" t="s">
        <v>36</v>
      </c>
      <c r="J1021" s="56"/>
      <c r="K1021" s="35" t="s">
        <v>36</v>
      </c>
    </row>
    <row r="1022">
      <c r="A1022" s="183" t="s">
        <v>355</v>
      </c>
      <c r="B1022" s="35" t="s">
        <v>2716</v>
      </c>
      <c r="C1022" s="187" t="s">
        <v>1494</v>
      </c>
      <c r="D1022" s="183" t="s">
        <v>1495</v>
      </c>
      <c r="E1022" s="187" t="s">
        <v>1496</v>
      </c>
      <c r="F1022" s="187" t="s">
        <v>1497</v>
      </c>
      <c r="G1022" s="187" t="s">
        <v>1498</v>
      </c>
      <c r="H1022" s="185" t="s">
        <v>193</v>
      </c>
      <c r="I1022" s="186" t="s">
        <v>111</v>
      </c>
      <c r="J1022" s="35" t="s">
        <v>1499</v>
      </c>
      <c r="K1022" s="35" t="s">
        <v>111</v>
      </c>
    </row>
    <row r="1023">
      <c r="A1023" s="183" t="s">
        <v>355</v>
      </c>
      <c r="B1023" s="35" t="s">
        <v>2717</v>
      </c>
      <c r="C1023" s="187" t="s">
        <v>1501</v>
      </c>
      <c r="D1023" s="187" t="s">
        <v>1502</v>
      </c>
      <c r="E1023" s="187" t="s">
        <v>1503</v>
      </c>
      <c r="F1023" s="187" t="s">
        <v>1491</v>
      </c>
      <c r="G1023" s="187" t="s">
        <v>1504</v>
      </c>
      <c r="H1023" s="185" t="s">
        <v>193</v>
      </c>
      <c r="I1023" s="186" t="s">
        <v>36</v>
      </c>
      <c r="J1023" s="56"/>
      <c r="K1023" s="35" t="s">
        <v>36</v>
      </c>
    </row>
    <row r="1024">
      <c r="A1024" s="183" t="s">
        <v>355</v>
      </c>
      <c r="B1024" s="35" t="s">
        <v>2718</v>
      </c>
      <c r="C1024" s="187" t="s">
        <v>1506</v>
      </c>
      <c r="D1024" s="187" t="s">
        <v>1507</v>
      </c>
      <c r="E1024" s="187" t="s">
        <v>1508</v>
      </c>
      <c r="F1024" s="187" t="s">
        <v>1491</v>
      </c>
      <c r="G1024" s="187" t="s">
        <v>1509</v>
      </c>
      <c r="H1024" s="185" t="s">
        <v>193</v>
      </c>
      <c r="I1024" s="186" t="s">
        <v>36</v>
      </c>
      <c r="J1024" s="56"/>
      <c r="K1024" s="35" t="s">
        <v>36</v>
      </c>
    </row>
    <row r="1025">
      <c r="A1025" s="183" t="s">
        <v>355</v>
      </c>
      <c r="B1025" s="35" t="s">
        <v>2719</v>
      </c>
      <c r="C1025" s="187" t="s">
        <v>1511</v>
      </c>
      <c r="D1025" s="187" t="s">
        <v>1512</v>
      </c>
      <c r="E1025" s="187" t="s">
        <v>1513</v>
      </c>
      <c r="F1025" s="187" t="s">
        <v>1491</v>
      </c>
      <c r="G1025" s="187" t="s">
        <v>1514</v>
      </c>
      <c r="H1025" s="185" t="s">
        <v>193</v>
      </c>
      <c r="I1025" s="186" t="s">
        <v>36</v>
      </c>
      <c r="J1025" s="56"/>
      <c r="K1025" s="35" t="s">
        <v>36</v>
      </c>
    </row>
    <row r="1026">
      <c r="A1026" s="183" t="s">
        <v>355</v>
      </c>
      <c r="B1026" s="35" t="s">
        <v>2720</v>
      </c>
      <c r="C1026" s="187" t="s">
        <v>1516</v>
      </c>
      <c r="D1026" s="187" t="s">
        <v>1517</v>
      </c>
      <c r="E1026" s="187" t="s">
        <v>1518</v>
      </c>
      <c r="F1026" s="187" t="s">
        <v>1519</v>
      </c>
      <c r="G1026" s="187" t="s">
        <v>1520</v>
      </c>
      <c r="H1026" s="185" t="s">
        <v>193</v>
      </c>
      <c r="I1026" s="186" t="s">
        <v>111</v>
      </c>
      <c r="J1026" s="35" t="s">
        <v>1521</v>
      </c>
      <c r="K1026" s="35" t="s">
        <v>111</v>
      </c>
    </row>
    <row r="1027">
      <c r="A1027" s="183" t="s">
        <v>355</v>
      </c>
      <c r="B1027" s="35" t="s">
        <v>2721</v>
      </c>
      <c r="C1027" s="187" t="s">
        <v>1523</v>
      </c>
      <c r="D1027" s="187" t="s">
        <v>1524</v>
      </c>
      <c r="E1027" s="187" t="s">
        <v>1525</v>
      </c>
      <c r="F1027" s="187" t="s">
        <v>1526</v>
      </c>
      <c r="G1027" s="187" t="s">
        <v>1527</v>
      </c>
      <c r="H1027" s="185" t="s">
        <v>193</v>
      </c>
      <c r="I1027" s="186" t="s">
        <v>111</v>
      </c>
      <c r="J1027" s="35" t="s">
        <v>1521</v>
      </c>
      <c r="K1027" s="35" t="s">
        <v>111</v>
      </c>
    </row>
    <row r="1028">
      <c r="A1028" s="183" t="s">
        <v>355</v>
      </c>
      <c r="B1028" s="35" t="s">
        <v>2722</v>
      </c>
      <c r="C1028" s="187" t="s">
        <v>1529</v>
      </c>
      <c r="D1028" s="187" t="s">
        <v>1530</v>
      </c>
      <c r="E1028" s="187" t="s">
        <v>1531</v>
      </c>
      <c r="F1028" s="187" t="s">
        <v>1532</v>
      </c>
      <c r="G1028" s="187" t="s">
        <v>1533</v>
      </c>
      <c r="H1028" s="185" t="s">
        <v>193</v>
      </c>
      <c r="I1028" s="186" t="s">
        <v>111</v>
      </c>
      <c r="J1028" s="35" t="s">
        <v>1521</v>
      </c>
      <c r="K1028" s="35" t="s">
        <v>111</v>
      </c>
    </row>
    <row r="1029">
      <c r="A1029" s="183" t="s">
        <v>355</v>
      </c>
      <c r="B1029" s="35" t="s">
        <v>2723</v>
      </c>
      <c r="C1029" s="187" t="s">
        <v>1535</v>
      </c>
      <c r="D1029" s="187" t="s">
        <v>1536</v>
      </c>
      <c r="E1029" s="187" t="s">
        <v>1537</v>
      </c>
      <c r="F1029" s="187" t="s">
        <v>1538</v>
      </c>
      <c r="G1029" s="187" t="s">
        <v>1539</v>
      </c>
      <c r="H1029" s="185" t="s">
        <v>193</v>
      </c>
      <c r="I1029" s="186" t="s">
        <v>111</v>
      </c>
      <c r="J1029" s="35" t="s">
        <v>1521</v>
      </c>
      <c r="K1029" s="35" t="s">
        <v>111</v>
      </c>
    </row>
    <row r="1030">
      <c r="A1030" s="183" t="s">
        <v>355</v>
      </c>
      <c r="B1030" s="35" t="s">
        <v>2724</v>
      </c>
      <c r="C1030" s="187" t="s">
        <v>1541</v>
      </c>
      <c r="D1030" s="187" t="s">
        <v>1542</v>
      </c>
      <c r="E1030" s="187" t="s">
        <v>1543</v>
      </c>
      <c r="F1030" s="187" t="s">
        <v>1544</v>
      </c>
      <c r="G1030" s="187" t="s">
        <v>1545</v>
      </c>
      <c r="H1030" s="185" t="s">
        <v>193</v>
      </c>
      <c r="I1030" s="186" t="s">
        <v>36</v>
      </c>
      <c r="J1030" s="56"/>
      <c r="K1030" s="35" t="s">
        <v>36</v>
      </c>
    </row>
    <row r="1031">
      <c r="A1031" s="183" t="s">
        <v>355</v>
      </c>
      <c r="B1031" s="35" t="s">
        <v>2725</v>
      </c>
      <c r="C1031" s="187" t="s">
        <v>1547</v>
      </c>
      <c r="D1031" s="187" t="s">
        <v>1548</v>
      </c>
      <c r="E1031" s="187" t="s">
        <v>1448</v>
      </c>
      <c r="F1031" s="187" t="s">
        <v>1549</v>
      </c>
      <c r="G1031" s="187" t="s">
        <v>1550</v>
      </c>
      <c r="H1031" s="185" t="s">
        <v>193</v>
      </c>
      <c r="I1031" s="186" t="s">
        <v>111</v>
      </c>
      <c r="J1031" s="56"/>
      <c r="K1031" s="35" t="s">
        <v>111</v>
      </c>
    </row>
    <row r="1032">
      <c r="A1032" s="183" t="s">
        <v>355</v>
      </c>
      <c r="B1032" s="35" t="s">
        <v>2726</v>
      </c>
      <c r="C1032" s="187" t="s">
        <v>1552</v>
      </c>
      <c r="D1032" s="187" t="s">
        <v>1553</v>
      </c>
      <c r="E1032" s="187" t="s">
        <v>1448</v>
      </c>
      <c r="F1032" s="187" t="s">
        <v>1554</v>
      </c>
      <c r="G1032" s="187" t="s">
        <v>1555</v>
      </c>
      <c r="H1032" s="185" t="s">
        <v>193</v>
      </c>
      <c r="I1032" s="186" t="s">
        <v>111</v>
      </c>
      <c r="J1032" s="35" t="s">
        <v>1556</v>
      </c>
      <c r="K1032" s="35" t="s">
        <v>111</v>
      </c>
    </row>
    <row r="1033">
      <c r="A1033" s="183" t="s">
        <v>355</v>
      </c>
      <c r="B1033" s="35" t="s">
        <v>2727</v>
      </c>
      <c r="C1033" s="187" t="s">
        <v>1558</v>
      </c>
      <c r="D1033" s="187" t="s">
        <v>1559</v>
      </c>
      <c r="E1033" s="187" t="s">
        <v>1448</v>
      </c>
      <c r="F1033" s="187" t="s">
        <v>1560</v>
      </c>
      <c r="G1033" s="187" t="s">
        <v>1561</v>
      </c>
      <c r="H1033" s="185" t="s">
        <v>193</v>
      </c>
      <c r="I1033" s="186" t="s">
        <v>36</v>
      </c>
      <c r="J1033" s="35"/>
      <c r="K1033" s="35" t="s">
        <v>36</v>
      </c>
    </row>
    <row r="1034">
      <c r="A1034" s="183" t="s">
        <v>355</v>
      </c>
      <c r="B1034" s="35" t="s">
        <v>2728</v>
      </c>
      <c r="C1034" s="187" t="s">
        <v>1563</v>
      </c>
      <c r="D1034" s="187" t="s">
        <v>1564</v>
      </c>
      <c r="E1034" s="187" t="s">
        <v>1448</v>
      </c>
      <c r="F1034" s="187" t="s">
        <v>1565</v>
      </c>
      <c r="G1034" s="187" t="s">
        <v>1566</v>
      </c>
      <c r="H1034" s="185" t="s">
        <v>193</v>
      </c>
      <c r="I1034" s="186" t="s">
        <v>36</v>
      </c>
      <c r="J1034" s="35"/>
      <c r="K1034" s="35" t="s">
        <v>36</v>
      </c>
    </row>
    <row r="1035">
      <c r="A1035" s="183" t="s">
        <v>355</v>
      </c>
      <c r="B1035" s="35" t="s">
        <v>2729</v>
      </c>
      <c r="C1035" s="187" t="s">
        <v>1568</v>
      </c>
      <c r="D1035" s="187" t="s">
        <v>1569</v>
      </c>
      <c r="E1035" s="187" t="s">
        <v>1448</v>
      </c>
      <c r="F1035" s="187" t="s">
        <v>1570</v>
      </c>
      <c r="G1035" s="187" t="s">
        <v>1571</v>
      </c>
      <c r="H1035" s="185" t="s">
        <v>193</v>
      </c>
      <c r="I1035" s="186" t="s">
        <v>36</v>
      </c>
      <c r="J1035" s="56"/>
      <c r="K1035" s="35" t="s">
        <v>36</v>
      </c>
    </row>
    <row r="1036">
      <c r="A1036" s="183" t="s">
        <v>355</v>
      </c>
      <c r="B1036" s="35" t="s">
        <v>2730</v>
      </c>
      <c r="C1036" s="187" t="s">
        <v>1573</v>
      </c>
      <c r="D1036" s="187" t="s">
        <v>1574</v>
      </c>
      <c r="E1036" s="187" t="s">
        <v>1448</v>
      </c>
      <c r="F1036" s="187" t="s">
        <v>1575</v>
      </c>
      <c r="G1036" s="187" t="s">
        <v>1576</v>
      </c>
      <c r="H1036" s="185" t="s">
        <v>193</v>
      </c>
      <c r="I1036" s="186" t="s">
        <v>111</v>
      </c>
      <c r="J1036" s="35" t="s">
        <v>1577</v>
      </c>
      <c r="K1036" s="35" t="s">
        <v>111</v>
      </c>
    </row>
    <row r="1037">
      <c r="A1037" s="183" t="s">
        <v>355</v>
      </c>
      <c r="B1037" s="35" t="s">
        <v>2731</v>
      </c>
      <c r="C1037" s="187" t="s">
        <v>1579</v>
      </c>
      <c r="D1037" s="187" t="s">
        <v>1580</v>
      </c>
      <c r="E1037" s="187" t="s">
        <v>1448</v>
      </c>
      <c r="F1037" s="187" t="s">
        <v>1581</v>
      </c>
      <c r="G1037" s="187" t="s">
        <v>1582</v>
      </c>
      <c r="H1037" s="185" t="s">
        <v>193</v>
      </c>
      <c r="I1037" s="186" t="s">
        <v>36</v>
      </c>
      <c r="J1037" s="56"/>
      <c r="K1037" s="35" t="s">
        <v>36</v>
      </c>
    </row>
    <row r="1038">
      <c r="A1038" s="183" t="s">
        <v>355</v>
      </c>
      <c r="B1038" s="35" t="s">
        <v>2732</v>
      </c>
      <c r="C1038" s="187" t="s">
        <v>1584</v>
      </c>
      <c r="D1038" s="187" t="s">
        <v>1585</v>
      </c>
      <c r="E1038" s="187" t="s">
        <v>1586</v>
      </c>
      <c r="F1038" s="187" t="s">
        <v>1587</v>
      </c>
      <c r="G1038" s="187" t="s">
        <v>1588</v>
      </c>
      <c r="H1038" s="185" t="s">
        <v>193</v>
      </c>
      <c r="I1038" s="186" t="s">
        <v>36</v>
      </c>
      <c r="J1038" s="56"/>
      <c r="K1038" s="35" t="s">
        <v>36</v>
      </c>
    </row>
    <row r="1039">
      <c r="A1039" s="183" t="s">
        <v>355</v>
      </c>
      <c r="B1039" s="35" t="s">
        <v>2733</v>
      </c>
      <c r="C1039" s="187" t="s">
        <v>1590</v>
      </c>
      <c r="D1039" s="187" t="s">
        <v>1591</v>
      </c>
      <c r="E1039" s="187" t="s">
        <v>1592</v>
      </c>
      <c r="F1039" s="187" t="s">
        <v>1593</v>
      </c>
      <c r="G1039" s="187" t="s">
        <v>1594</v>
      </c>
      <c r="H1039" s="185" t="s">
        <v>193</v>
      </c>
      <c r="I1039" s="186" t="s">
        <v>111</v>
      </c>
      <c r="J1039" s="35" t="s">
        <v>1595</v>
      </c>
      <c r="K1039" s="35" t="s">
        <v>111</v>
      </c>
    </row>
    <row r="1040">
      <c r="A1040" s="183" t="s">
        <v>355</v>
      </c>
      <c r="B1040" s="35" t="s">
        <v>2734</v>
      </c>
      <c r="C1040" s="187" t="s">
        <v>1597</v>
      </c>
      <c r="D1040" s="187" t="s">
        <v>1598</v>
      </c>
      <c r="E1040" s="187" t="s">
        <v>1599</v>
      </c>
      <c r="F1040" s="187" t="s">
        <v>1600</v>
      </c>
      <c r="G1040" s="187" t="s">
        <v>1601</v>
      </c>
      <c r="H1040" s="185" t="s">
        <v>193</v>
      </c>
      <c r="I1040" s="186" t="s">
        <v>36</v>
      </c>
      <c r="J1040" s="56"/>
      <c r="K1040" s="35" t="s">
        <v>36</v>
      </c>
    </row>
    <row r="1041">
      <c r="A1041" s="183" t="s">
        <v>355</v>
      </c>
      <c r="B1041" s="35" t="s">
        <v>2735</v>
      </c>
      <c r="C1041" s="187" t="s">
        <v>1603</v>
      </c>
      <c r="D1041" s="187" t="s">
        <v>1604</v>
      </c>
      <c r="E1041" s="187" t="s">
        <v>1605</v>
      </c>
      <c r="F1041" s="187" t="s">
        <v>1606</v>
      </c>
      <c r="G1041" s="187" t="s">
        <v>1607</v>
      </c>
      <c r="H1041" s="185" t="s">
        <v>193</v>
      </c>
      <c r="I1041" s="186" t="s">
        <v>36</v>
      </c>
      <c r="J1041" s="56"/>
      <c r="K1041" s="35" t="s">
        <v>36</v>
      </c>
    </row>
    <row r="1042">
      <c r="A1042" s="183" t="s">
        <v>355</v>
      </c>
      <c r="B1042" s="35" t="s">
        <v>2736</v>
      </c>
      <c r="C1042" s="187" t="s">
        <v>1609</v>
      </c>
      <c r="D1042" s="187" t="s">
        <v>1610</v>
      </c>
      <c r="E1042" s="187" t="s">
        <v>1611</v>
      </c>
      <c r="F1042" s="187" t="s">
        <v>1612</v>
      </c>
      <c r="G1042" s="187" t="s">
        <v>1613</v>
      </c>
      <c r="H1042" s="185" t="s">
        <v>193</v>
      </c>
      <c r="I1042" s="186" t="s">
        <v>36</v>
      </c>
      <c r="J1042" s="56"/>
      <c r="K1042" s="35" t="s">
        <v>36</v>
      </c>
    </row>
    <row r="1043">
      <c r="A1043" s="183" t="s">
        <v>355</v>
      </c>
      <c r="B1043" s="35" t="s">
        <v>2737</v>
      </c>
      <c r="C1043" s="187" t="s">
        <v>1615</v>
      </c>
      <c r="D1043" s="187" t="s">
        <v>1616</v>
      </c>
      <c r="E1043" s="187" t="s">
        <v>1611</v>
      </c>
      <c r="F1043" s="187" t="s">
        <v>1617</v>
      </c>
      <c r="G1043" s="187" t="s">
        <v>1618</v>
      </c>
      <c r="H1043" s="185" t="s">
        <v>193</v>
      </c>
      <c r="I1043" s="186" t="s">
        <v>36</v>
      </c>
      <c r="J1043" s="56"/>
      <c r="K1043" s="35" t="s">
        <v>36</v>
      </c>
    </row>
    <row r="1044">
      <c r="A1044" s="183" t="s">
        <v>355</v>
      </c>
      <c r="B1044" s="35" t="s">
        <v>2738</v>
      </c>
      <c r="C1044" s="187" t="s">
        <v>1620</v>
      </c>
      <c r="D1044" s="187" t="s">
        <v>1621</v>
      </c>
      <c r="E1044" s="187" t="s">
        <v>1622</v>
      </c>
      <c r="F1044" s="187" t="s">
        <v>1623</v>
      </c>
      <c r="G1044" s="187" t="s">
        <v>1624</v>
      </c>
      <c r="H1044" s="185" t="s">
        <v>193</v>
      </c>
      <c r="I1044" s="186" t="s">
        <v>36</v>
      </c>
      <c r="J1044" s="56"/>
      <c r="K1044" s="35" t="s">
        <v>36</v>
      </c>
    </row>
    <row r="1045">
      <c r="A1045" s="183" t="s">
        <v>355</v>
      </c>
      <c r="B1045" s="35" t="s">
        <v>2739</v>
      </c>
      <c r="C1045" s="187" t="s">
        <v>1626</v>
      </c>
      <c r="D1045" s="187" t="s">
        <v>1627</v>
      </c>
      <c r="E1045" s="187" t="s">
        <v>1622</v>
      </c>
      <c r="F1045" s="187" t="s">
        <v>1549</v>
      </c>
      <c r="G1045" s="187" t="s">
        <v>1628</v>
      </c>
      <c r="H1045" s="185" t="s">
        <v>193</v>
      </c>
      <c r="I1045" s="186" t="s">
        <v>36</v>
      </c>
      <c r="J1045" s="56"/>
      <c r="K1045" s="35" t="s">
        <v>36</v>
      </c>
    </row>
    <row r="1046">
      <c r="A1046" s="183" t="s">
        <v>355</v>
      </c>
      <c r="B1046" s="35" t="s">
        <v>2740</v>
      </c>
      <c r="C1046" s="187" t="s">
        <v>1630</v>
      </c>
      <c r="D1046" s="187" t="s">
        <v>1631</v>
      </c>
      <c r="E1046" s="187" t="s">
        <v>1632</v>
      </c>
      <c r="F1046" s="187" t="s">
        <v>1633</v>
      </c>
      <c r="G1046" s="187" t="s">
        <v>1634</v>
      </c>
      <c r="H1046" s="185" t="s">
        <v>193</v>
      </c>
      <c r="I1046" s="186" t="s">
        <v>36</v>
      </c>
      <c r="J1046" s="35" t="s">
        <v>1827</v>
      </c>
      <c r="K1046" s="35" t="s">
        <v>36</v>
      </c>
    </row>
    <row r="1047">
      <c r="A1047" s="183" t="s">
        <v>355</v>
      </c>
      <c r="B1047" s="35" t="s">
        <v>2741</v>
      </c>
      <c r="C1047" s="187" t="s">
        <v>1636</v>
      </c>
      <c r="D1047" s="187" t="s">
        <v>1637</v>
      </c>
      <c r="E1047" s="187" t="s">
        <v>1638</v>
      </c>
      <c r="F1047" s="187" t="s">
        <v>1639</v>
      </c>
      <c r="G1047" s="187" t="s">
        <v>1588</v>
      </c>
      <c r="H1047" s="185" t="s">
        <v>193</v>
      </c>
      <c r="I1047" s="186" t="s">
        <v>36</v>
      </c>
      <c r="J1047" s="56"/>
      <c r="K1047" s="35" t="s">
        <v>36</v>
      </c>
    </row>
    <row r="1048">
      <c r="A1048" s="183" t="s">
        <v>355</v>
      </c>
      <c r="B1048" s="35" t="s">
        <v>2742</v>
      </c>
      <c r="C1048" s="187" t="s">
        <v>1641</v>
      </c>
      <c r="D1048" s="187" t="s">
        <v>1642</v>
      </c>
      <c r="E1048" s="187" t="s">
        <v>1638</v>
      </c>
      <c r="F1048" s="187" t="s">
        <v>1643</v>
      </c>
      <c r="G1048" s="187" t="s">
        <v>1594</v>
      </c>
      <c r="H1048" s="185" t="s">
        <v>193</v>
      </c>
      <c r="I1048" s="186" t="s">
        <v>111</v>
      </c>
      <c r="J1048" s="35" t="s">
        <v>1595</v>
      </c>
      <c r="K1048" s="35" t="s">
        <v>111</v>
      </c>
    </row>
    <row r="1049">
      <c r="A1049" s="183" t="s">
        <v>355</v>
      </c>
      <c r="B1049" s="35" t="s">
        <v>2743</v>
      </c>
      <c r="C1049" s="187" t="s">
        <v>1645</v>
      </c>
      <c r="D1049" s="187" t="s">
        <v>1646</v>
      </c>
      <c r="E1049" s="187" t="s">
        <v>1638</v>
      </c>
      <c r="F1049" s="187" t="s">
        <v>1647</v>
      </c>
      <c r="G1049" s="187" t="s">
        <v>1601</v>
      </c>
      <c r="H1049" s="185" t="s">
        <v>193</v>
      </c>
      <c r="I1049" s="186" t="s">
        <v>36</v>
      </c>
      <c r="J1049" s="56"/>
      <c r="K1049" s="35" t="s">
        <v>36</v>
      </c>
    </row>
    <row r="1050">
      <c r="A1050" s="183" t="s">
        <v>355</v>
      </c>
      <c r="B1050" s="35" t="s">
        <v>2744</v>
      </c>
      <c r="C1050" s="187" t="s">
        <v>1649</v>
      </c>
      <c r="D1050" s="187" t="s">
        <v>1650</v>
      </c>
      <c r="E1050" s="187" t="s">
        <v>1638</v>
      </c>
      <c r="F1050" s="187" t="s">
        <v>1554</v>
      </c>
      <c r="G1050" s="187" t="s">
        <v>1651</v>
      </c>
      <c r="H1050" s="185" t="s">
        <v>193</v>
      </c>
      <c r="I1050" s="186" t="s">
        <v>111</v>
      </c>
      <c r="J1050" s="56"/>
      <c r="K1050" s="35" t="s">
        <v>111</v>
      </c>
    </row>
    <row r="1051">
      <c r="A1051" s="183" t="s">
        <v>355</v>
      </c>
      <c r="B1051" s="35" t="s">
        <v>2745</v>
      </c>
      <c r="C1051" s="187" t="s">
        <v>1653</v>
      </c>
      <c r="D1051" s="187" t="s">
        <v>1654</v>
      </c>
      <c r="E1051" s="187" t="s">
        <v>1638</v>
      </c>
      <c r="F1051" s="187" t="s">
        <v>1560</v>
      </c>
      <c r="G1051" s="187" t="s">
        <v>1561</v>
      </c>
      <c r="H1051" s="185" t="s">
        <v>193</v>
      </c>
      <c r="I1051" s="186" t="s">
        <v>36</v>
      </c>
      <c r="J1051" s="56"/>
      <c r="K1051" s="35" t="s">
        <v>36</v>
      </c>
    </row>
    <row r="1052">
      <c r="A1052" s="183" t="s">
        <v>355</v>
      </c>
      <c r="B1052" s="35" t="s">
        <v>2746</v>
      </c>
      <c r="C1052" s="187" t="s">
        <v>1656</v>
      </c>
      <c r="D1052" s="187" t="s">
        <v>1564</v>
      </c>
      <c r="E1052" s="187" t="s">
        <v>1638</v>
      </c>
      <c r="F1052" s="187" t="s">
        <v>1657</v>
      </c>
      <c r="G1052" s="187" t="s">
        <v>1566</v>
      </c>
      <c r="H1052" s="185" t="s">
        <v>193</v>
      </c>
      <c r="I1052" s="186" t="s">
        <v>36</v>
      </c>
      <c r="J1052" s="56"/>
      <c r="K1052" s="35" t="s">
        <v>36</v>
      </c>
    </row>
    <row r="1053">
      <c r="A1053" s="183" t="s">
        <v>355</v>
      </c>
      <c r="B1053" s="35" t="s">
        <v>2747</v>
      </c>
      <c r="C1053" s="187" t="s">
        <v>1659</v>
      </c>
      <c r="D1053" s="187" t="s">
        <v>1569</v>
      </c>
      <c r="E1053" s="187" t="s">
        <v>1638</v>
      </c>
      <c r="F1053" s="187" t="s">
        <v>1570</v>
      </c>
      <c r="G1053" s="187" t="s">
        <v>1571</v>
      </c>
      <c r="H1053" s="185" t="s">
        <v>193</v>
      </c>
      <c r="I1053" s="186" t="s">
        <v>36</v>
      </c>
      <c r="J1053" s="56"/>
      <c r="K1053" s="35" t="s">
        <v>36</v>
      </c>
    </row>
    <row r="1054">
      <c r="A1054" s="183" t="s">
        <v>355</v>
      </c>
      <c r="B1054" s="35" t="s">
        <v>2748</v>
      </c>
      <c r="C1054" s="187" t="s">
        <v>1661</v>
      </c>
      <c r="D1054" s="187" t="s">
        <v>1574</v>
      </c>
      <c r="E1054" s="187" t="s">
        <v>1638</v>
      </c>
      <c r="F1054" s="187" t="s">
        <v>1575</v>
      </c>
      <c r="G1054" s="187" t="s">
        <v>1576</v>
      </c>
      <c r="H1054" s="185" t="s">
        <v>193</v>
      </c>
      <c r="I1054" s="186" t="s">
        <v>111</v>
      </c>
      <c r="J1054" s="35" t="s">
        <v>1577</v>
      </c>
      <c r="K1054" s="35" t="s">
        <v>111</v>
      </c>
    </row>
    <row r="1055">
      <c r="A1055" s="183" t="s">
        <v>355</v>
      </c>
      <c r="B1055" s="35" t="s">
        <v>2749</v>
      </c>
      <c r="C1055" s="187" t="s">
        <v>1663</v>
      </c>
      <c r="D1055" s="187" t="s">
        <v>1580</v>
      </c>
      <c r="E1055" s="187" t="s">
        <v>1638</v>
      </c>
      <c r="F1055" s="187" t="s">
        <v>1581</v>
      </c>
      <c r="G1055" s="187" t="s">
        <v>1582</v>
      </c>
      <c r="H1055" s="185" t="s">
        <v>193</v>
      </c>
      <c r="I1055" s="186" t="s">
        <v>111</v>
      </c>
      <c r="J1055" s="35" t="s">
        <v>1664</v>
      </c>
      <c r="K1055" s="35" t="s">
        <v>111</v>
      </c>
    </row>
    <row r="1056">
      <c r="A1056" s="183" t="s">
        <v>355</v>
      </c>
      <c r="B1056" s="35" t="s">
        <v>2750</v>
      </c>
      <c r="C1056" s="187" t="s">
        <v>1666</v>
      </c>
      <c r="D1056" s="187" t="s">
        <v>1667</v>
      </c>
      <c r="E1056" s="187" t="s">
        <v>1668</v>
      </c>
      <c r="F1056" s="187" t="s">
        <v>1669</v>
      </c>
      <c r="G1056" s="187" t="s">
        <v>1670</v>
      </c>
      <c r="H1056" s="185" t="s">
        <v>193</v>
      </c>
      <c r="I1056" s="186" t="s">
        <v>36</v>
      </c>
      <c r="J1056" s="56"/>
      <c r="K1056" s="35" t="s">
        <v>36</v>
      </c>
    </row>
    <row r="1057">
      <c r="A1057" s="183" t="s">
        <v>355</v>
      </c>
      <c r="B1057" s="35" t="s">
        <v>2751</v>
      </c>
      <c r="C1057" s="187" t="s">
        <v>1672</v>
      </c>
      <c r="D1057" s="187" t="s">
        <v>1673</v>
      </c>
      <c r="E1057" s="187" t="s">
        <v>1674</v>
      </c>
      <c r="F1057" s="187" t="s">
        <v>1675</v>
      </c>
      <c r="G1057" s="187" t="s">
        <v>1676</v>
      </c>
      <c r="H1057" s="185" t="s">
        <v>193</v>
      </c>
      <c r="I1057" s="186" t="s">
        <v>36</v>
      </c>
      <c r="J1057" s="35" t="s">
        <v>1827</v>
      </c>
      <c r="K1057" s="35" t="s">
        <v>36</v>
      </c>
    </row>
    <row r="1058">
      <c r="A1058" s="183" t="s">
        <v>355</v>
      </c>
      <c r="B1058" s="35" t="s">
        <v>2752</v>
      </c>
      <c r="C1058" s="187" t="s">
        <v>1678</v>
      </c>
      <c r="D1058" s="187" t="s">
        <v>1679</v>
      </c>
      <c r="E1058" s="187" t="s">
        <v>1680</v>
      </c>
      <c r="F1058" s="187" t="s">
        <v>1681</v>
      </c>
      <c r="G1058" s="187" t="s">
        <v>1682</v>
      </c>
      <c r="H1058" s="185" t="s">
        <v>193</v>
      </c>
      <c r="I1058" s="186" t="s">
        <v>36</v>
      </c>
      <c r="J1058" s="56"/>
      <c r="K1058" s="35" t="s">
        <v>36</v>
      </c>
    </row>
    <row r="1059">
      <c r="A1059" s="183" t="s">
        <v>355</v>
      </c>
      <c r="B1059" s="35" t="s">
        <v>2753</v>
      </c>
      <c r="C1059" s="187" t="s">
        <v>1684</v>
      </c>
      <c r="D1059" s="187" t="s">
        <v>1679</v>
      </c>
      <c r="E1059" s="187" t="s">
        <v>1680</v>
      </c>
      <c r="F1059" s="187" t="s">
        <v>1681</v>
      </c>
      <c r="G1059" s="187" t="s">
        <v>1682</v>
      </c>
      <c r="H1059" s="185" t="s">
        <v>193</v>
      </c>
      <c r="I1059" s="186" t="s">
        <v>36</v>
      </c>
      <c r="J1059" s="56"/>
      <c r="K1059" s="35" t="s">
        <v>36</v>
      </c>
    </row>
    <row r="1060">
      <c r="A1060" s="183" t="s">
        <v>355</v>
      </c>
      <c r="B1060" s="35" t="s">
        <v>2754</v>
      </c>
      <c r="C1060" s="187" t="s">
        <v>1686</v>
      </c>
      <c r="D1060" s="187" t="s">
        <v>1687</v>
      </c>
      <c r="E1060" s="187" t="s">
        <v>1688</v>
      </c>
      <c r="F1060" s="187" t="s">
        <v>1689</v>
      </c>
      <c r="G1060" s="187" t="s">
        <v>1690</v>
      </c>
      <c r="H1060" s="185" t="s">
        <v>193</v>
      </c>
      <c r="I1060" s="186" t="s">
        <v>36</v>
      </c>
      <c r="J1060" s="35" t="s">
        <v>1827</v>
      </c>
      <c r="K1060" s="35" t="s">
        <v>36</v>
      </c>
    </row>
    <row r="1061">
      <c r="A1061" s="183" t="s">
        <v>355</v>
      </c>
      <c r="B1061" s="35" t="s">
        <v>2755</v>
      </c>
      <c r="C1061" s="187" t="s">
        <v>1692</v>
      </c>
      <c r="D1061" s="187" t="s">
        <v>1693</v>
      </c>
      <c r="E1061" s="187" t="s">
        <v>1694</v>
      </c>
      <c r="F1061" s="187" t="s">
        <v>1554</v>
      </c>
      <c r="G1061" s="187" t="s">
        <v>1555</v>
      </c>
      <c r="H1061" s="185" t="s">
        <v>193</v>
      </c>
      <c r="I1061" s="186" t="s">
        <v>111</v>
      </c>
      <c r="J1061" s="35" t="s">
        <v>1556</v>
      </c>
      <c r="K1061" s="35" t="s">
        <v>111</v>
      </c>
    </row>
    <row r="1062">
      <c r="A1062" s="183" t="s">
        <v>355</v>
      </c>
      <c r="B1062" s="35" t="s">
        <v>2756</v>
      </c>
      <c r="C1062" s="187" t="s">
        <v>1696</v>
      </c>
      <c r="D1062" s="187" t="s">
        <v>1564</v>
      </c>
      <c r="E1062" s="187" t="s">
        <v>1697</v>
      </c>
      <c r="F1062" s="187" t="s">
        <v>1657</v>
      </c>
      <c r="G1062" s="187" t="s">
        <v>1566</v>
      </c>
      <c r="H1062" s="185" t="s">
        <v>193</v>
      </c>
      <c r="I1062" s="186" t="s">
        <v>36</v>
      </c>
      <c r="J1062" s="56"/>
      <c r="K1062" s="35" t="s">
        <v>36</v>
      </c>
    </row>
    <row r="1063">
      <c r="A1063" s="183" t="s">
        <v>355</v>
      </c>
      <c r="B1063" s="35" t="s">
        <v>2757</v>
      </c>
      <c r="C1063" s="187" t="s">
        <v>1699</v>
      </c>
      <c r="D1063" s="187" t="s">
        <v>1700</v>
      </c>
      <c r="E1063" s="187" t="s">
        <v>1701</v>
      </c>
      <c r="F1063" s="187" t="s">
        <v>1560</v>
      </c>
      <c r="G1063" s="187" t="s">
        <v>1561</v>
      </c>
      <c r="H1063" s="185" t="s">
        <v>193</v>
      </c>
      <c r="I1063" s="186" t="s">
        <v>36</v>
      </c>
      <c r="J1063" s="35"/>
      <c r="K1063" s="35" t="s">
        <v>36</v>
      </c>
    </row>
    <row r="1064">
      <c r="A1064" s="183" t="s">
        <v>355</v>
      </c>
      <c r="B1064" s="35" t="s">
        <v>2758</v>
      </c>
      <c r="C1064" s="187" t="s">
        <v>1703</v>
      </c>
      <c r="D1064" s="187" t="s">
        <v>1569</v>
      </c>
      <c r="E1064" s="187" t="s">
        <v>1622</v>
      </c>
      <c r="F1064" s="187" t="s">
        <v>1570</v>
      </c>
      <c r="G1064" s="187" t="s">
        <v>1571</v>
      </c>
      <c r="H1064" s="185" t="s">
        <v>193</v>
      </c>
      <c r="I1064" s="186" t="s">
        <v>36</v>
      </c>
      <c r="J1064" s="56"/>
      <c r="K1064" s="35" t="s">
        <v>36</v>
      </c>
    </row>
    <row r="1065">
      <c r="A1065" s="183" t="s">
        <v>355</v>
      </c>
      <c r="B1065" s="35" t="s">
        <v>2759</v>
      </c>
      <c r="C1065" s="187" t="s">
        <v>1705</v>
      </c>
      <c r="D1065" s="187" t="s">
        <v>1574</v>
      </c>
      <c r="E1065" s="187" t="s">
        <v>1622</v>
      </c>
      <c r="F1065" s="187" t="s">
        <v>1575</v>
      </c>
      <c r="G1065" s="187" t="s">
        <v>1576</v>
      </c>
      <c r="H1065" s="185" t="s">
        <v>193</v>
      </c>
      <c r="I1065" s="186" t="s">
        <v>111</v>
      </c>
      <c r="J1065" s="35" t="s">
        <v>1577</v>
      </c>
      <c r="K1065" s="35" t="s">
        <v>111</v>
      </c>
    </row>
    <row r="1066">
      <c r="A1066" s="183" t="s">
        <v>355</v>
      </c>
      <c r="B1066" s="35" t="s">
        <v>2760</v>
      </c>
      <c r="C1066" s="187" t="s">
        <v>1707</v>
      </c>
      <c r="D1066" s="187" t="s">
        <v>1580</v>
      </c>
      <c r="E1066" s="187" t="s">
        <v>1622</v>
      </c>
      <c r="F1066" s="187" t="s">
        <v>1581</v>
      </c>
      <c r="G1066" s="187" t="s">
        <v>1582</v>
      </c>
      <c r="H1066" s="185" t="s">
        <v>193</v>
      </c>
      <c r="I1066" s="186" t="s">
        <v>36</v>
      </c>
      <c r="J1066" s="56"/>
      <c r="K1066" s="35" t="s">
        <v>36</v>
      </c>
    </row>
    <row r="1067">
      <c r="A1067" s="183" t="s">
        <v>355</v>
      </c>
      <c r="B1067" s="35" t="s">
        <v>2761</v>
      </c>
      <c r="C1067" s="187" t="s">
        <v>1709</v>
      </c>
      <c r="D1067" s="187" t="s">
        <v>1710</v>
      </c>
      <c r="E1067" s="187" t="s">
        <v>1622</v>
      </c>
      <c r="F1067" s="187" t="s">
        <v>1711</v>
      </c>
      <c r="G1067" s="187" t="s">
        <v>1712</v>
      </c>
      <c r="H1067" s="185" t="s">
        <v>193</v>
      </c>
      <c r="I1067" s="186" t="s">
        <v>36</v>
      </c>
      <c r="J1067" s="56"/>
      <c r="K1067" s="35" t="s">
        <v>36</v>
      </c>
    </row>
    <row r="1068">
      <c r="A1068" s="183" t="s">
        <v>355</v>
      </c>
      <c r="B1068" s="35" t="s">
        <v>2762</v>
      </c>
      <c r="C1068" s="187" t="s">
        <v>1714</v>
      </c>
      <c r="D1068" s="187" t="s">
        <v>1715</v>
      </c>
      <c r="E1068" s="187" t="s">
        <v>1716</v>
      </c>
      <c r="F1068" s="187" t="s">
        <v>1717</v>
      </c>
      <c r="G1068" s="187" t="s">
        <v>1718</v>
      </c>
      <c r="H1068" s="185" t="s">
        <v>193</v>
      </c>
      <c r="I1068" s="186" t="s">
        <v>36</v>
      </c>
      <c r="J1068" s="56"/>
      <c r="K1068" s="35" t="s">
        <v>36</v>
      </c>
    </row>
    <row r="1069">
      <c r="A1069" s="183" t="s">
        <v>355</v>
      </c>
      <c r="B1069" s="35" t="s">
        <v>2763</v>
      </c>
      <c r="C1069" s="187" t="s">
        <v>1720</v>
      </c>
      <c r="D1069" s="187" t="s">
        <v>1721</v>
      </c>
      <c r="E1069" s="187" t="s">
        <v>1722</v>
      </c>
      <c r="F1069" s="187" t="s">
        <v>1723</v>
      </c>
      <c r="G1069" s="187" t="s">
        <v>1628</v>
      </c>
      <c r="H1069" s="185" t="s">
        <v>193</v>
      </c>
      <c r="I1069" s="186" t="s">
        <v>36</v>
      </c>
      <c r="J1069" s="35" t="s">
        <v>1827</v>
      </c>
      <c r="K1069" s="35" t="s">
        <v>36</v>
      </c>
    </row>
    <row r="1070">
      <c r="A1070" s="190" t="s">
        <v>383</v>
      </c>
      <c r="B1070" s="35" t="s">
        <v>2764</v>
      </c>
      <c r="C1070" s="35" t="s">
        <v>1438</v>
      </c>
      <c r="D1070" s="35" t="s">
        <v>1439</v>
      </c>
      <c r="E1070" s="184" t="s">
        <v>1440</v>
      </c>
      <c r="F1070" s="183" t="s">
        <v>1441</v>
      </c>
      <c r="G1070" s="35" t="s">
        <v>1442</v>
      </c>
      <c r="H1070" s="185" t="s">
        <v>193</v>
      </c>
      <c r="I1070" s="186" t="s">
        <v>36</v>
      </c>
      <c r="J1070" s="56"/>
      <c r="K1070" s="35" t="s">
        <v>36</v>
      </c>
    </row>
    <row r="1071">
      <c r="A1071" s="183" t="s">
        <v>383</v>
      </c>
      <c r="B1071" s="35" t="s">
        <v>2765</v>
      </c>
      <c r="C1071" s="187" t="s">
        <v>1446</v>
      </c>
      <c r="D1071" s="187" t="s">
        <v>1447</v>
      </c>
      <c r="E1071" s="187" t="s">
        <v>1448</v>
      </c>
      <c r="F1071" s="187" t="s">
        <v>1449</v>
      </c>
      <c r="G1071" s="187" t="s">
        <v>1450</v>
      </c>
      <c r="H1071" s="185" t="s">
        <v>193</v>
      </c>
      <c r="I1071" s="186" t="s">
        <v>36</v>
      </c>
      <c r="J1071" s="56"/>
      <c r="K1071" s="35" t="s">
        <v>36</v>
      </c>
    </row>
    <row r="1072">
      <c r="A1072" s="183" t="s">
        <v>383</v>
      </c>
      <c r="B1072" s="35" t="s">
        <v>2766</v>
      </c>
      <c r="C1072" s="187" t="s">
        <v>1453</v>
      </c>
      <c r="D1072" s="187" t="s">
        <v>1454</v>
      </c>
      <c r="E1072" s="187" t="s">
        <v>1448</v>
      </c>
      <c r="F1072" s="187" t="s">
        <v>1455</v>
      </c>
      <c r="G1072" s="187" t="s">
        <v>1456</v>
      </c>
      <c r="H1072" s="185" t="s">
        <v>193</v>
      </c>
      <c r="I1072" s="186" t="s">
        <v>111</v>
      </c>
      <c r="J1072" s="35" t="s">
        <v>1854</v>
      </c>
      <c r="K1072" s="35" t="s">
        <v>111</v>
      </c>
    </row>
    <row r="1073">
      <c r="A1073" s="183" t="s">
        <v>383</v>
      </c>
      <c r="B1073" s="35" t="s">
        <v>2767</v>
      </c>
      <c r="C1073" s="187" t="s">
        <v>1459</v>
      </c>
      <c r="D1073" s="187" t="s">
        <v>1460</v>
      </c>
      <c r="E1073" s="187" t="s">
        <v>1448</v>
      </c>
      <c r="F1073" s="187" t="s">
        <v>1461</v>
      </c>
      <c r="G1073" s="187" t="s">
        <v>1462</v>
      </c>
      <c r="H1073" s="185" t="s">
        <v>193</v>
      </c>
      <c r="I1073" s="186" t="s">
        <v>36</v>
      </c>
      <c r="J1073" s="56"/>
      <c r="K1073" s="35" t="s">
        <v>36</v>
      </c>
    </row>
    <row r="1074">
      <c r="A1074" s="183" t="s">
        <v>383</v>
      </c>
      <c r="B1074" s="35" t="s">
        <v>2768</v>
      </c>
      <c r="C1074" s="183" t="s">
        <v>1465</v>
      </c>
      <c r="D1074" s="183" t="s">
        <v>1466</v>
      </c>
      <c r="E1074" s="187" t="s">
        <v>1448</v>
      </c>
      <c r="F1074" s="183" t="s">
        <v>1467</v>
      </c>
      <c r="G1074" s="183" t="s">
        <v>1468</v>
      </c>
      <c r="H1074" s="185" t="s">
        <v>193</v>
      </c>
      <c r="I1074" s="186" t="s">
        <v>111</v>
      </c>
      <c r="J1074" s="35" t="s">
        <v>1469</v>
      </c>
      <c r="K1074" s="35" t="s">
        <v>111</v>
      </c>
    </row>
    <row r="1075">
      <c r="A1075" s="183" t="s">
        <v>383</v>
      </c>
      <c r="B1075" s="35" t="s">
        <v>2769</v>
      </c>
      <c r="C1075" s="183" t="s">
        <v>1471</v>
      </c>
      <c r="D1075" s="183" t="s">
        <v>1472</v>
      </c>
      <c r="E1075" s="187" t="s">
        <v>1448</v>
      </c>
      <c r="F1075" s="183" t="s">
        <v>1473</v>
      </c>
      <c r="G1075" s="183" t="s">
        <v>1474</v>
      </c>
      <c r="H1075" s="185" t="s">
        <v>193</v>
      </c>
      <c r="I1075" s="186" t="s">
        <v>111</v>
      </c>
      <c r="J1075" s="35" t="s">
        <v>1475</v>
      </c>
      <c r="K1075" s="35" t="s">
        <v>111</v>
      </c>
    </row>
    <row r="1076">
      <c r="A1076" s="183" t="s">
        <v>383</v>
      </c>
      <c r="B1076" s="35" t="s">
        <v>2770</v>
      </c>
      <c r="C1076" s="183" t="s">
        <v>1477</v>
      </c>
      <c r="D1076" s="183" t="s">
        <v>1478</v>
      </c>
      <c r="E1076" s="187" t="s">
        <v>1448</v>
      </c>
      <c r="F1076" s="183" t="s">
        <v>1479</v>
      </c>
      <c r="G1076" s="183" t="s">
        <v>1468</v>
      </c>
      <c r="H1076" s="185" t="s">
        <v>193</v>
      </c>
      <c r="I1076" s="186" t="s">
        <v>111</v>
      </c>
      <c r="J1076" s="35" t="s">
        <v>1469</v>
      </c>
      <c r="K1076" s="35" t="s">
        <v>111</v>
      </c>
    </row>
    <row r="1077">
      <c r="A1077" s="183" t="s">
        <v>383</v>
      </c>
      <c r="B1077" s="35" t="s">
        <v>2771</v>
      </c>
      <c r="C1077" s="183" t="s">
        <v>1481</v>
      </c>
      <c r="D1077" s="183" t="s">
        <v>1472</v>
      </c>
      <c r="E1077" s="187" t="s">
        <v>1448</v>
      </c>
      <c r="F1077" s="183" t="s">
        <v>1482</v>
      </c>
      <c r="G1077" s="183" t="s">
        <v>1474</v>
      </c>
      <c r="H1077" s="185" t="s">
        <v>193</v>
      </c>
      <c r="I1077" s="186" t="s">
        <v>111</v>
      </c>
      <c r="J1077" s="183" t="s">
        <v>1475</v>
      </c>
      <c r="K1077" s="35" t="s">
        <v>111</v>
      </c>
    </row>
    <row r="1078">
      <c r="A1078" s="183" t="s">
        <v>383</v>
      </c>
      <c r="B1078" s="35" t="s">
        <v>2772</v>
      </c>
      <c r="C1078" s="183" t="s">
        <v>1484</v>
      </c>
      <c r="D1078" s="183" t="s">
        <v>1472</v>
      </c>
      <c r="E1078" s="187" t="s">
        <v>1448</v>
      </c>
      <c r="F1078" s="183" t="s">
        <v>1485</v>
      </c>
      <c r="G1078" s="183" t="s">
        <v>1486</v>
      </c>
      <c r="H1078" s="185" t="s">
        <v>193</v>
      </c>
      <c r="I1078" s="186" t="s">
        <v>111</v>
      </c>
      <c r="J1078" s="183" t="s">
        <v>1475</v>
      </c>
      <c r="K1078" s="35" t="s">
        <v>111</v>
      </c>
    </row>
    <row r="1079">
      <c r="A1079" s="183" t="s">
        <v>383</v>
      </c>
      <c r="B1079" s="35" t="s">
        <v>2773</v>
      </c>
      <c r="C1079" s="187" t="s">
        <v>1488</v>
      </c>
      <c r="D1079" s="187" t="s">
        <v>1489</v>
      </c>
      <c r="E1079" s="187" t="s">
        <v>1490</v>
      </c>
      <c r="F1079" s="187" t="s">
        <v>1491</v>
      </c>
      <c r="G1079" s="187" t="s">
        <v>1492</v>
      </c>
      <c r="H1079" s="185" t="s">
        <v>193</v>
      </c>
      <c r="I1079" s="186" t="s">
        <v>111</v>
      </c>
      <c r="J1079" s="35" t="s">
        <v>1862</v>
      </c>
      <c r="K1079" s="35" t="s">
        <v>111</v>
      </c>
    </row>
    <row r="1080">
      <c r="A1080" s="183" t="s">
        <v>383</v>
      </c>
      <c r="B1080" s="35" t="s">
        <v>2774</v>
      </c>
      <c r="C1080" s="187" t="s">
        <v>1494</v>
      </c>
      <c r="D1080" s="183" t="s">
        <v>1495</v>
      </c>
      <c r="E1080" s="187" t="s">
        <v>1496</v>
      </c>
      <c r="F1080" s="187" t="s">
        <v>1497</v>
      </c>
      <c r="G1080" s="187" t="s">
        <v>1498</v>
      </c>
      <c r="H1080" s="185" t="s">
        <v>193</v>
      </c>
      <c r="I1080" s="186" t="s">
        <v>111</v>
      </c>
      <c r="J1080" s="35" t="s">
        <v>1499</v>
      </c>
      <c r="K1080" s="35" t="s">
        <v>111</v>
      </c>
    </row>
    <row r="1081">
      <c r="A1081" s="183" t="s">
        <v>383</v>
      </c>
      <c r="B1081" s="35" t="s">
        <v>2775</v>
      </c>
      <c r="C1081" s="187" t="s">
        <v>1501</v>
      </c>
      <c r="D1081" s="187" t="s">
        <v>1502</v>
      </c>
      <c r="E1081" s="187" t="s">
        <v>1503</v>
      </c>
      <c r="F1081" s="187" t="s">
        <v>1491</v>
      </c>
      <c r="G1081" s="187" t="s">
        <v>1504</v>
      </c>
      <c r="H1081" s="185" t="s">
        <v>193</v>
      </c>
      <c r="I1081" s="186" t="s">
        <v>36</v>
      </c>
      <c r="J1081" s="56"/>
      <c r="K1081" s="35" t="s">
        <v>36</v>
      </c>
    </row>
    <row r="1082">
      <c r="A1082" s="183" t="s">
        <v>383</v>
      </c>
      <c r="B1082" s="35" t="s">
        <v>2776</v>
      </c>
      <c r="C1082" s="187" t="s">
        <v>1506</v>
      </c>
      <c r="D1082" s="187" t="s">
        <v>1507</v>
      </c>
      <c r="E1082" s="187" t="s">
        <v>1508</v>
      </c>
      <c r="F1082" s="187" t="s">
        <v>1491</v>
      </c>
      <c r="G1082" s="187" t="s">
        <v>1509</v>
      </c>
      <c r="H1082" s="185" t="s">
        <v>193</v>
      </c>
      <c r="I1082" s="186" t="s">
        <v>111</v>
      </c>
      <c r="J1082" s="35" t="s">
        <v>1862</v>
      </c>
      <c r="K1082" s="35" t="s">
        <v>111</v>
      </c>
    </row>
    <row r="1083">
      <c r="A1083" s="183" t="s">
        <v>383</v>
      </c>
      <c r="B1083" s="35" t="s">
        <v>2777</v>
      </c>
      <c r="C1083" s="187" t="s">
        <v>1511</v>
      </c>
      <c r="D1083" s="187" t="s">
        <v>1512</v>
      </c>
      <c r="E1083" s="187" t="s">
        <v>1513</v>
      </c>
      <c r="F1083" s="187" t="s">
        <v>1491</v>
      </c>
      <c r="G1083" s="187" t="s">
        <v>1514</v>
      </c>
      <c r="H1083" s="185" t="s">
        <v>193</v>
      </c>
      <c r="I1083" s="186" t="s">
        <v>36</v>
      </c>
      <c r="J1083" s="56"/>
      <c r="K1083" s="35" t="s">
        <v>36</v>
      </c>
    </row>
    <row r="1084">
      <c r="A1084" s="183" t="s">
        <v>383</v>
      </c>
      <c r="B1084" s="35" t="s">
        <v>2778</v>
      </c>
      <c r="C1084" s="187" t="s">
        <v>1516</v>
      </c>
      <c r="D1084" s="187" t="s">
        <v>1517</v>
      </c>
      <c r="E1084" s="187" t="s">
        <v>1518</v>
      </c>
      <c r="F1084" s="187" t="s">
        <v>1519</v>
      </c>
      <c r="G1084" s="187" t="s">
        <v>1520</v>
      </c>
      <c r="H1084" s="185" t="s">
        <v>193</v>
      </c>
      <c r="I1084" s="186" t="s">
        <v>111</v>
      </c>
      <c r="J1084" s="35" t="s">
        <v>1521</v>
      </c>
      <c r="K1084" s="35" t="s">
        <v>111</v>
      </c>
    </row>
    <row r="1085">
      <c r="A1085" s="183" t="s">
        <v>383</v>
      </c>
      <c r="B1085" s="35" t="s">
        <v>2779</v>
      </c>
      <c r="C1085" s="187" t="s">
        <v>1523</v>
      </c>
      <c r="D1085" s="187" t="s">
        <v>1524</v>
      </c>
      <c r="E1085" s="187" t="s">
        <v>1525</v>
      </c>
      <c r="F1085" s="187" t="s">
        <v>1526</v>
      </c>
      <c r="G1085" s="187" t="s">
        <v>1527</v>
      </c>
      <c r="H1085" s="185" t="s">
        <v>193</v>
      </c>
      <c r="I1085" s="186" t="s">
        <v>111</v>
      </c>
      <c r="J1085" s="35" t="s">
        <v>1862</v>
      </c>
      <c r="K1085" s="35" t="s">
        <v>111</v>
      </c>
    </row>
    <row r="1086">
      <c r="A1086" s="183" t="s">
        <v>383</v>
      </c>
      <c r="B1086" s="35" t="s">
        <v>2780</v>
      </c>
      <c r="C1086" s="187" t="s">
        <v>1529</v>
      </c>
      <c r="D1086" s="187" t="s">
        <v>1530</v>
      </c>
      <c r="E1086" s="187" t="s">
        <v>1531</v>
      </c>
      <c r="F1086" s="187" t="s">
        <v>1532</v>
      </c>
      <c r="G1086" s="187" t="s">
        <v>1533</v>
      </c>
      <c r="H1086" s="185" t="s">
        <v>193</v>
      </c>
      <c r="I1086" s="186" t="s">
        <v>111</v>
      </c>
      <c r="J1086" s="35" t="s">
        <v>1521</v>
      </c>
      <c r="K1086" s="35" t="s">
        <v>111</v>
      </c>
    </row>
    <row r="1087">
      <c r="A1087" s="183" t="s">
        <v>383</v>
      </c>
      <c r="B1087" s="35" t="s">
        <v>2781</v>
      </c>
      <c r="C1087" s="187" t="s">
        <v>1535</v>
      </c>
      <c r="D1087" s="187" t="s">
        <v>1536</v>
      </c>
      <c r="E1087" s="187" t="s">
        <v>1537</v>
      </c>
      <c r="F1087" s="187" t="s">
        <v>1538</v>
      </c>
      <c r="G1087" s="187" t="s">
        <v>1539</v>
      </c>
      <c r="H1087" s="185" t="s">
        <v>193</v>
      </c>
      <c r="I1087" s="186" t="s">
        <v>111</v>
      </c>
      <c r="J1087" s="35" t="s">
        <v>1521</v>
      </c>
      <c r="K1087" s="35" t="s">
        <v>111</v>
      </c>
    </row>
    <row r="1088">
      <c r="A1088" s="183" t="s">
        <v>383</v>
      </c>
      <c r="B1088" s="35" t="s">
        <v>2782</v>
      </c>
      <c r="C1088" s="187" t="s">
        <v>1541</v>
      </c>
      <c r="D1088" s="187" t="s">
        <v>1542</v>
      </c>
      <c r="E1088" s="187" t="s">
        <v>1543</v>
      </c>
      <c r="F1088" s="187" t="s">
        <v>1544</v>
      </c>
      <c r="G1088" s="187" t="s">
        <v>1545</v>
      </c>
      <c r="H1088" s="185" t="s">
        <v>193</v>
      </c>
      <c r="I1088" s="186" t="s">
        <v>36</v>
      </c>
      <c r="J1088" s="56"/>
      <c r="K1088" s="35" t="s">
        <v>36</v>
      </c>
    </row>
    <row r="1089">
      <c r="A1089" s="183" t="s">
        <v>383</v>
      </c>
      <c r="B1089" s="35" t="s">
        <v>2783</v>
      </c>
      <c r="C1089" s="187" t="s">
        <v>1547</v>
      </c>
      <c r="D1089" s="187" t="s">
        <v>1548</v>
      </c>
      <c r="E1089" s="187" t="s">
        <v>1448</v>
      </c>
      <c r="F1089" s="187" t="s">
        <v>1549</v>
      </c>
      <c r="G1089" s="187" t="s">
        <v>1550</v>
      </c>
      <c r="H1089" s="185" t="s">
        <v>193</v>
      </c>
      <c r="I1089" s="186" t="s">
        <v>36</v>
      </c>
      <c r="J1089" s="56"/>
      <c r="K1089" s="35" t="s">
        <v>36</v>
      </c>
    </row>
    <row r="1090">
      <c r="A1090" s="183" t="s">
        <v>383</v>
      </c>
      <c r="B1090" s="35" t="s">
        <v>2784</v>
      </c>
      <c r="C1090" s="187" t="s">
        <v>1552</v>
      </c>
      <c r="D1090" s="187" t="s">
        <v>1553</v>
      </c>
      <c r="E1090" s="187" t="s">
        <v>1448</v>
      </c>
      <c r="F1090" s="187" t="s">
        <v>1554</v>
      </c>
      <c r="G1090" s="187" t="s">
        <v>1555</v>
      </c>
      <c r="H1090" s="185" t="s">
        <v>193</v>
      </c>
      <c r="I1090" s="186" t="s">
        <v>111</v>
      </c>
      <c r="J1090" s="35" t="s">
        <v>1556</v>
      </c>
      <c r="K1090" s="35" t="s">
        <v>111</v>
      </c>
    </row>
    <row r="1091">
      <c r="A1091" s="183" t="s">
        <v>383</v>
      </c>
      <c r="B1091" s="35" t="s">
        <v>2785</v>
      </c>
      <c r="C1091" s="187" t="s">
        <v>1558</v>
      </c>
      <c r="D1091" s="187" t="s">
        <v>1559</v>
      </c>
      <c r="E1091" s="187" t="s">
        <v>1448</v>
      </c>
      <c r="F1091" s="187" t="s">
        <v>1560</v>
      </c>
      <c r="G1091" s="187" t="s">
        <v>1561</v>
      </c>
      <c r="H1091" s="185" t="s">
        <v>193</v>
      </c>
      <c r="I1091" s="186" t="s">
        <v>36</v>
      </c>
      <c r="J1091" s="35"/>
      <c r="K1091" s="35" t="s">
        <v>36</v>
      </c>
    </row>
    <row r="1092">
      <c r="A1092" s="183" t="s">
        <v>383</v>
      </c>
      <c r="B1092" s="35" t="s">
        <v>2786</v>
      </c>
      <c r="C1092" s="187" t="s">
        <v>1563</v>
      </c>
      <c r="D1092" s="187" t="s">
        <v>1564</v>
      </c>
      <c r="E1092" s="187" t="s">
        <v>1448</v>
      </c>
      <c r="F1092" s="187" t="s">
        <v>1565</v>
      </c>
      <c r="G1092" s="187" t="s">
        <v>1566</v>
      </c>
      <c r="H1092" s="185" t="s">
        <v>193</v>
      </c>
      <c r="I1092" s="186" t="s">
        <v>36</v>
      </c>
      <c r="J1092" s="35"/>
      <c r="K1092" s="35" t="s">
        <v>36</v>
      </c>
    </row>
    <row r="1093">
      <c r="A1093" s="183" t="s">
        <v>383</v>
      </c>
      <c r="B1093" s="35" t="s">
        <v>2787</v>
      </c>
      <c r="C1093" s="187" t="s">
        <v>1568</v>
      </c>
      <c r="D1093" s="187" t="s">
        <v>1569</v>
      </c>
      <c r="E1093" s="187" t="s">
        <v>1448</v>
      </c>
      <c r="F1093" s="187" t="s">
        <v>1570</v>
      </c>
      <c r="G1093" s="187" t="s">
        <v>1571</v>
      </c>
      <c r="H1093" s="185" t="s">
        <v>193</v>
      </c>
      <c r="I1093" s="186" t="s">
        <v>36</v>
      </c>
      <c r="J1093" s="56"/>
      <c r="K1093" s="35" t="s">
        <v>36</v>
      </c>
    </row>
    <row r="1094">
      <c r="A1094" s="183" t="s">
        <v>383</v>
      </c>
      <c r="B1094" s="35" t="s">
        <v>2788</v>
      </c>
      <c r="C1094" s="187" t="s">
        <v>1573</v>
      </c>
      <c r="D1094" s="187" t="s">
        <v>1574</v>
      </c>
      <c r="E1094" s="187" t="s">
        <v>1448</v>
      </c>
      <c r="F1094" s="187" t="s">
        <v>1575</v>
      </c>
      <c r="G1094" s="187" t="s">
        <v>1576</v>
      </c>
      <c r="H1094" s="185" t="s">
        <v>193</v>
      </c>
      <c r="I1094" s="186" t="s">
        <v>111</v>
      </c>
      <c r="J1094" s="35" t="s">
        <v>1577</v>
      </c>
      <c r="K1094" s="35" t="s">
        <v>111</v>
      </c>
    </row>
    <row r="1095">
      <c r="A1095" s="183" t="s">
        <v>383</v>
      </c>
      <c r="B1095" s="35" t="s">
        <v>2789</v>
      </c>
      <c r="C1095" s="187" t="s">
        <v>1579</v>
      </c>
      <c r="D1095" s="187" t="s">
        <v>1580</v>
      </c>
      <c r="E1095" s="187" t="s">
        <v>1448</v>
      </c>
      <c r="F1095" s="187" t="s">
        <v>1581</v>
      </c>
      <c r="G1095" s="187" t="s">
        <v>1582</v>
      </c>
      <c r="H1095" s="185" t="s">
        <v>193</v>
      </c>
      <c r="I1095" s="186" t="s">
        <v>36</v>
      </c>
      <c r="J1095" s="56"/>
      <c r="K1095" s="35" t="s">
        <v>36</v>
      </c>
    </row>
    <row r="1096">
      <c r="A1096" s="183" t="s">
        <v>383</v>
      </c>
      <c r="B1096" s="35" t="s">
        <v>2790</v>
      </c>
      <c r="C1096" s="187" t="s">
        <v>1584</v>
      </c>
      <c r="D1096" s="187" t="s">
        <v>1585</v>
      </c>
      <c r="E1096" s="187" t="s">
        <v>1586</v>
      </c>
      <c r="F1096" s="187" t="s">
        <v>1587</v>
      </c>
      <c r="G1096" s="187" t="s">
        <v>1588</v>
      </c>
      <c r="H1096" s="185" t="s">
        <v>193</v>
      </c>
      <c r="I1096" s="186" t="s">
        <v>36</v>
      </c>
      <c r="J1096" s="56"/>
      <c r="K1096" s="35" t="s">
        <v>36</v>
      </c>
    </row>
    <row r="1097">
      <c r="A1097" s="183" t="s">
        <v>383</v>
      </c>
      <c r="B1097" s="35" t="s">
        <v>2791</v>
      </c>
      <c r="C1097" s="187" t="s">
        <v>1590</v>
      </c>
      <c r="D1097" s="187" t="s">
        <v>1591</v>
      </c>
      <c r="E1097" s="187" t="s">
        <v>1592</v>
      </c>
      <c r="F1097" s="187" t="s">
        <v>1593</v>
      </c>
      <c r="G1097" s="187" t="s">
        <v>1594</v>
      </c>
      <c r="H1097" s="185" t="s">
        <v>193</v>
      </c>
      <c r="I1097" s="186" t="s">
        <v>111</v>
      </c>
      <c r="J1097" s="35" t="s">
        <v>1595</v>
      </c>
      <c r="K1097" s="35" t="s">
        <v>111</v>
      </c>
    </row>
    <row r="1098">
      <c r="A1098" s="183" t="s">
        <v>383</v>
      </c>
      <c r="B1098" s="35" t="s">
        <v>2792</v>
      </c>
      <c r="C1098" s="187" t="s">
        <v>1597</v>
      </c>
      <c r="D1098" s="187" t="s">
        <v>1598</v>
      </c>
      <c r="E1098" s="187" t="s">
        <v>1599</v>
      </c>
      <c r="F1098" s="187" t="s">
        <v>1600</v>
      </c>
      <c r="G1098" s="187" t="s">
        <v>1601</v>
      </c>
      <c r="H1098" s="185" t="s">
        <v>193</v>
      </c>
      <c r="I1098" s="186" t="s">
        <v>36</v>
      </c>
      <c r="J1098" s="56"/>
      <c r="K1098" s="35" t="s">
        <v>36</v>
      </c>
    </row>
    <row r="1099">
      <c r="A1099" s="183" t="s">
        <v>383</v>
      </c>
      <c r="B1099" s="35" t="s">
        <v>2793</v>
      </c>
      <c r="C1099" s="187" t="s">
        <v>1603</v>
      </c>
      <c r="D1099" s="187" t="s">
        <v>1604</v>
      </c>
      <c r="E1099" s="187" t="s">
        <v>1605</v>
      </c>
      <c r="F1099" s="187" t="s">
        <v>1606</v>
      </c>
      <c r="G1099" s="187" t="s">
        <v>1607</v>
      </c>
      <c r="H1099" s="185" t="s">
        <v>193</v>
      </c>
      <c r="I1099" s="186" t="s">
        <v>36</v>
      </c>
      <c r="J1099" s="56"/>
      <c r="K1099" s="35" t="s">
        <v>36</v>
      </c>
    </row>
    <row r="1100">
      <c r="A1100" s="183" t="s">
        <v>383</v>
      </c>
      <c r="B1100" s="35" t="s">
        <v>2794</v>
      </c>
      <c r="C1100" s="187" t="s">
        <v>1609</v>
      </c>
      <c r="D1100" s="187" t="s">
        <v>1610</v>
      </c>
      <c r="E1100" s="187" t="s">
        <v>1611</v>
      </c>
      <c r="F1100" s="187" t="s">
        <v>1612</v>
      </c>
      <c r="G1100" s="187" t="s">
        <v>1613</v>
      </c>
      <c r="H1100" s="185" t="s">
        <v>193</v>
      </c>
      <c r="I1100" s="186" t="s">
        <v>36</v>
      </c>
      <c r="J1100" s="56"/>
      <c r="K1100" s="35" t="s">
        <v>36</v>
      </c>
    </row>
    <row r="1101">
      <c r="A1101" s="183" t="s">
        <v>383</v>
      </c>
      <c r="B1101" s="35" t="s">
        <v>2795</v>
      </c>
      <c r="C1101" s="187" t="s">
        <v>1615</v>
      </c>
      <c r="D1101" s="187" t="s">
        <v>1616</v>
      </c>
      <c r="E1101" s="187" t="s">
        <v>1611</v>
      </c>
      <c r="F1101" s="187" t="s">
        <v>1617</v>
      </c>
      <c r="G1101" s="187" t="s">
        <v>1618</v>
      </c>
      <c r="H1101" s="185" t="s">
        <v>193</v>
      </c>
      <c r="I1101" s="186" t="s">
        <v>36</v>
      </c>
      <c r="J1101" s="56"/>
      <c r="K1101" s="35" t="s">
        <v>36</v>
      </c>
    </row>
    <row r="1102">
      <c r="A1102" s="183" t="s">
        <v>383</v>
      </c>
      <c r="B1102" s="35" t="s">
        <v>2796</v>
      </c>
      <c r="C1102" s="187" t="s">
        <v>1620</v>
      </c>
      <c r="D1102" s="187" t="s">
        <v>1621</v>
      </c>
      <c r="E1102" s="187" t="s">
        <v>1622</v>
      </c>
      <c r="F1102" s="187" t="s">
        <v>1623</v>
      </c>
      <c r="G1102" s="187" t="s">
        <v>1624</v>
      </c>
      <c r="H1102" s="185" t="s">
        <v>193</v>
      </c>
      <c r="I1102" s="186" t="s">
        <v>36</v>
      </c>
      <c r="J1102" s="56"/>
      <c r="K1102" s="35" t="s">
        <v>36</v>
      </c>
    </row>
    <row r="1103">
      <c r="A1103" s="183" t="s">
        <v>383</v>
      </c>
      <c r="B1103" s="35" t="s">
        <v>2797</v>
      </c>
      <c r="C1103" s="187" t="s">
        <v>1626</v>
      </c>
      <c r="D1103" s="187" t="s">
        <v>1627</v>
      </c>
      <c r="E1103" s="187" t="s">
        <v>1622</v>
      </c>
      <c r="F1103" s="187" t="s">
        <v>1549</v>
      </c>
      <c r="G1103" s="187" t="s">
        <v>1628</v>
      </c>
      <c r="H1103" s="185" t="s">
        <v>193</v>
      </c>
      <c r="I1103" s="186" t="s">
        <v>36</v>
      </c>
      <c r="J1103" s="56"/>
      <c r="K1103" s="35" t="s">
        <v>36</v>
      </c>
    </row>
    <row r="1104">
      <c r="A1104" s="183" t="s">
        <v>383</v>
      </c>
      <c r="B1104" s="35" t="s">
        <v>2798</v>
      </c>
      <c r="C1104" s="187" t="s">
        <v>1630</v>
      </c>
      <c r="D1104" s="187" t="s">
        <v>1631</v>
      </c>
      <c r="E1104" s="187" t="s">
        <v>1632</v>
      </c>
      <c r="F1104" s="187" t="s">
        <v>1633</v>
      </c>
      <c r="G1104" s="187" t="s">
        <v>1634</v>
      </c>
      <c r="H1104" s="185" t="s">
        <v>193</v>
      </c>
      <c r="I1104" s="186" t="s">
        <v>111</v>
      </c>
      <c r="J1104" s="56"/>
      <c r="K1104" s="35" t="s">
        <v>111</v>
      </c>
    </row>
    <row r="1105">
      <c r="A1105" s="183" t="s">
        <v>383</v>
      </c>
      <c r="B1105" s="35" t="s">
        <v>2799</v>
      </c>
      <c r="C1105" s="187" t="s">
        <v>1636</v>
      </c>
      <c r="D1105" s="187" t="s">
        <v>1637</v>
      </c>
      <c r="E1105" s="187" t="s">
        <v>1638</v>
      </c>
      <c r="F1105" s="187" t="s">
        <v>1639</v>
      </c>
      <c r="G1105" s="187" t="s">
        <v>1588</v>
      </c>
      <c r="H1105" s="185" t="s">
        <v>193</v>
      </c>
      <c r="I1105" s="186" t="s">
        <v>36</v>
      </c>
      <c r="J1105" s="56"/>
      <c r="K1105" s="35" t="s">
        <v>36</v>
      </c>
    </row>
    <row r="1106">
      <c r="A1106" s="183" t="s">
        <v>383</v>
      </c>
      <c r="B1106" s="35" t="s">
        <v>2800</v>
      </c>
      <c r="C1106" s="187" t="s">
        <v>1641</v>
      </c>
      <c r="D1106" s="187" t="s">
        <v>1642</v>
      </c>
      <c r="E1106" s="187" t="s">
        <v>1638</v>
      </c>
      <c r="F1106" s="187" t="s">
        <v>1643</v>
      </c>
      <c r="G1106" s="187" t="s">
        <v>1594</v>
      </c>
      <c r="H1106" s="185" t="s">
        <v>193</v>
      </c>
      <c r="I1106" s="186" t="s">
        <v>111</v>
      </c>
      <c r="J1106" s="35" t="s">
        <v>1890</v>
      </c>
      <c r="K1106" s="35" t="s">
        <v>111</v>
      </c>
    </row>
    <row r="1107">
      <c r="A1107" s="183" t="s">
        <v>383</v>
      </c>
      <c r="B1107" s="35" t="s">
        <v>2801</v>
      </c>
      <c r="C1107" s="187" t="s">
        <v>1645</v>
      </c>
      <c r="D1107" s="187" t="s">
        <v>1646</v>
      </c>
      <c r="E1107" s="187" t="s">
        <v>1638</v>
      </c>
      <c r="F1107" s="187" t="s">
        <v>1647</v>
      </c>
      <c r="G1107" s="187" t="s">
        <v>1601</v>
      </c>
      <c r="H1107" s="185" t="s">
        <v>193</v>
      </c>
      <c r="I1107" s="186" t="s">
        <v>36</v>
      </c>
      <c r="J1107" s="56"/>
      <c r="K1107" s="35" t="s">
        <v>36</v>
      </c>
    </row>
    <row r="1108">
      <c r="A1108" s="183" t="s">
        <v>383</v>
      </c>
      <c r="B1108" s="35" t="s">
        <v>2802</v>
      </c>
      <c r="C1108" s="187" t="s">
        <v>1649</v>
      </c>
      <c r="D1108" s="187" t="s">
        <v>1650</v>
      </c>
      <c r="E1108" s="187" t="s">
        <v>1638</v>
      </c>
      <c r="F1108" s="187" t="s">
        <v>1554</v>
      </c>
      <c r="G1108" s="187" t="s">
        <v>1651</v>
      </c>
      <c r="H1108" s="185" t="s">
        <v>193</v>
      </c>
      <c r="I1108" s="186" t="s">
        <v>111</v>
      </c>
      <c r="J1108" s="56"/>
      <c r="K1108" s="35" t="s">
        <v>111</v>
      </c>
    </row>
    <row r="1109">
      <c r="A1109" s="183" t="s">
        <v>383</v>
      </c>
      <c r="B1109" s="35" t="s">
        <v>2803</v>
      </c>
      <c r="C1109" s="187" t="s">
        <v>1653</v>
      </c>
      <c r="D1109" s="187" t="s">
        <v>1654</v>
      </c>
      <c r="E1109" s="187" t="s">
        <v>1638</v>
      </c>
      <c r="F1109" s="187" t="s">
        <v>1560</v>
      </c>
      <c r="G1109" s="187" t="s">
        <v>1561</v>
      </c>
      <c r="H1109" s="185" t="s">
        <v>193</v>
      </c>
      <c r="I1109" s="186" t="s">
        <v>36</v>
      </c>
      <c r="J1109" s="56"/>
      <c r="K1109" s="35" t="s">
        <v>36</v>
      </c>
    </row>
    <row r="1110">
      <c r="A1110" s="183" t="s">
        <v>383</v>
      </c>
      <c r="B1110" s="35" t="s">
        <v>2804</v>
      </c>
      <c r="C1110" s="187" t="s">
        <v>1656</v>
      </c>
      <c r="D1110" s="187" t="s">
        <v>1564</v>
      </c>
      <c r="E1110" s="187" t="s">
        <v>1638</v>
      </c>
      <c r="F1110" s="187" t="s">
        <v>1657</v>
      </c>
      <c r="G1110" s="187" t="s">
        <v>1566</v>
      </c>
      <c r="H1110" s="185" t="s">
        <v>193</v>
      </c>
      <c r="I1110" s="186" t="s">
        <v>36</v>
      </c>
      <c r="J1110" s="56"/>
      <c r="K1110" s="35" t="s">
        <v>36</v>
      </c>
    </row>
    <row r="1111">
      <c r="A1111" s="183" t="s">
        <v>383</v>
      </c>
      <c r="B1111" s="35" t="s">
        <v>2805</v>
      </c>
      <c r="C1111" s="187" t="s">
        <v>1659</v>
      </c>
      <c r="D1111" s="187" t="s">
        <v>1569</v>
      </c>
      <c r="E1111" s="187" t="s">
        <v>1638</v>
      </c>
      <c r="F1111" s="187" t="s">
        <v>1570</v>
      </c>
      <c r="G1111" s="187" t="s">
        <v>1571</v>
      </c>
      <c r="H1111" s="185" t="s">
        <v>193</v>
      </c>
      <c r="I1111" s="186" t="s">
        <v>36</v>
      </c>
      <c r="J1111" s="56"/>
      <c r="K1111" s="35" t="s">
        <v>36</v>
      </c>
    </row>
    <row r="1112">
      <c r="A1112" s="183" t="s">
        <v>383</v>
      </c>
      <c r="B1112" s="35" t="s">
        <v>2806</v>
      </c>
      <c r="C1112" s="187" t="s">
        <v>1661</v>
      </c>
      <c r="D1112" s="187" t="s">
        <v>1574</v>
      </c>
      <c r="E1112" s="187" t="s">
        <v>1638</v>
      </c>
      <c r="F1112" s="187" t="s">
        <v>1575</v>
      </c>
      <c r="G1112" s="187" t="s">
        <v>1576</v>
      </c>
      <c r="H1112" s="185" t="s">
        <v>193</v>
      </c>
      <c r="I1112" s="186" t="s">
        <v>111</v>
      </c>
      <c r="J1112" s="35" t="s">
        <v>1577</v>
      </c>
      <c r="K1112" s="35" t="s">
        <v>111</v>
      </c>
    </row>
    <row r="1113">
      <c r="A1113" s="183" t="s">
        <v>383</v>
      </c>
      <c r="B1113" s="35" t="s">
        <v>2807</v>
      </c>
      <c r="C1113" s="187" t="s">
        <v>1663</v>
      </c>
      <c r="D1113" s="187" t="s">
        <v>1580</v>
      </c>
      <c r="E1113" s="187" t="s">
        <v>1638</v>
      </c>
      <c r="F1113" s="187" t="s">
        <v>1581</v>
      </c>
      <c r="G1113" s="187" t="s">
        <v>1582</v>
      </c>
      <c r="H1113" s="185" t="s">
        <v>193</v>
      </c>
      <c r="I1113" s="186" t="s">
        <v>111</v>
      </c>
      <c r="J1113" s="35" t="s">
        <v>1664</v>
      </c>
      <c r="K1113" s="35" t="s">
        <v>111</v>
      </c>
    </row>
    <row r="1114">
      <c r="A1114" s="183" t="s">
        <v>383</v>
      </c>
      <c r="B1114" s="35" t="s">
        <v>2808</v>
      </c>
      <c r="C1114" s="187" t="s">
        <v>1666</v>
      </c>
      <c r="D1114" s="187" t="s">
        <v>1667</v>
      </c>
      <c r="E1114" s="187" t="s">
        <v>1668</v>
      </c>
      <c r="F1114" s="187" t="s">
        <v>1669</v>
      </c>
      <c r="G1114" s="187" t="s">
        <v>1670</v>
      </c>
      <c r="H1114" s="185" t="s">
        <v>193</v>
      </c>
      <c r="I1114" s="186" t="s">
        <v>111</v>
      </c>
      <c r="J1114" s="35" t="s">
        <v>1899</v>
      </c>
      <c r="K1114" s="35" t="s">
        <v>111</v>
      </c>
    </row>
    <row r="1115">
      <c r="A1115" s="183" t="s">
        <v>383</v>
      </c>
      <c r="B1115" s="35" t="s">
        <v>2809</v>
      </c>
      <c r="C1115" s="187" t="s">
        <v>1672</v>
      </c>
      <c r="D1115" s="187" t="s">
        <v>1673</v>
      </c>
      <c r="E1115" s="187" t="s">
        <v>1674</v>
      </c>
      <c r="F1115" s="187" t="s">
        <v>1675</v>
      </c>
      <c r="G1115" s="187" t="s">
        <v>1651</v>
      </c>
      <c r="H1115" s="185" t="s">
        <v>193</v>
      </c>
      <c r="I1115" s="186" t="s">
        <v>111</v>
      </c>
      <c r="J1115" s="56"/>
      <c r="K1115" s="35" t="s">
        <v>111</v>
      </c>
    </row>
    <row r="1116">
      <c r="A1116" s="183" t="s">
        <v>383</v>
      </c>
      <c r="B1116" s="35" t="s">
        <v>2810</v>
      </c>
      <c r="C1116" s="187" t="s">
        <v>1678</v>
      </c>
      <c r="D1116" s="187" t="s">
        <v>1679</v>
      </c>
      <c r="E1116" s="187" t="s">
        <v>1680</v>
      </c>
      <c r="F1116" s="187" t="s">
        <v>1681</v>
      </c>
      <c r="G1116" s="187" t="s">
        <v>1682</v>
      </c>
      <c r="H1116" s="185" t="s">
        <v>193</v>
      </c>
      <c r="I1116" s="186" t="s">
        <v>111</v>
      </c>
      <c r="J1116" s="35" t="s">
        <v>1899</v>
      </c>
      <c r="K1116" s="35" t="s">
        <v>111</v>
      </c>
    </row>
    <row r="1117">
      <c r="A1117" s="183" t="s">
        <v>383</v>
      </c>
      <c r="B1117" s="35" t="s">
        <v>2811</v>
      </c>
      <c r="C1117" s="187" t="s">
        <v>1684</v>
      </c>
      <c r="D1117" s="187" t="s">
        <v>1679</v>
      </c>
      <c r="E1117" s="187" t="s">
        <v>1680</v>
      </c>
      <c r="F1117" s="187" t="s">
        <v>1675</v>
      </c>
      <c r="G1117" s="187" t="s">
        <v>1682</v>
      </c>
      <c r="H1117" s="185" t="s">
        <v>193</v>
      </c>
      <c r="I1117" s="186" t="s">
        <v>111</v>
      </c>
      <c r="J1117" s="56"/>
      <c r="K1117" s="35" t="s">
        <v>111</v>
      </c>
    </row>
    <row r="1118">
      <c r="A1118" s="183" t="s">
        <v>383</v>
      </c>
      <c r="B1118" s="35" t="s">
        <v>2812</v>
      </c>
      <c r="C1118" s="187" t="s">
        <v>1686</v>
      </c>
      <c r="D1118" s="187" t="s">
        <v>1687</v>
      </c>
      <c r="E1118" s="187" t="s">
        <v>1688</v>
      </c>
      <c r="F1118" s="187" t="s">
        <v>1689</v>
      </c>
      <c r="G1118" s="187" t="s">
        <v>1690</v>
      </c>
      <c r="H1118" s="185" t="s">
        <v>193</v>
      </c>
      <c r="I1118" s="186" t="s">
        <v>36</v>
      </c>
      <c r="J1118" s="56"/>
      <c r="K1118" s="35" t="s">
        <v>36</v>
      </c>
    </row>
    <row r="1119">
      <c r="A1119" s="183" t="s">
        <v>383</v>
      </c>
      <c r="B1119" s="35" t="s">
        <v>2813</v>
      </c>
      <c r="C1119" s="187" t="s">
        <v>1692</v>
      </c>
      <c r="D1119" s="187" t="s">
        <v>1693</v>
      </c>
      <c r="E1119" s="187" t="s">
        <v>1694</v>
      </c>
      <c r="F1119" s="187" t="s">
        <v>1554</v>
      </c>
      <c r="G1119" s="187" t="s">
        <v>1555</v>
      </c>
      <c r="H1119" s="185" t="s">
        <v>193</v>
      </c>
      <c r="I1119" s="186" t="s">
        <v>111</v>
      </c>
      <c r="J1119" s="35" t="s">
        <v>1556</v>
      </c>
      <c r="K1119" s="35" t="s">
        <v>111</v>
      </c>
    </row>
    <row r="1120">
      <c r="A1120" s="183" t="s">
        <v>383</v>
      </c>
      <c r="B1120" s="35" t="s">
        <v>2814</v>
      </c>
      <c r="C1120" s="187" t="s">
        <v>1696</v>
      </c>
      <c r="D1120" s="187" t="s">
        <v>1564</v>
      </c>
      <c r="E1120" s="187" t="s">
        <v>1697</v>
      </c>
      <c r="F1120" s="187" t="s">
        <v>1657</v>
      </c>
      <c r="G1120" s="187" t="s">
        <v>1566</v>
      </c>
      <c r="H1120" s="185" t="s">
        <v>193</v>
      </c>
      <c r="I1120" s="186" t="s">
        <v>36</v>
      </c>
      <c r="J1120" s="56"/>
      <c r="K1120" s="35" t="s">
        <v>36</v>
      </c>
    </row>
    <row r="1121">
      <c r="A1121" s="183" t="s">
        <v>383</v>
      </c>
      <c r="B1121" s="35" t="s">
        <v>2815</v>
      </c>
      <c r="C1121" s="187" t="s">
        <v>1699</v>
      </c>
      <c r="D1121" s="187" t="s">
        <v>1700</v>
      </c>
      <c r="E1121" s="187" t="s">
        <v>1701</v>
      </c>
      <c r="F1121" s="187" t="s">
        <v>1560</v>
      </c>
      <c r="G1121" s="187" t="s">
        <v>1561</v>
      </c>
      <c r="H1121" s="185" t="s">
        <v>193</v>
      </c>
      <c r="I1121" s="186" t="s">
        <v>36</v>
      </c>
      <c r="J1121" s="35"/>
      <c r="K1121" s="35" t="s">
        <v>36</v>
      </c>
    </row>
    <row r="1122">
      <c r="A1122" s="183" t="s">
        <v>383</v>
      </c>
      <c r="B1122" s="35" t="s">
        <v>2816</v>
      </c>
      <c r="C1122" s="187" t="s">
        <v>1703</v>
      </c>
      <c r="D1122" s="187" t="s">
        <v>1569</v>
      </c>
      <c r="E1122" s="187" t="s">
        <v>1622</v>
      </c>
      <c r="F1122" s="187" t="s">
        <v>1570</v>
      </c>
      <c r="G1122" s="187" t="s">
        <v>1571</v>
      </c>
      <c r="H1122" s="185" t="s">
        <v>193</v>
      </c>
      <c r="I1122" s="186" t="s">
        <v>36</v>
      </c>
      <c r="J1122" s="56"/>
      <c r="K1122" s="35" t="s">
        <v>36</v>
      </c>
    </row>
    <row r="1123">
      <c r="A1123" s="183" t="s">
        <v>383</v>
      </c>
      <c r="B1123" s="35" t="s">
        <v>2817</v>
      </c>
      <c r="C1123" s="187" t="s">
        <v>1705</v>
      </c>
      <c r="D1123" s="187" t="s">
        <v>1574</v>
      </c>
      <c r="E1123" s="187" t="s">
        <v>1622</v>
      </c>
      <c r="F1123" s="187" t="s">
        <v>1575</v>
      </c>
      <c r="G1123" s="187" t="s">
        <v>1576</v>
      </c>
      <c r="H1123" s="185" t="s">
        <v>193</v>
      </c>
      <c r="I1123" s="186" t="s">
        <v>111</v>
      </c>
      <c r="J1123" s="35" t="s">
        <v>1577</v>
      </c>
      <c r="K1123" s="35" t="s">
        <v>111</v>
      </c>
    </row>
    <row r="1124">
      <c r="A1124" s="183" t="s">
        <v>383</v>
      </c>
      <c r="B1124" s="35" t="s">
        <v>2818</v>
      </c>
      <c r="C1124" s="187" t="s">
        <v>1707</v>
      </c>
      <c r="D1124" s="187" t="s">
        <v>1580</v>
      </c>
      <c r="E1124" s="187" t="s">
        <v>1622</v>
      </c>
      <c r="F1124" s="187" t="s">
        <v>1581</v>
      </c>
      <c r="G1124" s="187" t="s">
        <v>1582</v>
      </c>
      <c r="H1124" s="185" t="s">
        <v>193</v>
      </c>
      <c r="I1124" s="186" t="s">
        <v>36</v>
      </c>
      <c r="J1124" s="56"/>
      <c r="K1124" s="35" t="s">
        <v>36</v>
      </c>
    </row>
    <row r="1125">
      <c r="A1125" s="183" t="s">
        <v>383</v>
      </c>
      <c r="B1125" s="35" t="s">
        <v>2819</v>
      </c>
      <c r="C1125" s="187" t="s">
        <v>1709</v>
      </c>
      <c r="D1125" s="187" t="s">
        <v>1710</v>
      </c>
      <c r="E1125" s="187" t="s">
        <v>1622</v>
      </c>
      <c r="F1125" s="187" t="s">
        <v>1711</v>
      </c>
      <c r="G1125" s="187" t="s">
        <v>1712</v>
      </c>
      <c r="H1125" s="185" t="s">
        <v>193</v>
      </c>
      <c r="I1125" s="186" t="s">
        <v>111</v>
      </c>
      <c r="J1125" s="35" t="s">
        <v>1911</v>
      </c>
      <c r="K1125" s="35" t="s">
        <v>111</v>
      </c>
    </row>
    <row r="1126">
      <c r="A1126" s="183" t="s">
        <v>383</v>
      </c>
      <c r="B1126" s="35" t="s">
        <v>2820</v>
      </c>
      <c r="C1126" s="187" t="s">
        <v>1714</v>
      </c>
      <c r="D1126" s="187" t="s">
        <v>1715</v>
      </c>
      <c r="E1126" s="187" t="s">
        <v>1716</v>
      </c>
      <c r="F1126" s="187" t="s">
        <v>1717</v>
      </c>
      <c r="G1126" s="187" t="s">
        <v>1718</v>
      </c>
      <c r="H1126" s="185" t="s">
        <v>193</v>
      </c>
      <c r="I1126" s="186" t="s">
        <v>111</v>
      </c>
      <c r="J1126" s="35" t="s">
        <v>1913</v>
      </c>
      <c r="K1126" s="35" t="s">
        <v>111</v>
      </c>
    </row>
    <row r="1127">
      <c r="A1127" s="183" t="s">
        <v>383</v>
      </c>
      <c r="B1127" s="35" t="s">
        <v>2821</v>
      </c>
      <c r="C1127" s="187" t="s">
        <v>1720</v>
      </c>
      <c r="D1127" s="187" t="s">
        <v>1721</v>
      </c>
      <c r="E1127" s="187" t="s">
        <v>1722</v>
      </c>
      <c r="F1127" s="187" t="s">
        <v>1723</v>
      </c>
      <c r="G1127" s="187" t="s">
        <v>1628</v>
      </c>
      <c r="H1127" s="185" t="s">
        <v>193</v>
      </c>
      <c r="I1127" s="186" t="s">
        <v>111</v>
      </c>
      <c r="J1127" s="35" t="s">
        <v>1913</v>
      </c>
      <c r="K1127" s="35" t="s">
        <v>111</v>
      </c>
    </row>
    <row r="1128">
      <c r="A1128" s="183" t="s">
        <v>413</v>
      </c>
      <c r="B1128" s="35" t="s">
        <v>2822</v>
      </c>
      <c r="C1128" s="35" t="s">
        <v>1438</v>
      </c>
      <c r="D1128" s="35" t="s">
        <v>1439</v>
      </c>
      <c r="E1128" s="184" t="s">
        <v>1440</v>
      </c>
      <c r="F1128" s="183" t="s">
        <v>1441</v>
      </c>
      <c r="G1128" s="35" t="s">
        <v>1442</v>
      </c>
      <c r="H1128" s="185" t="s">
        <v>193</v>
      </c>
      <c r="I1128" s="186" t="s">
        <v>36</v>
      </c>
      <c r="J1128" s="56"/>
      <c r="K1128" s="35" t="s">
        <v>36</v>
      </c>
    </row>
    <row r="1129">
      <c r="A1129" s="183" t="s">
        <v>413</v>
      </c>
      <c r="B1129" s="35" t="s">
        <v>2823</v>
      </c>
      <c r="C1129" s="187" t="s">
        <v>1446</v>
      </c>
      <c r="D1129" s="187" t="s">
        <v>1447</v>
      </c>
      <c r="E1129" s="187" t="s">
        <v>1448</v>
      </c>
      <c r="F1129" s="187" t="s">
        <v>1449</v>
      </c>
      <c r="G1129" s="187" t="s">
        <v>1450</v>
      </c>
      <c r="H1129" s="185" t="s">
        <v>193</v>
      </c>
      <c r="I1129" s="186" t="s">
        <v>36</v>
      </c>
      <c r="J1129" s="56"/>
      <c r="K1129" s="35" t="s">
        <v>36</v>
      </c>
    </row>
    <row r="1130">
      <c r="A1130" s="183" t="s">
        <v>413</v>
      </c>
      <c r="B1130" s="35" t="s">
        <v>2824</v>
      </c>
      <c r="C1130" s="187" t="s">
        <v>1453</v>
      </c>
      <c r="D1130" s="187" t="s">
        <v>1454</v>
      </c>
      <c r="E1130" s="187" t="s">
        <v>1448</v>
      </c>
      <c r="F1130" s="187" t="s">
        <v>1455</v>
      </c>
      <c r="G1130" s="187" t="s">
        <v>1456</v>
      </c>
      <c r="H1130" s="185" t="s">
        <v>193</v>
      </c>
      <c r="I1130" s="186" t="s">
        <v>36</v>
      </c>
      <c r="J1130" s="56"/>
      <c r="K1130" s="35" t="s">
        <v>36</v>
      </c>
    </row>
    <row r="1131">
      <c r="A1131" s="183" t="s">
        <v>413</v>
      </c>
      <c r="B1131" s="35" t="s">
        <v>2825</v>
      </c>
      <c r="C1131" s="187" t="s">
        <v>1459</v>
      </c>
      <c r="D1131" s="187" t="s">
        <v>1460</v>
      </c>
      <c r="E1131" s="187" t="s">
        <v>1448</v>
      </c>
      <c r="F1131" s="187" t="s">
        <v>1461</v>
      </c>
      <c r="G1131" s="187" t="s">
        <v>1462</v>
      </c>
      <c r="H1131" s="185" t="s">
        <v>193</v>
      </c>
      <c r="I1131" s="186" t="s">
        <v>36</v>
      </c>
      <c r="J1131" s="56"/>
      <c r="K1131" s="35" t="s">
        <v>36</v>
      </c>
    </row>
    <row r="1132">
      <c r="A1132" s="183" t="s">
        <v>413</v>
      </c>
      <c r="B1132" s="35" t="s">
        <v>2826</v>
      </c>
      <c r="C1132" s="183" t="s">
        <v>1465</v>
      </c>
      <c r="D1132" s="183" t="s">
        <v>1466</v>
      </c>
      <c r="E1132" s="187" t="s">
        <v>1448</v>
      </c>
      <c r="F1132" s="183" t="s">
        <v>1467</v>
      </c>
      <c r="G1132" s="183" t="s">
        <v>1468</v>
      </c>
      <c r="H1132" s="185" t="s">
        <v>193</v>
      </c>
      <c r="I1132" s="186" t="s">
        <v>111</v>
      </c>
      <c r="J1132" s="35" t="s">
        <v>1469</v>
      </c>
      <c r="K1132" s="35" t="s">
        <v>111</v>
      </c>
    </row>
    <row r="1133">
      <c r="A1133" s="183" t="s">
        <v>413</v>
      </c>
      <c r="B1133" s="35" t="s">
        <v>2827</v>
      </c>
      <c r="C1133" s="183" t="s">
        <v>1471</v>
      </c>
      <c r="D1133" s="183" t="s">
        <v>1472</v>
      </c>
      <c r="E1133" s="187" t="s">
        <v>1448</v>
      </c>
      <c r="F1133" s="183" t="s">
        <v>1473</v>
      </c>
      <c r="G1133" s="183" t="s">
        <v>1474</v>
      </c>
      <c r="H1133" s="185" t="s">
        <v>193</v>
      </c>
      <c r="I1133" s="186" t="s">
        <v>111</v>
      </c>
      <c r="J1133" s="35" t="s">
        <v>1475</v>
      </c>
      <c r="K1133" s="35" t="s">
        <v>111</v>
      </c>
    </row>
    <row r="1134">
      <c r="A1134" s="183" t="s">
        <v>413</v>
      </c>
      <c r="B1134" s="35" t="s">
        <v>2828</v>
      </c>
      <c r="C1134" s="183" t="s">
        <v>1477</v>
      </c>
      <c r="D1134" s="183" t="s">
        <v>1478</v>
      </c>
      <c r="E1134" s="187" t="s">
        <v>1448</v>
      </c>
      <c r="F1134" s="183" t="s">
        <v>1479</v>
      </c>
      <c r="G1134" s="183" t="s">
        <v>1468</v>
      </c>
      <c r="H1134" s="185" t="s">
        <v>193</v>
      </c>
      <c r="I1134" s="186" t="s">
        <v>111</v>
      </c>
      <c r="J1134" s="35" t="s">
        <v>1469</v>
      </c>
      <c r="K1134" s="35" t="s">
        <v>111</v>
      </c>
    </row>
    <row r="1135">
      <c r="A1135" s="183" t="s">
        <v>413</v>
      </c>
      <c r="B1135" s="35" t="s">
        <v>2829</v>
      </c>
      <c r="C1135" s="183" t="s">
        <v>1481</v>
      </c>
      <c r="D1135" s="183" t="s">
        <v>1472</v>
      </c>
      <c r="E1135" s="187" t="s">
        <v>1448</v>
      </c>
      <c r="F1135" s="183" t="s">
        <v>1482</v>
      </c>
      <c r="G1135" s="183" t="s">
        <v>1474</v>
      </c>
      <c r="H1135" s="185" t="s">
        <v>193</v>
      </c>
      <c r="I1135" s="186" t="s">
        <v>111</v>
      </c>
      <c r="J1135" s="183" t="s">
        <v>1475</v>
      </c>
      <c r="K1135" s="35" t="s">
        <v>111</v>
      </c>
    </row>
    <row r="1136">
      <c r="A1136" s="183" t="s">
        <v>413</v>
      </c>
      <c r="B1136" s="35" t="s">
        <v>2830</v>
      </c>
      <c r="C1136" s="183" t="s">
        <v>1484</v>
      </c>
      <c r="D1136" s="183" t="s">
        <v>1472</v>
      </c>
      <c r="E1136" s="187" t="s">
        <v>1448</v>
      </c>
      <c r="F1136" s="183" t="s">
        <v>1485</v>
      </c>
      <c r="G1136" s="183" t="s">
        <v>1486</v>
      </c>
      <c r="H1136" s="185" t="s">
        <v>193</v>
      </c>
      <c r="I1136" s="186" t="s">
        <v>111</v>
      </c>
      <c r="J1136" s="183" t="s">
        <v>1475</v>
      </c>
      <c r="K1136" s="35" t="s">
        <v>111</v>
      </c>
    </row>
    <row r="1137">
      <c r="A1137" s="183" t="s">
        <v>413</v>
      </c>
      <c r="B1137" s="35" t="s">
        <v>2831</v>
      </c>
      <c r="C1137" s="187" t="s">
        <v>1488</v>
      </c>
      <c r="D1137" s="187" t="s">
        <v>1489</v>
      </c>
      <c r="E1137" s="187" t="s">
        <v>1490</v>
      </c>
      <c r="F1137" s="187" t="s">
        <v>1491</v>
      </c>
      <c r="G1137" s="187" t="s">
        <v>1492</v>
      </c>
      <c r="H1137" s="185" t="s">
        <v>193</v>
      </c>
      <c r="I1137" s="186" t="s">
        <v>36</v>
      </c>
      <c r="J1137" s="56"/>
      <c r="K1137" s="35" t="s">
        <v>36</v>
      </c>
    </row>
    <row r="1138">
      <c r="A1138" s="183" t="s">
        <v>413</v>
      </c>
      <c r="B1138" s="35" t="s">
        <v>2832</v>
      </c>
      <c r="C1138" s="187" t="s">
        <v>1494</v>
      </c>
      <c r="D1138" s="183" t="s">
        <v>1495</v>
      </c>
      <c r="E1138" s="187" t="s">
        <v>1496</v>
      </c>
      <c r="F1138" s="187" t="s">
        <v>1497</v>
      </c>
      <c r="G1138" s="187" t="s">
        <v>1498</v>
      </c>
      <c r="H1138" s="185" t="s">
        <v>193</v>
      </c>
      <c r="I1138" s="186" t="s">
        <v>111</v>
      </c>
      <c r="J1138" s="35" t="s">
        <v>1499</v>
      </c>
      <c r="K1138" s="35" t="s">
        <v>111</v>
      </c>
    </row>
    <row r="1139">
      <c r="A1139" s="183" t="s">
        <v>413</v>
      </c>
      <c r="B1139" s="35" t="s">
        <v>2833</v>
      </c>
      <c r="C1139" s="187" t="s">
        <v>1501</v>
      </c>
      <c r="D1139" s="187" t="s">
        <v>1502</v>
      </c>
      <c r="E1139" s="187" t="s">
        <v>1503</v>
      </c>
      <c r="F1139" s="187" t="s">
        <v>1491</v>
      </c>
      <c r="G1139" s="187" t="s">
        <v>1504</v>
      </c>
      <c r="H1139" s="185" t="s">
        <v>193</v>
      </c>
      <c r="I1139" s="186" t="s">
        <v>36</v>
      </c>
      <c r="J1139" s="56"/>
      <c r="K1139" s="35" t="s">
        <v>36</v>
      </c>
    </row>
    <row r="1140">
      <c r="A1140" s="183" t="s">
        <v>413</v>
      </c>
      <c r="B1140" s="35" t="s">
        <v>2834</v>
      </c>
      <c r="C1140" s="187" t="s">
        <v>1506</v>
      </c>
      <c r="D1140" s="187" t="s">
        <v>1507</v>
      </c>
      <c r="E1140" s="187" t="s">
        <v>1508</v>
      </c>
      <c r="F1140" s="187" t="s">
        <v>1491</v>
      </c>
      <c r="G1140" s="187" t="s">
        <v>1509</v>
      </c>
      <c r="H1140" s="185" t="s">
        <v>193</v>
      </c>
      <c r="I1140" s="186" t="s">
        <v>36</v>
      </c>
      <c r="J1140" s="56"/>
      <c r="K1140" s="35" t="s">
        <v>36</v>
      </c>
    </row>
    <row r="1141">
      <c r="A1141" s="183" t="s">
        <v>413</v>
      </c>
      <c r="B1141" s="35" t="s">
        <v>2835</v>
      </c>
      <c r="C1141" s="187" t="s">
        <v>1511</v>
      </c>
      <c r="D1141" s="187" t="s">
        <v>1512</v>
      </c>
      <c r="E1141" s="187" t="s">
        <v>1513</v>
      </c>
      <c r="F1141" s="187" t="s">
        <v>1491</v>
      </c>
      <c r="G1141" s="187" t="s">
        <v>1514</v>
      </c>
      <c r="H1141" s="185" t="s">
        <v>193</v>
      </c>
      <c r="I1141" s="186" t="s">
        <v>36</v>
      </c>
      <c r="J1141" s="56"/>
      <c r="K1141" s="35" t="s">
        <v>36</v>
      </c>
    </row>
    <row r="1142">
      <c r="A1142" s="183" t="s">
        <v>413</v>
      </c>
      <c r="B1142" s="35" t="s">
        <v>2836</v>
      </c>
      <c r="C1142" s="187" t="s">
        <v>1516</v>
      </c>
      <c r="D1142" s="187" t="s">
        <v>1517</v>
      </c>
      <c r="E1142" s="187" t="s">
        <v>1518</v>
      </c>
      <c r="F1142" s="187" t="s">
        <v>1519</v>
      </c>
      <c r="G1142" s="187" t="s">
        <v>1520</v>
      </c>
      <c r="H1142" s="185" t="s">
        <v>193</v>
      </c>
      <c r="I1142" s="186" t="s">
        <v>111</v>
      </c>
      <c r="J1142" s="35" t="s">
        <v>1521</v>
      </c>
      <c r="K1142" s="35" t="s">
        <v>111</v>
      </c>
    </row>
    <row r="1143">
      <c r="A1143" s="183" t="s">
        <v>413</v>
      </c>
      <c r="B1143" s="35" t="s">
        <v>2837</v>
      </c>
      <c r="C1143" s="187" t="s">
        <v>1523</v>
      </c>
      <c r="D1143" s="187" t="s">
        <v>1524</v>
      </c>
      <c r="E1143" s="187" t="s">
        <v>1525</v>
      </c>
      <c r="F1143" s="187" t="s">
        <v>1526</v>
      </c>
      <c r="G1143" s="187" t="s">
        <v>1527</v>
      </c>
      <c r="H1143" s="185" t="s">
        <v>193</v>
      </c>
      <c r="I1143" s="186" t="s">
        <v>111</v>
      </c>
      <c r="J1143" s="35" t="s">
        <v>1521</v>
      </c>
      <c r="K1143" s="35" t="s">
        <v>111</v>
      </c>
    </row>
    <row r="1144">
      <c r="A1144" s="183" t="s">
        <v>413</v>
      </c>
      <c r="B1144" s="35" t="s">
        <v>2838</v>
      </c>
      <c r="C1144" s="187" t="s">
        <v>1529</v>
      </c>
      <c r="D1144" s="187" t="s">
        <v>1530</v>
      </c>
      <c r="E1144" s="187" t="s">
        <v>1531</v>
      </c>
      <c r="F1144" s="187" t="s">
        <v>1532</v>
      </c>
      <c r="G1144" s="187" t="s">
        <v>1533</v>
      </c>
      <c r="H1144" s="185" t="s">
        <v>193</v>
      </c>
      <c r="I1144" s="186" t="s">
        <v>111</v>
      </c>
      <c r="J1144" s="35" t="s">
        <v>1521</v>
      </c>
      <c r="K1144" s="35" t="s">
        <v>111</v>
      </c>
    </row>
    <row r="1145">
      <c r="A1145" s="183" t="s">
        <v>413</v>
      </c>
      <c r="B1145" s="35" t="s">
        <v>2839</v>
      </c>
      <c r="C1145" s="187" t="s">
        <v>1535</v>
      </c>
      <c r="D1145" s="187" t="s">
        <v>1536</v>
      </c>
      <c r="E1145" s="187" t="s">
        <v>1537</v>
      </c>
      <c r="F1145" s="187" t="s">
        <v>1538</v>
      </c>
      <c r="G1145" s="187" t="s">
        <v>1539</v>
      </c>
      <c r="H1145" s="185" t="s">
        <v>193</v>
      </c>
      <c r="I1145" s="186" t="s">
        <v>111</v>
      </c>
      <c r="J1145" s="35" t="s">
        <v>1521</v>
      </c>
      <c r="K1145" s="35" t="s">
        <v>111</v>
      </c>
    </row>
    <row r="1146">
      <c r="A1146" s="183" t="s">
        <v>413</v>
      </c>
      <c r="B1146" s="35" t="s">
        <v>2840</v>
      </c>
      <c r="C1146" s="187" t="s">
        <v>1541</v>
      </c>
      <c r="D1146" s="187" t="s">
        <v>1542</v>
      </c>
      <c r="E1146" s="187" t="s">
        <v>1543</v>
      </c>
      <c r="F1146" s="187" t="s">
        <v>1544</v>
      </c>
      <c r="G1146" s="187" t="s">
        <v>1545</v>
      </c>
      <c r="H1146" s="185" t="s">
        <v>193</v>
      </c>
      <c r="I1146" s="186" t="s">
        <v>36</v>
      </c>
      <c r="J1146" s="56"/>
      <c r="K1146" s="35" t="s">
        <v>36</v>
      </c>
    </row>
    <row r="1147">
      <c r="A1147" s="183" t="s">
        <v>413</v>
      </c>
      <c r="B1147" s="35" t="s">
        <v>2841</v>
      </c>
      <c r="C1147" s="187" t="s">
        <v>1547</v>
      </c>
      <c r="D1147" s="187" t="s">
        <v>1548</v>
      </c>
      <c r="E1147" s="187" t="s">
        <v>1448</v>
      </c>
      <c r="F1147" s="187" t="s">
        <v>1549</v>
      </c>
      <c r="G1147" s="187" t="s">
        <v>1550</v>
      </c>
      <c r="H1147" s="185" t="s">
        <v>193</v>
      </c>
      <c r="I1147" s="186" t="s">
        <v>36</v>
      </c>
      <c r="J1147" s="56"/>
      <c r="K1147" s="35" t="s">
        <v>36</v>
      </c>
    </row>
    <row r="1148">
      <c r="A1148" s="183" t="s">
        <v>413</v>
      </c>
      <c r="B1148" s="35" t="s">
        <v>2842</v>
      </c>
      <c r="C1148" s="187" t="s">
        <v>1552</v>
      </c>
      <c r="D1148" s="187" t="s">
        <v>1553</v>
      </c>
      <c r="E1148" s="187" t="s">
        <v>1448</v>
      </c>
      <c r="F1148" s="187" t="s">
        <v>1554</v>
      </c>
      <c r="G1148" s="187" t="s">
        <v>1555</v>
      </c>
      <c r="H1148" s="185" t="s">
        <v>193</v>
      </c>
      <c r="I1148" s="186" t="s">
        <v>111</v>
      </c>
      <c r="J1148" s="35" t="s">
        <v>1556</v>
      </c>
      <c r="K1148" s="35" t="s">
        <v>111</v>
      </c>
    </row>
    <row r="1149">
      <c r="A1149" s="183" t="s">
        <v>413</v>
      </c>
      <c r="B1149" s="35" t="s">
        <v>2843</v>
      </c>
      <c r="C1149" s="187" t="s">
        <v>1558</v>
      </c>
      <c r="D1149" s="187" t="s">
        <v>1559</v>
      </c>
      <c r="E1149" s="187" t="s">
        <v>1448</v>
      </c>
      <c r="F1149" s="187" t="s">
        <v>1560</v>
      </c>
      <c r="G1149" s="187" t="s">
        <v>1561</v>
      </c>
      <c r="H1149" s="185" t="s">
        <v>193</v>
      </c>
      <c r="I1149" s="186" t="s">
        <v>36</v>
      </c>
      <c r="J1149" s="35"/>
      <c r="K1149" s="35" t="s">
        <v>36</v>
      </c>
    </row>
    <row r="1150">
      <c r="A1150" s="183" t="s">
        <v>413</v>
      </c>
      <c r="B1150" s="35" t="s">
        <v>2844</v>
      </c>
      <c r="C1150" s="187" t="s">
        <v>1563</v>
      </c>
      <c r="D1150" s="187" t="s">
        <v>1564</v>
      </c>
      <c r="E1150" s="187" t="s">
        <v>1448</v>
      </c>
      <c r="F1150" s="187" t="s">
        <v>1565</v>
      </c>
      <c r="G1150" s="187" t="s">
        <v>1566</v>
      </c>
      <c r="H1150" s="185" t="s">
        <v>193</v>
      </c>
      <c r="I1150" s="186" t="s">
        <v>36</v>
      </c>
      <c r="J1150" s="35"/>
      <c r="K1150" s="35" t="s">
        <v>36</v>
      </c>
    </row>
    <row r="1151">
      <c r="A1151" s="183" t="s">
        <v>413</v>
      </c>
      <c r="B1151" s="35" t="s">
        <v>2845</v>
      </c>
      <c r="C1151" s="187" t="s">
        <v>1568</v>
      </c>
      <c r="D1151" s="187" t="s">
        <v>1569</v>
      </c>
      <c r="E1151" s="187" t="s">
        <v>1448</v>
      </c>
      <c r="F1151" s="187" t="s">
        <v>1570</v>
      </c>
      <c r="G1151" s="187" t="s">
        <v>1571</v>
      </c>
      <c r="H1151" s="185" t="s">
        <v>193</v>
      </c>
      <c r="I1151" s="186" t="s">
        <v>36</v>
      </c>
      <c r="J1151" s="56"/>
      <c r="K1151" s="35" t="s">
        <v>36</v>
      </c>
    </row>
    <row r="1152">
      <c r="A1152" s="183" t="s">
        <v>413</v>
      </c>
      <c r="B1152" s="35" t="s">
        <v>2846</v>
      </c>
      <c r="C1152" s="187" t="s">
        <v>1573</v>
      </c>
      <c r="D1152" s="187" t="s">
        <v>1574</v>
      </c>
      <c r="E1152" s="187" t="s">
        <v>1448</v>
      </c>
      <c r="F1152" s="187" t="s">
        <v>1575</v>
      </c>
      <c r="G1152" s="187" t="s">
        <v>1576</v>
      </c>
      <c r="H1152" s="185" t="s">
        <v>193</v>
      </c>
      <c r="I1152" s="186" t="s">
        <v>111</v>
      </c>
      <c r="J1152" s="35" t="s">
        <v>1577</v>
      </c>
      <c r="K1152" s="35" t="s">
        <v>111</v>
      </c>
    </row>
    <row r="1153">
      <c r="A1153" s="183" t="s">
        <v>413</v>
      </c>
      <c r="B1153" s="35" t="s">
        <v>2847</v>
      </c>
      <c r="C1153" s="187" t="s">
        <v>1579</v>
      </c>
      <c r="D1153" s="187" t="s">
        <v>1580</v>
      </c>
      <c r="E1153" s="187" t="s">
        <v>1448</v>
      </c>
      <c r="F1153" s="187" t="s">
        <v>1581</v>
      </c>
      <c r="G1153" s="187" t="s">
        <v>1582</v>
      </c>
      <c r="H1153" s="185" t="s">
        <v>193</v>
      </c>
      <c r="I1153" s="186" t="s">
        <v>36</v>
      </c>
      <c r="J1153" s="56"/>
      <c r="K1153" s="35" t="s">
        <v>36</v>
      </c>
    </row>
    <row r="1154">
      <c r="A1154" s="183" t="s">
        <v>413</v>
      </c>
      <c r="B1154" s="35" t="s">
        <v>2848</v>
      </c>
      <c r="C1154" s="187" t="s">
        <v>1584</v>
      </c>
      <c r="D1154" s="187" t="s">
        <v>1585</v>
      </c>
      <c r="E1154" s="187" t="s">
        <v>1586</v>
      </c>
      <c r="F1154" s="187" t="s">
        <v>1587</v>
      </c>
      <c r="G1154" s="187" t="s">
        <v>1588</v>
      </c>
      <c r="H1154" s="185" t="s">
        <v>193</v>
      </c>
      <c r="I1154" s="186" t="s">
        <v>36</v>
      </c>
      <c r="J1154" s="56"/>
      <c r="K1154" s="35" t="s">
        <v>36</v>
      </c>
    </row>
    <row r="1155">
      <c r="A1155" s="183" t="s">
        <v>413</v>
      </c>
      <c r="B1155" s="35" t="s">
        <v>2849</v>
      </c>
      <c r="C1155" s="187" t="s">
        <v>1590</v>
      </c>
      <c r="D1155" s="187" t="s">
        <v>1591</v>
      </c>
      <c r="E1155" s="187" t="s">
        <v>1592</v>
      </c>
      <c r="F1155" s="187" t="s">
        <v>1593</v>
      </c>
      <c r="G1155" s="187" t="s">
        <v>1594</v>
      </c>
      <c r="H1155" s="185" t="s">
        <v>193</v>
      </c>
      <c r="I1155" s="186" t="s">
        <v>111</v>
      </c>
      <c r="J1155" s="35" t="s">
        <v>1595</v>
      </c>
      <c r="K1155" s="35" t="s">
        <v>111</v>
      </c>
    </row>
    <row r="1156">
      <c r="A1156" s="183" t="s">
        <v>413</v>
      </c>
      <c r="B1156" s="35" t="s">
        <v>2850</v>
      </c>
      <c r="C1156" s="187" t="s">
        <v>1597</v>
      </c>
      <c r="D1156" s="187" t="s">
        <v>1598</v>
      </c>
      <c r="E1156" s="187" t="s">
        <v>1599</v>
      </c>
      <c r="F1156" s="187" t="s">
        <v>1600</v>
      </c>
      <c r="G1156" s="187" t="s">
        <v>1601</v>
      </c>
      <c r="H1156" s="185" t="s">
        <v>193</v>
      </c>
      <c r="I1156" s="186" t="s">
        <v>111</v>
      </c>
      <c r="J1156" s="35" t="s">
        <v>1944</v>
      </c>
      <c r="K1156" s="35" t="s">
        <v>111</v>
      </c>
    </row>
    <row r="1157">
      <c r="A1157" s="183" t="s">
        <v>413</v>
      </c>
      <c r="B1157" s="35" t="s">
        <v>2851</v>
      </c>
      <c r="C1157" s="187" t="s">
        <v>1603</v>
      </c>
      <c r="D1157" s="187" t="s">
        <v>1604</v>
      </c>
      <c r="E1157" s="187" t="s">
        <v>1605</v>
      </c>
      <c r="F1157" s="187" t="s">
        <v>1606</v>
      </c>
      <c r="G1157" s="187" t="s">
        <v>1607</v>
      </c>
      <c r="H1157" s="185" t="s">
        <v>193</v>
      </c>
      <c r="I1157" s="186" t="s">
        <v>36</v>
      </c>
      <c r="J1157" s="35"/>
      <c r="K1157" s="35" t="s">
        <v>36</v>
      </c>
    </row>
    <row r="1158">
      <c r="A1158" s="183" t="s">
        <v>413</v>
      </c>
      <c r="B1158" s="35" t="s">
        <v>2852</v>
      </c>
      <c r="C1158" s="187" t="s">
        <v>1609</v>
      </c>
      <c r="D1158" s="187" t="s">
        <v>1610</v>
      </c>
      <c r="E1158" s="187" t="s">
        <v>1611</v>
      </c>
      <c r="F1158" s="187" t="s">
        <v>1612</v>
      </c>
      <c r="G1158" s="187" t="s">
        <v>1613</v>
      </c>
      <c r="H1158" s="185" t="s">
        <v>193</v>
      </c>
      <c r="I1158" s="186" t="s">
        <v>36</v>
      </c>
      <c r="J1158" s="56"/>
      <c r="K1158" s="35" t="s">
        <v>36</v>
      </c>
    </row>
    <row r="1159">
      <c r="A1159" s="183" t="s">
        <v>413</v>
      </c>
      <c r="B1159" s="35" t="s">
        <v>2853</v>
      </c>
      <c r="C1159" s="187" t="s">
        <v>1615</v>
      </c>
      <c r="D1159" s="187" t="s">
        <v>1616</v>
      </c>
      <c r="E1159" s="187" t="s">
        <v>1611</v>
      </c>
      <c r="F1159" s="187" t="s">
        <v>1617</v>
      </c>
      <c r="G1159" s="187" t="s">
        <v>1618</v>
      </c>
      <c r="H1159" s="185" t="s">
        <v>193</v>
      </c>
      <c r="I1159" s="186" t="s">
        <v>36</v>
      </c>
      <c r="J1159" s="56"/>
      <c r="K1159" s="35" t="s">
        <v>36</v>
      </c>
    </row>
    <row r="1160">
      <c r="A1160" s="183" t="s">
        <v>413</v>
      </c>
      <c r="B1160" s="35" t="s">
        <v>2854</v>
      </c>
      <c r="C1160" s="187" t="s">
        <v>1620</v>
      </c>
      <c r="D1160" s="187" t="s">
        <v>1621</v>
      </c>
      <c r="E1160" s="187" t="s">
        <v>1622</v>
      </c>
      <c r="F1160" s="187" t="s">
        <v>1623</v>
      </c>
      <c r="G1160" s="187" t="s">
        <v>1624</v>
      </c>
      <c r="H1160" s="185" t="s">
        <v>193</v>
      </c>
      <c r="I1160" s="186" t="s">
        <v>36</v>
      </c>
      <c r="J1160" s="56"/>
      <c r="K1160" s="35" t="s">
        <v>36</v>
      </c>
    </row>
    <row r="1161">
      <c r="A1161" s="183" t="s">
        <v>413</v>
      </c>
      <c r="B1161" s="35" t="s">
        <v>2855</v>
      </c>
      <c r="C1161" s="187" t="s">
        <v>1626</v>
      </c>
      <c r="D1161" s="187" t="s">
        <v>1627</v>
      </c>
      <c r="E1161" s="187" t="s">
        <v>1622</v>
      </c>
      <c r="F1161" s="187" t="s">
        <v>1549</v>
      </c>
      <c r="G1161" s="187" t="s">
        <v>1628</v>
      </c>
      <c r="H1161" s="185" t="s">
        <v>193</v>
      </c>
      <c r="I1161" s="186" t="s">
        <v>36</v>
      </c>
      <c r="J1161" s="56"/>
      <c r="K1161" s="35" t="s">
        <v>36</v>
      </c>
    </row>
    <row r="1162">
      <c r="A1162" s="183" t="s">
        <v>413</v>
      </c>
      <c r="B1162" s="35" t="s">
        <v>2856</v>
      </c>
      <c r="C1162" s="187" t="s">
        <v>1630</v>
      </c>
      <c r="D1162" s="187" t="s">
        <v>1631</v>
      </c>
      <c r="E1162" s="187" t="s">
        <v>1632</v>
      </c>
      <c r="F1162" s="187" t="s">
        <v>1633</v>
      </c>
      <c r="G1162" s="187" t="s">
        <v>1634</v>
      </c>
      <c r="H1162" s="185" t="s">
        <v>193</v>
      </c>
      <c r="I1162" s="186" t="s">
        <v>36</v>
      </c>
      <c r="J1162" s="56"/>
      <c r="K1162" s="35" t="s">
        <v>36</v>
      </c>
    </row>
    <row r="1163">
      <c r="A1163" s="183" t="s">
        <v>413</v>
      </c>
      <c r="B1163" s="35" t="s">
        <v>2857</v>
      </c>
      <c r="C1163" s="187" t="s">
        <v>1636</v>
      </c>
      <c r="D1163" s="187" t="s">
        <v>1637</v>
      </c>
      <c r="E1163" s="187" t="s">
        <v>1638</v>
      </c>
      <c r="F1163" s="187" t="s">
        <v>1639</v>
      </c>
      <c r="G1163" s="187" t="s">
        <v>1588</v>
      </c>
      <c r="H1163" s="185" t="s">
        <v>193</v>
      </c>
      <c r="I1163" s="186" t="s">
        <v>36</v>
      </c>
      <c r="J1163" s="56"/>
      <c r="K1163" s="35" t="s">
        <v>36</v>
      </c>
    </row>
    <row r="1164">
      <c r="A1164" s="183" t="s">
        <v>413</v>
      </c>
      <c r="B1164" s="35" t="s">
        <v>2858</v>
      </c>
      <c r="C1164" s="187" t="s">
        <v>1641</v>
      </c>
      <c r="D1164" s="187" t="s">
        <v>1642</v>
      </c>
      <c r="E1164" s="187" t="s">
        <v>1638</v>
      </c>
      <c r="F1164" s="187" t="s">
        <v>1643</v>
      </c>
      <c r="G1164" s="187" t="s">
        <v>1594</v>
      </c>
      <c r="H1164" s="185" t="s">
        <v>193</v>
      </c>
      <c r="I1164" s="186" t="s">
        <v>111</v>
      </c>
      <c r="J1164" s="35" t="s">
        <v>1595</v>
      </c>
      <c r="K1164" s="35" t="s">
        <v>111</v>
      </c>
    </row>
    <row r="1165">
      <c r="A1165" s="183" t="s">
        <v>413</v>
      </c>
      <c r="B1165" s="35" t="s">
        <v>2859</v>
      </c>
      <c r="C1165" s="187" t="s">
        <v>1645</v>
      </c>
      <c r="D1165" s="187" t="s">
        <v>1646</v>
      </c>
      <c r="E1165" s="187" t="s">
        <v>1638</v>
      </c>
      <c r="F1165" s="187" t="s">
        <v>1647</v>
      </c>
      <c r="G1165" s="187" t="s">
        <v>1601</v>
      </c>
      <c r="H1165" s="185" t="s">
        <v>193</v>
      </c>
      <c r="I1165" s="186" t="s">
        <v>111</v>
      </c>
      <c r="J1165" s="35" t="s">
        <v>1944</v>
      </c>
      <c r="K1165" s="35" t="s">
        <v>111</v>
      </c>
    </row>
    <row r="1166">
      <c r="A1166" s="183" t="s">
        <v>413</v>
      </c>
      <c r="B1166" s="35" t="s">
        <v>2860</v>
      </c>
      <c r="C1166" s="187" t="s">
        <v>1649</v>
      </c>
      <c r="D1166" s="187" t="s">
        <v>1650</v>
      </c>
      <c r="E1166" s="187" t="s">
        <v>1638</v>
      </c>
      <c r="F1166" s="187" t="s">
        <v>1554</v>
      </c>
      <c r="G1166" s="187" t="s">
        <v>1651</v>
      </c>
      <c r="H1166" s="185" t="s">
        <v>193</v>
      </c>
      <c r="I1166" s="186" t="s">
        <v>111</v>
      </c>
      <c r="J1166" s="56"/>
      <c r="K1166" s="35" t="s">
        <v>111</v>
      </c>
    </row>
    <row r="1167">
      <c r="A1167" s="183" t="s">
        <v>413</v>
      </c>
      <c r="B1167" s="35" t="s">
        <v>2861</v>
      </c>
      <c r="C1167" s="187" t="s">
        <v>1653</v>
      </c>
      <c r="D1167" s="187" t="s">
        <v>1654</v>
      </c>
      <c r="E1167" s="187" t="s">
        <v>1638</v>
      </c>
      <c r="F1167" s="187" t="s">
        <v>1560</v>
      </c>
      <c r="G1167" s="187" t="s">
        <v>1561</v>
      </c>
      <c r="H1167" s="185" t="s">
        <v>193</v>
      </c>
      <c r="I1167" s="186" t="s">
        <v>36</v>
      </c>
      <c r="J1167" s="56"/>
      <c r="K1167" s="35" t="s">
        <v>36</v>
      </c>
    </row>
    <row r="1168">
      <c r="A1168" s="183" t="s">
        <v>413</v>
      </c>
      <c r="B1168" s="35" t="s">
        <v>2862</v>
      </c>
      <c r="C1168" s="187" t="s">
        <v>1656</v>
      </c>
      <c r="D1168" s="187" t="s">
        <v>1564</v>
      </c>
      <c r="E1168" s="187" t="s">
        <v>1638</v>
      </c>
      <c r="F1168" s="187" t="s">
        <v>1657</v>
      </c>
      <c r="G1168" s="187" t="s">
        <v>1566</v>
      </c>
      <c r="H1168" s="185" t="s">
        <v>193</v>
      </c>
      <c r="I1168" s="186" t="s">
        <v>36</v>
      </c>
      <c r="J1168" s="56"/>
      <c r="K1168" s="35" t="s">
        <v>36</v>
      </c>
    </row>
    <row r="1169">
      <c r="A1169" s="183" t="s">
        <v>413</v>
      </c>
      <c r="B1169" s="35" t="s">
        <v>2863</v>
      </c>
      <c r="C1169" s="187" t="s">
        <v>1659</v>
      </c>
      <c r="D1169" s="187" t="s">
        <v>1569</v>
      </c>
      <c r="E1169" s="187" t="s">
        <v>1638</v>
      </c>
      <c r="F1169" s="187" t="s">
        <v>1570</v>
      </c>
      <c r="G1169" s="187" t="s">
        <v>1571</v>
      </c>
      <c r="H1169" s="185" t="s">
        <v>193</v>
      </c>
      <c r="I1169" s="186" t="s">
        <v>36</v>
      </c>
      <c r="J1169" s="56"/>
      <c r="K1169" s="35" t="s">
        <v>36</v>
      </c>
    </row>
    <row r="1170">
      <c r="A1170" s="183" t="s">
        <v>413</v>
      </c>
      <c r="B1170" s="35" t="s">
        <v>2864</v>
      </c>
      <c r="C1170" s="187" t="s">
        <v>1661</v>
      </c>
      <c r="D1170" s="187" t="s">
        <v>1574</v>
      </c>
      <c r="E1170" s="187" t="s">
        <v>1638</v>
      </c>
      <c r="F1170" s="187" t="s">
        <v>1575</v>
      </c>
      <c r="G1170" s="187" t="s">
        <v>1576</v>
      </c>
      <c r="H1170" s="185" t="s">
        <v>193</v>
      </c>
      <c r="I1170" s="186" t="s">
        <v>111</v>
      </c>
      <c r="J1170" s="35" t="s">
        <v>1577</v>
      </c>
      <c r="K1170" s="35" t="s">
        <v>111</v>
      </c>
    </row>
    <row r="1171">
      <c r="A1171" s="183" t="s">
        <v>413</v>
      </c>
      <c r="B1171" s="35" t="s">
        <v>2865</v>
      </c>
      <c r="C1171" s="187" t="s">
        <v>1663</v>
      </c>
      <c r="D1171" s="187" t="s">
        <v>1580</v>
      </c>
      <c r="E1171" s="187" t="s">
        <v>1638</v>
      </c>
      <c r="F1171" s="187" t="s">
        <v>1581</v>
      </c>
      <c r="G1171" s="187" t="s">
        <v>1582</v>
      </c>
      <c r="H1171" s="185" t="s">
        <v>193</v>
      </c>
      <c r="I1171" s="186" t="s">
        <v>111</v>
      </c>
      <c r="J1171" s="35" t="s">
        <v>1664</v>
      </c>
      <c r="K1171" s="35" t="s">
        <v>111</v>
      </c>
    </row>
    <row r="1172">
      <c r="A1172" s="183" t="s">
        <v>413</v>
      </c>
      <c r="B1172" s="35" t="s">
        <v>2866</v>
      </c>
      <c r="C1172" s="187" t="s">
        <v>1666</v>
      </c>
      <c r="D1172" s="187" t="s">
        <v>1667</v>
      </c>
      <c r="E1172" s="187" t="s">
        <v>1668</v>
      </c>
      <c r="F1172" s="187" t="s">
        <v>1669</v>
      </c>
      <c r="G1172" s="187" t="s">
        <v>1670</v>
      </c>
      <c r="H1172" s="185" t="s">
        <v>193</v>
      </c>
      <c r="I1172" s="186" t="s">
        <v>36</v>
      </c>
      <c r="J1172" s="56"/>
      <c r="K1172" s="35" t="s">
        <v>36</v>
      </c>
    </row>
    <row r="1173">
      <c r="A1173" s="183" t="s">
        <v>413</v>
      </c>
      <c r="B1173" s="35" t="s">
        <v>2867</v>
      </c>
      <c r="C1173" s="187" t="s">
        <v>1672</v>
      </c>
      <c r="D1173" s="187" t="s">
        <v>1673</v>
      </c>
      <c r="E1173" s="187" t="s">
        <v>1674</v>
      </c>
      <c r="F1173" s="187" t="s">
        <v>1675</v>
      </c>
      <c r="G1173" s="187" t="s">
        <v>1962</v>
      </c>
      <c r="H1173" s="185" t="s">
        <v>193</v>
      </c>
      <c r="I1173" s="186" t="s">
        <v>36</v>
      </c>
      <c r="J1173" s="56"/>
      <c r="K1173" s="35" t="s">
        <v>36</v>
      </c>
    </row>
    <row r="1174">
      <c r="A1174" s="183" t="s">
        <v>413</v>
      </c>
      <c r="B1174" s="35" t="s">
        <v>2868</v>
      </c>
      <c r="C1174" s="187" t="s">
        <v>1678</v>
      </c>
      <c r="D1174" s="187" t="s">
        <v>1679</v>
      </c>
      <c r="E1174" s="187" t="s">
        <v>1680</v>
      </c>
      <c r="F1174" s="187" t="s">
        <v>1681</v>
      </c>
      <c r="G1174" s="187" t="s">
        <v>1682</v>
      </c>
      <c r="H1174" s="185" t="s">
        <v>193</v>
      </c>
      <c r="I1174" s="186" t="s">
        <v>36</v>
      </c>
      <c r="J1174" s="56"/>
      <c r="K1174" s="35" t="s">
        <v>36</v>
      </c>
    </row>
    <row r="1175">
      <c r="A1175" s="183" t="s">
        <v>413</v>
      </c>
      <c r="B1175" s="35" t="s">
        <v>2869</v>
      </c>
      <c r="C1175" s="187" t="s">
        <v>1684</v>
      </c>
      <c r="D1175" s="187" t="s">
        <v>1679</v>
      </c>
      <c r="E1175" s="187" t="s">
        <v>1680</v>
      </c>
      <c r="F1175" s="187" t="s">
        <v>1681</v>
      </c>
      <c r="G1175" s="187" t="s">
        <v>1682</v>
      </c>
      <c r="H1175" s="185" t="s">
        <v>193</v>
      </c>
      <c r="I1175" s="186" t="s">
        <v>36</v>
      </c>
      <c r="J1175" s="56"/>
      <c r="K1175" s="35" t="s">
        <v>36</v>
      </c>
    </row>
    <row r="1176">
      <c r="A1176" s="183" t="s">
        <v>413</v>
      </c>
      <c r="B1176" s="35" t="s">
        <v>2870</v>
      </c>
      <c r="C1176" s="187" t="s">
        <v>1686</v>
      </c>
      <c r="D1176" s="187" t="s">
        <v>1687</v>
      </c>
      <c r="E1176" s="187" t="s">
        <v>1688</v>
      </c>
      <c r="F1176" s="187" t="s">
        <v>1689</v>
      </c>
      <c r="G1176" s="187" t="s">
        <v>1690</v>
      </c>
      <c r="H1176" s="185" t="s">
        <v>193</v>
      </c>
      <c r="I1176" s="186" t="s">
        <v>36</v>
      </c>
      <c r="J1176" s="56"/>
      <c r="K1176" s="35" t="s">
        <v>36</v>
      </c>
    </row>
    <row r="1177">
      <c r="A1177" s="183" t="s">
        <v>413</v>
      </c>
      <c r="B1177" s="35" t="s">
        <v>2871</v>
      </c>
      <c r="C1177" s="187" t="s">
        <v>1692</v>
      </c>
      <c r="D1177" s="187" t="s">
        <v>1693</v>
      </c>
      <c r="E1177" s="187" t="s">
        <v>1694</v>
      </c>
      <c r="F1177" s="187" t="s">
        <v>1554</v>
      </c>
      <c r="G1177" s="187" t="s">
        <v>1555</v>
      </c>
      <c r="H1177" s="185" t="s">
        <v>193</v>
      </c>
      <c r="I1177" s="186" t="s">
        <v>111</v>
      </c>
      <c r="J1177" s="35" t="s">
        <v>1556</v>
      </c>
      <c r="K1177" s="35" t="s">
        <v>111</v>
      </c>
    </row>
    <row r="1178">
      <c r="A1178" s="183" t="s">
        <v>413</v>
      </c>
      <c r="B1178" s="35" t="s">
        <v>2872</v>
      </c>
      <c r="C1178" s="187" t="s">
        <v>1696</v>
      </c>
      <c r="D1178" s="187" t="s">
        <v>1564</v>
      </c>
      <c r="E1178" s="187" t="s">
        <v>1697</v>
      </c>
      <c r="F1178" s="187" t="s">
        <v>1657</v>
      </c>
      <c r="G1178" s="187" t="s">
        <v>1566</v>
      </c>
      <c r="H1178" s="185" t="s">
        <v>193</v>
      </c>
      <c r="I1178" s="186" t="s">
        <v>36</v>
      </c>
      <c r="J1178" s="56"/>
      <c r="K1178" s="35" t="s">
        <v>36</v>
      </c>
    </row>
    <row r="1179">
      <c r="A1179" s="183" t="s">
        <v>413</v>
      </c>
      <c r="B1179" s="35" t="s">
        <v>2873</v>
      </c>
      <c r="C1179" s="187" t="s">
        <v>1699</v>
      </c>
      <c r="D1179" s="187" t="s">
        <v>1700</v>
      </c>
      <c r="E1179" s="187" t="s">
        <v>1701</v>
      </c>
      <c r="F1179" s="187" t="s">
        <v>1560</v>
      </c>
      <c r="G1179" s="187" t="s">
        <v>1561</v>
      </c>
      <c r="H1179" s="185" t="s">
        <v>193</v>
      </c>
      <c r="I1179" s="186" t="s">
        <v>36</v>
      </c>
      <c r="J1179" s="35"/>
      <c r="K1179" s="35" t="s">
        <v>36</v>
      </c>
    </row>
    <row r="1180">
      <c r="A1180" s="183" t="s">
        <v>413</v>
      </c>
      <c r="B1180" s="35" t="s">
        <v>2874</v>
      </c>
      <c r="C1180" s="187" t="s">
        <v>1703</v>
      </c>
      <c r="D1180" s="187" t="s">
        <v>1569</v>
      </c>
      <c r="E1180" s="187" t="s">
        <v>1622</v>
      </c>
      <c r="F1180" s="187" t="s">
        <v>1570</v>
      </c>
      <c r="G1180" s="187" t="s">
        <v>1571</v>
      </c>
      <c r="H1180" s="185" t="s">
        <v>193</v>
      </c>
      <c r="I1180" s="186" t="s">
        <v>36</v>
      </c>
      <c r="J1180" s="56"/>
      <c r="K1180" s="35" t="s">
        <v>36</v>
      </c>
    </row>
    <row r="1181">
      <c r="A1181" s="183" t="s">
        <v>413</v>
      </c>
      <c r="B1181" s="35" t="s">
        <v>2875</v>
      </c>
      <c r="C1181" s="187" t="s">
        <v>1705</v>
      </c>
      <c r="D1181" s="187" t="s">
        <v>1574</v>
      </c>
      <c r="E1181" s="187" t="s">
        <v>1622</v>
      </c>
      <c r="F1181" s="187" t="s">
        <v>1575</v>
      </c>
      <c r="G1181" s="187" t="s">
        <v>1576</v>
      </c>
      <c r="H1181" s="185" t="s">
        <v>193</v>
      </c>
      <c r="I1181" s="186" t="s">
        <v>111</v>
      </c>
      <c r="J1181" s="35" t="s">
        <v>1577</v>
      </c>
      <c r="K1181" s="35" t="s">
        <v>111</v>
      </c>
    </row>
    <row r="1182">
      <c r="A1182" s="183" t="s">
        <v>413</v>
      </c>
      <c r="B1182" s="35" t="s">
        <v>2876</v>
      </c>
      <c r="C1182" s="187" t="s">
        <v>1707</v>
      </c>
      <c r="D1182" s="187" t="s">
        <v>1580</v>
      </c>
      <c r="E1182" s="187" t="s">
        <v>1622</v>
      </c>
      <c r="F1182" s="187" t="s">
        <v>1581</v>
      </c>
      <c r="G1182" s="187" t="s">
        <v>1582</v>
      </c>
      <c r="H1182" s="185" t="s">
        <v>193</v>
      </c>
      <c r="I1182" s="186" t="s">
        <v>36</v>
      </c>
      <c r="J1182" s="56"/>
      <c r="K1182" s="35" t="s">
        <v>36</v>
      </c>
    </row>
    <row r="1183">
      <c r="A1183" s="183" t="s">
        <v>413</v>
      </c>
      <c r="B1183" s="35" t="s">
        <v>2877</v>
      </c>
      <c r="C1183" s="187" t="s">
        <v>1709</v>
      </c>
      <c r="D1183" s="187" t="s">
        <v>1710</v>
      </c>
      <c r="E1183" s="187" t="s">
        <v>1622</v>
      </c>
      <c r="F1183" s="187" t="s">
        <v>1711</v>
      </c>
      <c r="G1183" s="187" t="s">
        <v>1712</v>
      </c>
      <c r="H1183" s="185" t="s">
        <v>193</v>
      </c>
      <c r="I1183" s="186" t="s">
        <v>36</v>
      </c>
      <c r="J1183" s="56"/>
      <c r="K1183" s="35" t="s">
        <v>36</v>
      </c>
    </row>
    <row r="1184">
      <c r="A1184" s="183" t="s">
        <v>413</v>
      </c>
      <c r="B1184" s="35" t="s">
        <v>2878</v>
      </c>
      <c r="C1184" s="187" t="s">
        <v>1714</v>
      </c>
      <c r="D1184" s="187" t="s">
        <v>1715</v>
      </c>
      <c r="E1184" s="187" t="s">
        <v>1716</v>
      </c>
      <c r="F1184" s="187" t="s">
        <v>1717</v>
      </c>
      <c r="G1184" s="187" t="s">
        <v>1718</v>
      </c>
      <c r="H1184" s="185" t="s">
        <v>193</v>
      </c>
      <c r="I1184" s="186" t="s">
        <v>36</v>
      </c>
      <c r="J1184" s="56"/>
      <c r="K1184" s="35" t="s">
        <v>36</v>
      </c>
    </row>
    <row r="1185">
      <c r="A1185" s="183" t="s">
        <v>413</v>
      </c>
      <c r="B1185" s="35" t="s">
        <v>2879</v>
      </c>
      <c r="C1185" s="187" t="s">
        <v>1720</v>
      </c>
      <c r="D1185" s="187" t="s">
        <v>1721</v>
      </c>
      <c r="E1185" s="187" t="s">
        <v>1722</v>
      </c>
      <c r="F1185" s="187" t="s">
        <v>1723</v>
      </c>
      <c r="G1185" s="187" t="s">
        <v>1628</v>
      </c>
      <c r="H1185" s="185" t="s">
        <v>193</v>
      </c>
      <c r="I1185" s="186" t="s">
        <v>36</v>
      </c>
      <c r="J1185" s="56"/>
      <c r="K1185" s="35" t="s">
        <v>36</v>
      </c>
    </row>
    <row r="1186">
      <c r="A1186" s="35" t="s">
        <v>413</v>
      </c>
      <c r="B1186" s="35" t="s">
        <v>2880</v>
      </c>
      <c r="C1186" s="183" t="s">
        <v>1438</v>
      </c>
      <c r="D1186" s="183" t="s">
        <v>1976</v>
      </c>
      <c r="E1186" s="183" t="s">
        <v>1977</v>
      </c>
      <c r="F1186" s="183" t="s">
        <v>1978</v>
      </c>
      <c r="G1186" s="183" t="s">
        <v>1979</v>
      </c>
      <c r="H1186" s="185" t="s">
        <v>193</v>
      </c>
      <c r="I1186" s="186" t="s">
        <v>111</v>
      </c>
      <c r="J1186" s="35" t="s">
        <v>1980</v>
      </c>
      <c r="K1186" s="35" t="s">
        <v>111</v>
      </c>
    </row>
    <row r="1187">
      <c r="A1187" s="35" t="s">
        <v>413</v>
      </c>
      <c r="B1187" s="35" t="s">
        <v>2881</v>
      </c>
      <c r="C1187" s="183" t="s">
        <v>1982</v>
      </c>
      <c r="D1187" s="183" t="s">
        <v>1983</v>
      </c>
      <c r="E1187" s="183" t="s">
        <v>1984</v>
      </c>
      <c r="F1187" s="183" t="s">
        <v>1985</v>
      </c>
      <c r="G1187" s="183" t="s">
        <v>1986</v>
      </c>
      <c r="H1187" s="185" t="s">
        <v>193</v>
      </c>
      <c r="I1187" s="186" t="s">
        <v>36</v>
      </c>
      <c r="J1187" s="56"/>
      <c r="K1187" s="35" t="s">
        <v>111</v>
      </c>
    </row>
    <row r="1188">
      <c r="A1188" s="35" t="s">
        <v>413</v>
      </c>
      <c r="B1188" s="35" t="s">
        <v>2882</v>
      </c>
      <c r="C1188" s="183" t="s">
        <v>1988</v>
      </c>
      <c r="D1188" s="183" t="s">
        <v>1989</v>
      </c>
      <c r="E1188" s="183" t="s">
        <v>1990</v>
      </c>
      <c r="F1188" s="183" t="s">
        <v>1991</v>
      </c>
      <c r="G1188" s="183" t="s">
        <v>1992</v>
      </c>
      <c r="H1188" s="185" t="s">
        <v>193</v>
      </c>
      <c r="I1188" s="186" t="s">
        <v>36</v>
      </c>
      <c r="J1188" s="56"/>
      <c r="K1188" s="35" t="s">
        <v>111</v>
      </c>
    </row>
    <row r="1189">
      <c r="A1189" s="35" t="s">
        <v>413</v>
      </c>
      <c r="B1189" s="35" t="s">
        <v>2883</v>
      </c>
      <c r="C1189" s="183" t="s">
        <v>1994</v>
      </c>
      <c r="D1189" s="183" t="s">
        <v>1995</v>
      </c>
      <c r="E1189" s="183" t="s">
        <v>1996</v>
      </c>
      <c r="F1189" s="183" t="s">
        <v>1997</v>
      </c>
      <c r="G1189" s="183" t="s">
        <v>1998</v>
      </c>
      <c r="H1189" s="185" t="s">
        <v>193</v>
      </c>
      <c r="I1189" s="186" t="s">
        <v>36</v>
      </c>
      <c r="J1189" s="56"/>
      <c r="K1189" s="35" t="s">
        <v>111</v>
      </c>
    </row>
  </sheetData>
  <autoFilter ref="$A$1:$K$596"/>
  <mergeCells count="4">
    <mergeCell ref="A2:K2"/>
    <mergeCell ref="A299:K299"/>
    <mergeCell ref="A596:K596"/>
    <mergeCell ref="A893:K893"/>
  </mergeCells>
  <conditionalFormatting sqref="I3:I298 I300:I595 I597:I892 I894:I1189">
    <cfRule type="containsText" dxfId="0" priority="1" operator="containsText" text="Passed">
      <formula>NOT(ISERROR(SEARCH(("Passed"),(I3))))</formula>
    </cfRule>
  </conditionalFormatting>
  <conditionalFormatting sqref="I3:I298 I300:I595 I597:I892 I894:I1189">
    <cfRule type="containsText" dxfId="1" priority="2" operator="containsText" text="Failed">
      <formula>NOT(ISERROR(SEARCH(("Failed"),(I3))))</formula>
    </cfRule>
  </conditionalFormatting>
  <conditionalFormatting sqref="I3:I298 I300:I595 I597:I892 I894:I1189">
    <cfRule type="containsText" dxfId="2" priority="3" operator="containsText" text="Blocked">
      <formula>NOT(ISERROR(SEARCH(("Blocked"),(I3))))</formula>
    </cfRule>
  </conditionalFormatting>
  <conditionalFormatting sqref="I3:I298 I300:I595 I597:I892 I894:I1189">
    <cfRule type="containsText" dxfId="3" priority="4" operator="containsText" text="Not Started">
      <formula>NOT(ISERROR(SEARCH(("Not Started"),(I3))))</formula>
    </cfRule>
  </conditionalFormatting>
  <conditionalFormatting sqref="I3:I298 I300:I595 I597:I892 I894:I1189">
    <cfRule type="containsText" dxfId="4" priority="5" operator="containsText" text="Out of Scope">
      <formula>NOT(ISERROR(SEARCH(("Out of Scope"),(I3))))</formula>
    </cfRule>
  </conditionalFormatting>
  <conditionalFormatting sqref="I3:I298 I300:I595 I597:I892 I894:I1189">
    <cfRule type="containsBlanks" dxfId="5" priority="6">
      <formula>LEN(TRIM(I3))=0</formula>
    </cfRule>
  </conditionalFormatting>
  <dataValidations>
    <dataValidation type="list" allowBlank="1" sqref="I3:I298 I300:I595 I597:I892 I894:I1189">
      <formula1>"Passed,Failed,Not Started,Blocked,Out of Scope"</formula1>
    </dataValidation>
    <dataValidation type="list" allowBlank="1" sqref="A2 H3:H298 A299 H300:H595 A596 H597:H892 A893 H894:H1189">
      <formula1>"Chrome,Opera GX,Firefox,Edge,N/A"</formula1>
    </dataValidation>
  </dataValidations>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5"/>
    <col customWidth="1" min="2" max="2" width="42.88"/>
    <col customWidth="1" min="3" max="3" width="58.38"/>
    <col customWidth="1" min="4" max="4" width="18.5"/>
    <col customWidth="1" min="5" max="6" width="19.5"/>
    <col customWidth="1" min="7" max="7" width="12.5"/>
    <col customWidth="1" min="8" max="8" width="22.38"/>
    <col customWidth="1" min="9" max="26" width="12.5"/>
  </cols>
  <sheetData>
    <row r="1">
      <c r="A1" s="191" t="s">
        <v>2884</v>
      </c>
      <c r="B1" s="181"/>
      <c r="C1" s="181"/>
      <c r="D1" s="181"/>
      <c r="E1" s="181"/>
      <c r="F1" s="182"/>
      <c r="G1" s="3"/>
      <c r="H1" s="2"/>
      <c r="I1" s="3"/>
      <c r="J1" s="3"/>
      <c r="K1" s="3"/>
      <c r="L1" s="3"/>
      <c r="M1" s="3"/>
      <c r="N1" s="3"/>
    </row>
    <row r="2">
      <c r="A2" s="192" t="s">
        <v>2885</v>
      </c>
      <c r="B2" s="192" t="s">
        <v>2886</v>
      </c>
      <c r="C2" s="192" t="s">
        <v>2887</v>
      </c>
      <c r="D2" s="192" t="s">
        <v>2888</v>
      </c>
      <c r="E2" s="192" t="s">
        <v>2889</v>
      </c>
      <c r="F2" s="192" t="s">
        <v>25</v>
      </c>
      <c r="G2" s="3"/>
      <c r="H2" s="3"/>
      <c r="I2" s="3"/>
      <c r="J2" s="3"/>
      <c r="K2" s="3"/>
      <c r="L2" s="3"/>
      <c r="M2" s="3"/>
      <c r="N2" s="3"/>
    </row>
    <row r="3">
      <c r="A3" s="193" t="s">
        <v>2890</v>
      </c>
      <c r="B3" s="194" t="s">
        <v>2891</v>
      </c>
      <c r="C3" s="195" t="s">
        <v>2892</v>
      </c>
      <c r="D3" s="196" t="s">
        <v>2893</v>
      </c>
      <c r="E3" s="196" t="s">
        <v>2894</v>
      </c>
      <c r="F3" s="197" t="s">
        <v>2895</v>
      </c>
      <c r="G3" s="3"/>
      <c r="H3" s="3"/>
      <c r="I3" s="3"/>
      <c r="J3" s="3"/>
      <c r="K3" s="3"/>
      <c r="L3" s="3"/>
      <c r="M3" s="3"/>
      <c r="N3" s="3"/>
    </row>
    <row r="4">
      <c r="A4" s="193" t="s">
        <v>2896</v>
      </c>
      <c r="B4" s="198" t="s">
        <v>2897</v>
      </c>
      <c r="C4" s="194" t="s">
        <v>2898</v>
      </c>
      <c r="D4" s="199" t="s">
        <v>2899</v>
      </c>
      <c r="E4" s="196" t="s">
        <v>2894</v>
      </c>
      <c r="F4" s="197" t="s">
        <v>2895</v>
      </c>
      <c r="G4" s="3"/>
      <c r="H4" s="3"/>
      <c r="I4" s="3"/>
      <c r="J4" s="3"/>
      <c r="K4" s="3"/>
      <c r="L4" s="3"/>
      <c r="M4" s="3"/>
      <c r="N4" s="3"/>
    </row>
    <row r="5">
      <c r="A5" s="193" t="s">
        <v>2900</v>
      </c>
      <c r="B5" s="194" t="s">
        <v>2901</v>
      </c>
      <c r="C5" s="200" t="s">
        <v>2902</v>
      </c>
      <c r="D5" s="199" t="s">
        <v>2899</v>
      </c>
      <c r="E5" s="196" t="s">
        <v>2894</v>
      </c>
      <c r="F5" s="201" t="s">
        <v>2895</v>
      </c>
      <c r="G5" s="3"/>
      <c r="H5" s="3"/>
      <c r="I5" s="3"/>
      <c r="J5" s="3"/>
      <c r="K5" s="3"/>
      <c r="L5" s="3"/>
      <c r="M5" s="3"/>
      <c r="N5" s="3"/>
    </row>
    <row r="6">
      <c r="A6" s="193" t="s">
        <v>2903</v>
      </c>
      <c r="B6" s="202" t="s">
        <v>2904</v>
      </c>
      <c r="C6" s="203" t="s">
        <v>2905</v>
      </c>
      <c r="D6" s="204" t="s">
        <v>2906</v>
      </c>
      <c r="E6" s="196" t="s">
        <v>2894</v>
      </c>
      <c r="F6" s="205" t="s">
        <v>2895</v>
      </c>
      <c r="G6" s="3"/>
      <c r="H6" s="3"/>
      <c r="I6" s="3"/>
      <c r="J6" s="3"/>
      <c r="K6" s="3"/>
      <c r="L6" s="3"/>
      <c r="M6" s="3"/>
      <c r="N6" s="3"/>
    </row>
    <row r="7">
      <c r="A7" s="3"/>
      <c r="B7" s="3"/>
      <c r="C7" s="3"/>
      <c r="D7" s="3"/>
      <c r="E7" s="3"/>
      <c r="F7" s="3"/>
      <c r="G7" s="3"/>
      <c r="H7" s="3"/>
      <c r="I7" s="3"/>
      <c r="J7" s="3"/>
      <c r="K7" s="3"/>
      <c r="L7" s="3"/>
      <c r="M7" s="3"/>
      <c r="N7" s="3"/>
    </row>
    <row r="8">
      <c r="A8" s="3"/>
      <c r="B8" s="3"/>
      <c r="C8" s="3"/>
      <c r="D8" s="3"/>
      <c r="E8" s="3"/>
      <c r="F8" s="3"/>
      <c r="G8" s="3"/>
      <c r="H8" s="3"/>
      <c r="I8" s="3"/>
      <c r="J8" s="3"/>
      <c r="K8" s="3"/>
      <c r="L8" s="3"/>
      <c r="M8" s="3"/>
      <c r="N8" s="3"/>
    </row>
    <row r="9">
      <c r="A9" s="3"/>
      <c r="B9" s="3"/>
      <c r="C9" s="3"/>
      <c r="D9" s="3"/>
      <c r="E9" s="3"/>
      <c r="F9" s="3"/>
      <c r="G9" s="3"/>
      <c r="H9" s="3"/>
      <c r="I9" s="3"/>
      <c r="J9" s="3"/>
      <c r="K9" s="3"/>
      <c r="L9" s="3"/>
      <c r="M9" s="3"/>
      <c r="N9" s="3"/>
    </row>
    <row r="10">
      <c r="A10" s="206" t="s">
        <v>2907</v>
      </c>
      <c r="B10" s="181"/>
      <c r="C10" s="181"/>
      <c r="D10" s="181"/>
      <c r="E10" s="181"/>
      <c r="F10" s="182"/>
      <c r="G10" s="3"/>
      <c r="H10" s="3"/>
      <c r="I10" s="3"/>
      <c r="J10" s="3"/>
      <c r="K10" s="3"/>
      <c r="L10" s="3"/>
      <c r="M10" s="3"/>
      <c r="N10" s="3"/>
    </row>
    <row r="11">
      <c r="A11" s="207" t="s">
        <v>2885</v>
      </c>
      <c r="B11" s="207" t="s">
        <v>2886</v>
      </c>
      <c r="C11" s="207" t="s">
        <v>2887</v>
      </c>
      <c r="D11" s="207" t="s">
        <v>2888</v>
      </c>
      <c r="E11" s="207" t="s">
        <v>2889</v>
      </c>
      <c r="F11" s="207" t="s">
        <v>25</v>
      </c>
      <c r="G11" s="3"/>
      <c r="H11" s="3"/>
      <c r="I11" s="3"/>
      <c r="J11" s="3"/>
      <c r="K11" s="3"/>
      <c r="L11" s="3"/>
      <c r="M11" s="3"/>
      <c r="N11" s="3"/>
    </row>
    <row r="12">
      <c r="A12" s="208" t="s">
        <v>2908</v>
      </c>
      <c r="B12" s="209" t="s">
        <v>2909</v>
      </c>
      <c r="C12" s="210" t="s">
        <v>2910</v>
      </c>
      <c r="D12" s="211" t="s">
        <v>2911</v>
      </c>
      <c r="E12" s="212" t="s">
        <v>2912</v>
      </c>
      <c r="F12" s="213" t="s">
        <v>2895</v>
      </c>
      <c r="G12" s="3"/>
      <c r="H12" s="3"/>
      <c r="I12" s="3"/>
      <c r="J12" s="3"/>
      <c r="K12" s="3"/>
      <c r="L12" s="3"/>
      <c r="M12" s="3"/>
      <c r="N12" s="3"/>
    </row>
    <row r="13">
      <c r="A13" s="208" t="s">
        <v>2913</v>
      </c>
      <c r="B13" s="209" t="s">
        <v>2914</v>
      </c>
      <c r="C13" s="210" t="s">
        <v>2915</v>
      </c>
      <c r="D13" s="212" t="s">
        <v>2899</v>
      </c>
      <c r="E13" s="212" t="s">
        <v>2912</v>
      </c>
      <c r="F13" s="213" t="s">
        <v>2895</v>
      </c>
      <c r="G13" s="3"/>
      <c r="H13" s="3"/>
      <c r="I13" s="3"/>
      <c r="J13" s="3"/>
      <c r="K13" s="3"/>
      <c r="L13" s="3"/>
      <c r="M13" s="3"/>
      <c r="N13" s="3"/>
    </row>
    <row r="14">
      <c r="A14" s="208" t="s">
        <v>2916</v>
      </c>
      <c r="B14" s="209" t="s">
        <v>2917</v>
      </c>
      <c r="C14" s="210" t="s">
        <v>2918</v>
      </c>
      <c r="D14" s="212" t="s">
        <v>2893</v>
      </c>
      <c r="E14" s="212" t="s">
        <v>2912</v>
      </c>
      <c r="F14" s="213" t="s">
        <v>2895</v>
      </c>
      <c r="G14" s="3"/>
      <c r="H14" s="3"/>
      <c r="I14" s="3"/>
      <c r="J14" s="3"/>
      <c r="K14" s="3"/>
      <c r="L14" s="3"/>
      <c r="M14" s="3"/>
      <c r="N14" s="3"/>
    </row>
    <row r="15">
      <c r="A15" s="208" t="s">
        <v>2919</v>
      </c>
      <c r="B15" s="209" t="s">
        <v>2920</v>
      </c>
      <c r="C15" s="210" t="s">
        <v>2921</v>
      </c>
      <c r="D15" s="212" t="s">
        <v>2893</v>
      </c>
      <c r="E15" s="212" t="s">
        <v>2912</v>
      </c>
      <c r="F15" s="213" t="s">
        <v>2895</v>
      </c>
      <c r="G15" s="3"/>
      <c r="H15" s="3"/>
      <c r="I15" s="3"/>
      <c r="J15" s="3"/>
      <c r="K15" s="3"/>
      <c r="L15" s="3"/>
      <c r="M15" s="3"/>
      <c r="N15" s="3"/>
    </row>
    <row r="16">
      <c r="A16" s="208" t="s">
        <v>2922</v>
      </c>
      <c r="B16" s="209" t="s">
        <v>2923</v>
      </c>
      <c r="C16" s="210" t="s">
        <v>2924</v>
      </c>
      <c r="D16" s="212" t="s">
        <v>2906</v>
      </c>
      <c r="E16" s="212" t="s">
        <v>2912</v>
      </c>
      <c r="F16" s="213" t="s">
        <v>2895</v>
      </c>
      <c r="G16" s="3"/>
      <c r="H16" s="3"/>
      <c r="I16" s="3"/>
      <c r="J16" s="3"/>
      <c r="K16" s="3"/>
      <c r="L16" s="3"/>
      <c r="M16" s="3"/>
      <c r="N16" s="3"/>
    </row>
    <row r="17">
      <c r="A17" s="208" t="s">
        <v>2925</v>
      </c>
      <c r="B17" s="209" t="s">
        <v>2926</v>
      </c>
      <c r="C17" s="210" t="s">
        <v>2927</v>
      </c>
      <c r="D17" s="212" t="s">
        <v>2899</v>
      </c>
      <c r="E17" s="212" t="s">
        <v>2912</v>
      </c>
      <c r="F17" s="213" t="s">
        <v>2895</v>
      </c>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c r="A21" s="206" t="s">
        <v>2928</v>
      </c>
      <c r="B21" s="181"/>
      <c r="C21" s="181"/>
      <c r="D21" s="181"/>
      <c r="E21" s="181"/>
      <c r="F21" s="182"/>
      <c r="G21" s="3"/>
      <c r="H21" s="3"/>
      <c r="I21" s="3"/>
      <c r="J21" s="3"/>
      <c r="K21" s="3"/>
      <c r="L21" s="3"/>
      <c r="M21" s="3"/>
      <c r="N21" s="3"/>
    </row>
    <row r="22">
      <c r="A22" s="207" t="s">
        <v>2885</v>
      </c>
      <c r="B22" s="207" t="s">
        <v>2886</v>
      </c>
      <c r="C22" s="207" t="s">
        <v>2887</v>
      </c>
      <c r="D22" s="207" t="s">
        <v>2888</v>
      </c>
      <c r="E22" s="207" t="s">
        <v>2889</v>
      </c>
      <c r="F22" s="207" t="s">
        <v>25</v>
      </c>
      <c r="G22" s="3"/>
      <c r="H22" s="3"/>
      <c r="I22" s="3"/>
      <c r="J22" s="3"/>
      <c r="K22" s="3"/>
      <c r="L22" s="3"/>
      <c r="M22" s="3"/>
      <c r="N22" s="3"/>
    </row>
    <row r="23">
      <c r="A23" s="214" t="s">
        <v>2929</v>
      </c>
      <c r="B23" s="215" t="s">
        <v>2930</v>
      </c>
      <c r="C23" s="216" t="s">
        <v>2931</v>
      </c>
      <c r="D23" s="217" t="s">
        <v>2899</v>
      </c>
      <c r="E23" s="217" t="s">
        <v>2932</v>
      </c>
      <c r="F23" s="218" t="s">
        <v>2895</v>
      </c>
      <c r="G23" s="3"/>
      <c r="H23" s="3"/>
      <c r="I23" s="3"/>
      <c r="J23" s="3"/>
      <c r="K23" s="3"/>
      <c r="L23" s="3"/>
      <c r="M23" s="3"/>
      <c r="N23" s="3"/>
    </row>
    <row r="24">
      <c r="A24" s="214" t="s">
        <v>2933</v>
      </c>
      <c r="B24" s="215" t="s">
        <v>2934</v>
      </c>
      <c r="C24" s="219" t="s">
        <v>2935</v>
      </c>
      <c r="D24" s="217" t="s">
        <v>2899</v>
      </c>
      <c r="E24" s="217" t="s">
        <v>2932</v>
      </c>
      <c r="F24" s="218" t="s">
        <v>2895</v>
      </c>
      <c r="G24" s="3"/>
      <c r="H24" s="3"/>
      <c r="I24" s="3"/>
      <c r="J24" s="3"/>
      <c r="K24" s="3"/>
      <c r="L24" s="3"/>
      <c r="M24" s="3"/>
      <c r="N24" s="3"/>
    </row>
    <row r="25">
      <c r="A25" s="214" t="s">
        <v>2936</v>
      </c>
      <c r="B25" s="215" t="s">
        <v>2937</v>
      </c>
      <c r="C25" s="219" t="s">
        <v>2938</v>
      </c>
      <c r="D25" s="217" t="s">
        <v>2906</v>
      </c>
      <c r="E25" s="217" t="s">
        <v>2932</v>
      </c>
      <c r="F25" s="218" t="s">
        <v>2895</v>
      </c>
      <c r="G25" s="3"/>
      <c r="H25" s="3"/>
      <c r="I25" s="3"/>
      <c r="J25" s="3"/>
      <c r="K25" s="3"/>
      <c r="L25" s="3"/>
      <c r="M25" s="3"/>
      <c r="N25" s="3"/>
    </row>
    <row r="26">
      <c r="A26" s="214" t="s">
        <v>2939</v>
      </c>
      <c r="B26" s="215" t="s">
        <v>2940</v>
      </c>
      <c r="C26" s="219" t="s">
        <v>2941</v>
      </c>
      <c r="D26" s="217" t="s">
        <v>2893</v>
      </c>
      <c r="E26" s="217" t="s">
        <v>2932</v>
      </c>
      <c r="F26" s="218" t="s">
        <v>2895</v>
      </c>
      <c r="G26" s="3"/>
      <c r="H26" s="3"/>
      <c r="I26" s="3"/>
      <c r="J26" s="3"/>
      <c r="K26" s="3"/>
      <c r="L26" s="3"/>
      <c r="M26" s="3"/>
      <c r="N26" s="3"/>
    </row>
    <row r="27">
      <c r="A27" s="214" t="s">
        <v>2942</v>
      </c>
      <c r="B27" s="215" t="s">
        <v>2943</v>
      </c>
      <c r="C27" s="216" t="s">
        <v>2944</v>
      </c>
      <c r="D27" s="217" t="s">
        <v>2911</v>
      </c>
      <c r="E27" s="217" t="s">
        <v>2932</v>
      </c>
      <c r="F27" s="218" t="s">
        <v>2895</v>
      </c>
      <c r="G27" s="3"/>
      <c r="H27" s="3"/>
      <c r="I27" s="3"/>
      <c r="J27" s="3"/>
      <c r="K27" s="3"/>
      <c r="L27" s="3"/>
      <c r="M27" s="3"/>
      <c r="N27" s="3"/>
    </row>
    <row r="28">
      <c r="A28" s="214" t="s">
        <v>2945</v>
      </c>
      <c r="B28" s="215" t="s">
        <v>2946</v>
      </c>
      <c r="C28" s="216" t="s">
        <v>2947</v>
      </c>
      <c r="D28" s="217" t="s">
        <v>2911</v>
      </c>
      <c r="E28" s="217" t="s">
        <v>2932</v>
      </c>
      <c r="F28" s="218" t="s">
        <v>2895</v>
      </c>
      <c r="G28" s="3"/>
      <c r="H28" s="3"/>
      <c r="I28" s="3"/>
      <c r="J28" s="3"/>
      <c r="K28" s="3"/>
      <c r="L28" s="3"/>
      <c r="M28" s="3"/>
      <c r="N28" s="3"/>
    </row>
    <row r="29">
      <c r="A29" s="214" t="s">
        <v>2948</v>
      </c>
      <c r="B29" s="215" t="s">
        <v>2949</v>
      </c>
      <c r="C29" s="216" t="s">
        <v>2950</v>
      </c>
      <c r="D29" s="217" t="s">
        <v>2893</v>
      </c>
      <c r="E29" s="217" t="s">
        <v>2932</v>
      </c>
      <c r="F29" s="218" t="s">
        <v>2895</v>
      </c>
      <c r="G29" s="3"/>
      <c r="H29" s="3"/>
      <c r="I29" s="3"/>
      <c r="J29" s="3"/>
      <c r="K29" s="3"/>
      <c r="L29" s="3"/>
      <c r="M29" s="3"/>
      <c r="N29" s="3"/>
    </row>
    <row r="30">
      <c r="A30" s="214" t="s">
        <v>2951</v>
      </c>
      <c r="B30" s="215" t="s">
        <v>2952</v>
      </c>
      <c r="C30" s="216" t="s">
        <v>2953</v>
      </c>
      <c r="D30" s="217" t="s">
        <v>2911</v>
      </c>
      <c r="E30" s="217" t="s">
        <v>2932</v>
      </c>
      <c r="F30" s="218" t="s">
        <v>2895</v>
      </c>
      <c r="G30" s="3"/>
      <c r="H30" s="3"/>
      <c r="I30" s="3"/>
      <c r="J30" s="3"/>
      <c r="K30" s="3"/>
      <c r="L30" s="3"/>
      <c r="M30" s="3"/>
      <c r="N30" s="3"/>
    </row>
    <row r="31">
      <c r="A31" s="214" t="s">
        <v>2954</v>
      </c>
      <c r="B31" s="215" t="s">
        <v>2955</v>
      </c>
      <c r="C31" s="216" t="s">
        <v>2956</v>
      </c>
      <c r="D31" s="217" t="s">
        <v>2893</v>
      </c>
      <c r="E31" s="217" t="s">
        <v>2932</v>
      </c>
      <c r="F31" s="218" t="s">
        <v>2895</v>
      </c>
      <c r="G31" s="3"/>
      <c r="H31" s="3"/>
      <c r="I31" s="3"/>
      <c r="J31" s="3"/>
      <c r="K31" s="3"/>
      <c r="L31" s="3"/>
      <c r="M31" s="3"/>
      <c r="N31" s="3"/>
    </row>
    <row r="32">
      <c r="A32" s="214" t="s">
        <v>2957</v>
      </c>
      <c r="B32" s="215" t="s">
        <v>2958</v>
      </c>
      <c r="C32" s="216" t="s">
        <v>2959</v>
      </c>
      <c r="D32" s="217" t="s">
        <v>2893</v>
      </c>
      <c r="E32" s="217" t="s">
        <v>2932</v>
      </c>
      <c r="F32" s="218" t="s">
        <v>2895</v>
      </c>
      <c r="G32" s="3"/>
      <c r="H32" s="3"/>
      <c r="I32" s="3"/>
      <c r="J32" s="3"/>
      <c r="K32" s="3"/>
      <c r="L32" s="3"/>
      <c r="M32" s="3"/>
      <c r="N32" s="3"/>
    </row>
    <row r="33">
      <c r="A33" s="214" t="s">
        <v>2960</v>
      </c>
      <c r="B33" s="215" t="s">
        <v>2961</v>
      </c>
      <c r="C33" s="216" t="s">
        <v>2962</v>
      </c>
      <c r="D33" s="217" t="s">
        <v>2906</v>
      </c>
      <c r="E33" s="217" t="s">
        <v>2932</v>
      </c>
      <c r="F33" s="218" t="s">
        <v>2895</v>
      </c>
      <c r="G33" s="3"/>
      <c r="H33" s="3"/>
      <c r="I33" s="3"/>
      <c r="J33" s="3"/>
      <c r="K33" s="3"/>
      <c r="L33" s="3"/>
      <c r="M33" s="3"/>
      <c r="N33" s="3"/>
    </row>
    <row r="34">
      <c r="A34" s="214" t="s">
        <v>2963</v>
      </c>
      <c r="B34" s="215" t="s">
        <v>2964</v>
      </c>
      <c r="C34" s="216" t="s">
        <v>2965</v>
      </c>
      <c r="D34" s="217" t="s">
        <v>2906</v>
      </c>
      <c r="E34" s="217" t="s">
        <v>2932</v>
      </c>
      <c r="F34" s="218" t="s">
        <v>2895</v>
      </c>
      <c r="G34" s="3"/>
      <c r="H34" s="3"/>
      <c r="I34" s="3"/>
      <c r="J34" s="3"/>
      <c r="K34" s="3"/>
      <c r="L34" s="3"/>
      <c r="M34" s="3"/>
      <c r="N34" s="3"/>
    </row>
    <row r="35">
      <c r="A35" s="214" t="s">
        <v>2966</v>
      </c>
      <c r="B35" s="215" t="s">
        <v>2967</v>
      </c>
      <c r="C35" s="216" t="s">
        <v>2968</v>
      </c>
      <c r="D35" s="217" t="s">
        <v>2893</v>
      </c>
      <c r="E35" s="217" t="s">
        <v>2932</v>
      </c>
      <c r="F35" s="218" t="s">
        <v>2895</v>
      </c>
      <c r="G35" s="3"/>
      <c r="H35" s="3"/>
      <c r="I35" s="3"/>
      <c r="J35" s="3"/>
      <c r="K35" s="3"/>
      <c r="L35" s="3"/>
      <c r="M35" s="3"/>
      <c r="N35" s="3"/>
    </row>
    <row r="36">
      <c r="A36" s="214" t="s">
        <v>2969</v>
      </c>
      <c r="B36" s="215" t="s">
        <v>2970</v>
      </c>
      <c r="C36" s="216" t="s">
        <v>2971</v>
      </c>
      <c r="D36" s="217" t="s">
        <v>2906</v>
      </c>
      <c r="E36" s="217" t="s">
        <v>2932</v>
      </c>
      <c r="F36" s="218" t="s">
        <v>2895</v>
      </c>
      <c r="G36" s="3"/>
      <c r="H36" s="3"/>
      <c r="I36" s="3"/>
      <c r="J36" s="3"/>
      <c r="K36" s="3"/>
      <c r="L36" s="3"/>
      <c r="M36" s="3"/>
      <c r="N36" s="3"/>
    </row>
    <row r="37">
      <c r="A37" s="214" t="s">
        <v>2972</v>
      </c>
      <c r="B37" s="215" t="s">
        <v>2973</v>
      </c>
      <c r="C37" s="216" t="s">
        <v>2974</v>
      </c>
      <c r="D37" s="217" t="s">
        <v>2906</v>
      </c>
      <c r="E37" s="217" t="s">
        <v>2932</v>
      </c>
      <c r="F37" s="218" t="s">
        <v>2895</v>
      </c>
      <c r="G37" s="3"/>
      <c r="H37" s="3"/>
      <c r="I37" s="3"/>
      <c r="J37" s="3"/>
      <c r="K37" s="3"/>
      <c r="L37" s="3"/>
      <c r="M37" s="3"/>
      <c r="N37" s="3"/>
    </row>
    <row r="38">
      <c r="A38" s="214" t="s">
        <v>2975</v>
      </c>
      <c r="B38" s="215" t="s">
        <v>2976</v>
      </c>
      <c r="C38" s="216" t="s">
        <v>2977</v>
      </c>
      <c r="D38" s="217" t="s">
        <v>2906</v>
      </c>
      <c r="E38" s="217" t="s">
        <v>2932</v>
      </c>
      <c r="F38" s="217" t="s">
        <v>2895</v>
      </c>
      <c r="G38" s="3"/>
      <c r="H38" s="3"/>
      <c r="I38" s="3"/>
      <c r="J38" s="3"/>
      <c r="K38" s="3"/>
      <c r="L38" s="3"/>
      <c r="M38" s="3"/>
      <c r="N38" s="3"/>
    </row>
    <row r="39">
      <c r="A39" s="214" t="s">
        <v>2978</v>
      </c>
      <c r="B39" s="215" t="s">
        <v>2979</v>
      </c>
      <c r="C39" s="216" t="s">
        <v>2980</v>
      </c>
      <c r="D39" s="217" t="s">
        <v>2893</v>
      </c>
      <c r="E39" s="217" t="s">
        <v>2932</v>
      </c>
      <c r="F39" s="217" t="s">
        <v>2895</v>
      </c>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row r="42">
      <c r="A42" s="3"/>
      <c r="B42" s="3"/>
      <c r="C42" s="3"/>
      <c r="D42" s="3"/>
      <c r="E42" s="3"/>
      <c r="F42" s="3"/>
      <c r="G42" s="3"/>
      <c r="H42" s="3"/>
      <c r="I42" s="3"/>
      <c r="J42" s="3"/>
      <c r="K42" s="3"/>
      <c r="L42" s="3"/>
      <c r="M42" s="3"/>
      <c r="N42" s="3"/>
    </row>
    <row r="43">
      <c r="A43" s="220" t="s">
        <v>2981</v>
      </c>
      <c r="B43" s="181"/>
      <c r="C43" s="181"/>
      <c r="D43" s="181"/>
      <c r="E43" s="181"/>
      <c r="F43" s="182"/>
      <c r="G43" s="3"/>
      <c r="H43" s="3"/>
      <c r="I43" s="3"/>
      <c r="J43" s="3"/>
      <c r="K43" s="3"/>
      <c r="L43" s="3"/>
      <c r="M43" s="3"/>
      <c r="N43" s="3"/>
    </row>
    <row r="44">
      <c r="A44" s="207" t="s">
        <v>2885</v>
      </c>
      <c r="B44" s="207" t="s">
        <v>2886</v>
      </c>
      <c r="C44" s="207" t="s">
        <v>2887</v>
      </c>
      <c r="D44" s="207" t="s">
        <v>2888</v>
      </c>
      <c r="E44" s="207" t="s">
        <v>2889</v>
      </c>
      <c r="F44" s="207" t="s">
        <v>25</v>
      </c>
      <c r="G44" s="3"/>
      <c r="H44" s="3"/>
      <c r="I44" s="3"/>
      <c r="J44" s="3"/>
      <c r="K44" s="3"/>
      <c r="L44" s="3"/>
      <c r="M44" s="3"/>
      <c r="N44" s="3"/>
    </row>
    <row r="45">
      <c r="A45" s="214" t="s">
        <v>2982</v>
      </c>
      <c r="B45" s="221" t="s">
        <v>2983</v>
      </c>
      <c r="C45" s="221" t="s">
        <v>2984</v>
      </c>
      <c r="D45" s="211" t="s">
        <v>2893</v>
      </c>
      <c r="E45" s="211" t="s">
        <v>2985</v>
      </c>
      <c r="F45" s="222" t="s">
        <v>2895</v>
      </c>
      <c r="G45" s="3"/>
      <c r="H45" s="3"/>
      <c r="I45" s="3"/>
      <c r="J45" s="3"/>
      <c r="K45" s="3"/>
      <c r="L45" s="3"/>
      <c r="M45" s="3"/>
      <c r="N45" s="3"/>
    </row>
    <row r="46">
      <c r="A46" s="214" t="s">
        <v>2986</v>
      </c>
      <c r="B46" s="223" t="s">
        <v>2987</v>
      </c>
      <c r="C46" s="223" t="s">
        <v>2988</v>
      </c>
      <c r="D46" s="211" t="s">
        <v>2893</v>
      </c>
      <c r="E46" s="211" t="s">
        <v>2985</v>
      </c>
      <c r="F46" s="222" t="s">
        <v>2895</v>
      </c>
      <c r="G46" s="3"/>
      <c r="H46" s="3"/>
      <c r="I46" s="3"/>
      <c r="J46" s="3"/>
      <c r="K46" s="3"/>
      <c r="L46" s="3"/>
      <c r="M46" s="3"/>
      <c r="N46" s="3"/>
    </row>
    <row r="47">
      <c r="A47" s="214" t="s">
        <v>2989</v>
      </c>
      <c r="B47" s="223" t="s">
        <v>2990</v>
      </c>
      <c r="C47" s="223" t="s">
        <v>2991</v>
      </c>
      <c r="D47" s="211" t="s">
        <v>2893</v>
      </c>
      <c r="E47" s="211" t="s">
        <v>2985</v>
      </c>
      <c r="F47" s="222" t="s">
        <v>2895</v>
      </c>
      <c r="G47" s="3"/>
      <c r="H47" s="3"/>
      <c r="I47" s="3"/>
      <c r="J47" s="3"/>
      <c r="K47" s="3"/>
      <c r="L47" s="3"/>
      <c r="M47" s="3"/>
      <c r="N47" s="3"/>
    </row>
    <row r="48">
      <c r="A48" s="214" t="s">
        <v>2992</v>
      </c>
      <c r="B48" s="223" t="s">
        <v>2993</v>
      </c>
      <c r="C48" s="223" t="s">
        <v>2994</v>
      </c>
      <c r="D48" s="211" t="s">
        <v>2893</v>
      </c>
      <c r="E48" s="211" t="s">
        <v>2985</v>
      </c>
      <c r="F48" s="222" t="s">
        <v>2895</v>
      </c>
      <c r="G48" s="3"/>
      <c r="H48" s="3"/>
      <c r="I48" s="3"/>
      <c r="J48" s="3"/>
      <c r="K48" s="3"/>
      <c r="L48" s="3"/>
      <c r="M48" s="3"/>
      <c r="N48" s="3"/>
    </row>
    <row r="49">
      <c r="A49" s="214" t="s">
        <v>2995</v>
      </c>
      <c r="B49" s="223" t="s">
        <v>2996</v>
      </c>
      <c r="C49" s="224" t="s">
        <v>2997</v>
      </c>
      <c r="D49" s="211" t="s">
        <v>2893</v>
      </c>
      <c r="E49" s="211" t="s">
        <v>2985</v>
      </c>
      <c r="F49" s="222" t="s">
        <v>2895</v>
      </c>
      <c r="G49" s="3"/>
      <c r="H49" s="3"/>
      <c r="I49" s="3"/>
      <c r="J49" s="3"/>
      <c r="K49" s="3"/>
      <c r="L49" s="3"/>
      <c r="M49" s="3"/>
      <c r="N49" s="3"/>
    </row>
    <row r="50">
      <c r="A50" s="214" t="s">
        <v>2998</v>
      </c>
      <c r="B50" s="223" t="s">
        <v>2999</v>
      </c>
      <c r="C50" s="224" t="s">
        <v>3000</v>
      </c>
      <c r="D50" s="211" t="s">
        <v>2911</v>
      </c>
      <c r="E50" s="211" t="s">
        <v>2985</v>
      </c>
      <c r="F50" s="222" t="s">
        <v>2895</v>
      </c>
      <c r="G50" s="3"/>
      <c r="H50" s="3"/>
      <c r="I50" s="3"/>
      <c r="J50" s="3"/>
      <c r="K50" s="3"/>
      <c r="L50" s="3"/>
      <c r="M50" s="3"/>
      <c r="N50" s="3"/>
    </row>
    <row r="51">
      <c r="A51" s="214" t="s">
        <v>3001</v>
      </c>
      <c r="B51" s="223" t="s">
        <v>3002</v>
      </c>
      <c r="C51" s="224" t="s">
        <v>3003</v>
      </c>
      <c r="D51" s="211" t="s">
        <v>2893</v>
      </c>
      <c r="E51" s="211" t="s">
        <v>2985</v>
      </c>
      <c r="F51" s="222" t="s">
        <v>2895</v>
      </c>
      <c r="G51" s="3"/>
      <c r="H51" s="3"/>
      <c r="I51" s="3"/>
      <c r="J51" s="3"/>
      <c r="K51" s="3"/>
      <c r="L51" s="3"/>
      <c r="M51" s="3"/>
      <c r="N51" s="3"/>
    </row>
    <row r="52">
      <c r="A52" s="214" t="s">
        <v>3004</v>
      </c>
      <c r="B52" s="223" t="s">
        <v>3005</v>
      </c>
      <c r="C52" s="224" t="s">
        <v>3006</v>
      </c>
      <c r="D52" s="211" t="s">
        <v>2906</v>
      </c>
      <c r="E52" s="211" t="s">
        <v>2985</v>
      </c>
      <c r="F52" s="222" t="s">
        <v>2895</v>
      </c>
      <c r="G52" s="3"/>
      <c r="H52" s="3"/>
      <c r="I52" s="3"/>
      <c r="J52" s="3"/>
      <c r="K52" s="3"/>
      <c r="L52" s="3"/>
      <c r="M52" s="3"/>
      <c r="N52" s="3"/>
    </row>
    <row r="53">
      <c r="A53" s="214" t="s">
        <v>3007</v>
      </c>
      <c r="B53" s="223" t="s">
        <v>3008</v>
      </c>
      <c r="C53" s="224" t="s">
        <v>3009</v>
      </c>
      <c r="D53" s="211" t="s">
        <v>2906</v>
      </c>
      <c r="E53" s="211" t="s">
        <v>2985</v>
      </c>
      <c r="F53" s="222" t="s">
        <v>2895</v>
      </c>
      <c r="G53" s="3"/>
      <c r="H53" s="3"/>
      <c r="I53" s="3"/>
      <c r="J53" s="3"/>
      <c r="K53" s="3"/>
      <c r="L53" s="3"/>
      <c r="M53" s="3"/>
      <c r="N53" s="3"/>
    </row>
    <row r="54">
      <c r="A54" s="214" t="s">
        <v>3010</v>
      </c>
      <c r="B54" s="223" t="s">
        <v>3011</v>
      </c>
      <c r="C54" s="224" t="s">
        <v>3012</v>
      </c>
      <c r="D54" s="211" t="s">
        <v>2899</v>
      </c>
      <c r="E54" s="211" t="s">
        <v>2985</v>
      </c>
      <c r="F54" s="222" t="s">
        <v>2895</v>
      </c>
      <c r="G54" s="3"/>
      <c r="H54" s="3"/>
      <c r="I54" s="3"/>
      <c r="J54" s="3"/>
      <c r="K54" s="3"/>
      <c r="L54" s="3"/>
      <c r="M54" s="3"/>
      <c r="N54" s="3"/>
    </row>
    <row r="55">
      <c r="A55" s="214" t="s">
        <v>3013</v>
      </c>
      <c r="B55" s="223" t="s">
        <v>3014</v>
      </c>
      <c r="C55" s="224" t="s">
        <v>3015</v>
      </c>
      <c r="D55" s="211" t="s">
        <v>2906</v>
      </c>
      <c r="E55" s="211" t="s">
        <v>2985</v>
      </c>
      <c r="F55" s="222" t="s">
        <v>2895</v>
      </c>
      <c r="G55" s="3"/>
      <c r="H55" s="3"/>
      <c r="I55" s="3"/>
      <c r="J55" s="3"/>
      <c r="K55" s="3"/>
      <c r="L55" s="3"/>
      <c r="M55" s="3"/>
      <c r="N55" s="3"/>
    </row>
    <row r="56">
      <c r="A56" s="214" t="s">
        <v>3016</v>
      </c>
      <c r="B56" s="223" t="s">
        <v>3017</v>
      </c>
      <c r="C56" s="224" t="s">
        <v>3018</v>
      </c>
      <c r="D56" s="211" t="s">
        <v>2911</v>
      </c>
      <c r="E56" s="211" t="s">
        <v>2985</v>
      </c>
      <c r="F56" s="222" t="s">
        <v>2895</v>
      </c>
      <c r="G56" s="3"/>
      <c r="H56" s="3"/>
      <c r="I56" s="3"/>
      <c r="J56" s="3"/>
      <c r="K56" s="3"/>
      <c r="L56" s="3"/>
      <c r="M56" s="3"/>
      <c r="N56" s="3"/>
    </row>
    <row r="57">
      <c r="A57" s="214" t="s">
        <v>3019</v>
      </c>
      <c r="B57" s="223" t="s">
        <v>3020</v>
      </c>
      <c r="C57" s="224" t="s">
        <v>3021</v>
      </c>
      <c r="D57" s="211" t="s">
        <v>2893</v>
      </c>
      <c r="E57" s="211" t="s">
        <v>2985</v>
      </c>
      <c r="F57" s="222" t="s">
        <v>2895</v>
      </c>
      <c r="G57" s="3"/>
      <c r="H57" s="3"/>
      <c r="I57" s="3"/>
      <c r="J57" s="3"/>
      <c r="K57" s="3"/>
      <c r="L57" s="3"/>
      <c r="M57" s="3"/>
      <c r="N57" s="3"/>
    </row>
    <row r="58">
      <c r="A58" s="214" t="s">
        <v>3022</v>
      </c>
      <c r="B58" s="223" t="s">
        <v>3023</v>
      </c>
      <c r="C58" s="224" t="s">
        <v>3024</v>
      </c>
      <c r="D58" s="211" t="s">
        <v>2911</v>
      </c>
      <c r="E58" s="211" t="s">
        <v>2985</v>
      </c>
      <c r="F58" s="222" t="s">
        <v>2895</v>
      </c>
      <c r="G58" s="3"/>
      <c r="H58" s="3"/>
      <c r="I58" s="3"/>
      <c r="J58" s="3"/>
      <c r="K58" s="3"/>
      <c r="L58" s="3"/>
      <c r="M58" s="3"/>
      <c r="N58" s="3"/>
    </row>
    <row r="59">
      <c r="A59" s="214" t="s">
        <v>3025</v>
      </c>
      <c r="B59" s="223" t="s">
        <v>3026</v>
      </c>
      <c r="C59" s="224" t="s">
        <v>3027</v>
      </c>
      <c r="D59" s="211" t="s">
        <v>2899</v>
      </c>
      <c r="E59" s="211" t="s">
        <v>2985</v>
      </c>
      <c r="F59" s="222" t="s">
        <v>2895</v>
      </c>
      <c r="G59" s="3"/>
      <c r="H59" s="3"/>
      <c r="I59" s="3"/>
      <c r="J59" s="3"/>
      <c r="K59" s="3"/>
      <c r="L59" s="3"/>
      <c r="M59" s="3"/>
      <c r="N59" s="3"/>
    </row>
    <row r="60">
      <c r="A60" s="214" t="s">
        <v>3028</v>
      </c>
      <c r="B60" s="223" t="s">
        <v>3029</v>
      </c>
      <c r="C60" s="224" t="s">
        <v>3030</v>
      </c>
      <c r="D60" s="211" t="s">
        <v>2899</v>
      </c>
      <c r="E60" s="211" t="s">
        <v>2985</v>
      </c>
      <c r="F60" s="222" t="s">
        <v>2895</v>
      </c>
      <c r="G60" s="3"/>
      <c r="H60" s="3"/>
      <c r="I60" s="3"/>
      <c r="J60" s="3"/>
      <c r="K60" s="3"/>
      <c r="L60" s="3"/>
      <c r="M60" s="3"/>
      <c r="N60" s="3"/>
    </row>
    <row r="61">
      <c r="A61" s="214" t="s">
        <v>3031</v>
      </c>
      <c r="B61" s="223" t="s">
        <v>3032</v>
      </c>
      <c r="C61" s="224" t="s">
        <v>3033</v>
      </c>
      <c r="D61" s="211" t="s">
        <v>2899</v>
      </c>
      <c r="E61" s="211" t="s">
        <v>2985</v>
      </c>
      <c r="F61" s="222" t="s">
        <v>2895</v>
      </c>
      <c r="G61" s="3"/>
      <c r="H61" s="3"/>
      <c r="I61" s="3"/>
      <c r="J61" s="3"/>
      <c r="K61" s="3"/>
      <c r="L61" s="3"/>
      <c r="M61" s="3"/>
      <c r="N61" s="3"/>
    </row>
    <row r="62">
      <c r="A62" s="214" t="s">
        <v>3034</v>
      </c>
      <c r="B62" s="223" t="s">
        <v>3035</v>
      </c>
      <c r="C62" s="224" t="s">
        <v>3036</v>
      </c>
      <c r="D62" s="211" t="s">
        <v>2911</v>
      </c>
      <c r="E62" s="211" t="s">
        <v>2985</v>
      </c>
      <c r="F62" s="222" t="s">
        <v>2895</v>
      </c>
      <c r="G62" s="3"/>
      <c r="H62" s="3"/>
      <c r="I62" s="3"/>
      <c r="J62" s="3"/>
      <c r="K62" s="3"/>
      <c r="L62" s="3"/>
      <c r="M62" s="3"/>
      <c r="N62" s="3"/>
    </row>
    <row r="63">
      <c r="A63" s="214" t="s">
        <v>3037</v>
      </c>
      <c r="B63" s="223" t="s">
        <v>3038</v>
      </c>
      <c r="C63" s="224" t="s">
        <v>3039</v>
      </c>
      <c r="D63" s="211" t="s">
        <v>2893</v>
      </c>
      <c r="E63" s="211" t="s">
        <v>2985</v>
      </c>
      <c r="F63" s="222" t="s">
        <v>2895</v>
      </c>
      <c r="G63" s="3"/>
      <c r="H63" s="3"/>
      <c r="I63" s="3"/>
      <c r="J63" s="3"/>
      <c r="K63" s="3"/>
      <c r="L63" s="3"/>
      <c r="M63" s="3"/>
      <c r="N63" s="3"/>
    </row>
    <row r="64">
      <c r="A64" s="214" t="s">
        <v>3040</v>
      </c>
      <c r="B64" s="225" t="s">
        <v>3041</v>
      </c>
      <c r="C64" s="225" t="s">
        <v>3042</v>
      </c>
      <c r="D64" s="211" t="s">
        <v>2893</v>
      </c>
      <c r="E64" s="211" t="s">
        <v>2985</v>
      </c>
      <c r="F64" s="222" t="s">
        <v>2895</v>
      </c>
      <c r="G64" s="3"/>
      <c r="H64" s="3"/>
      <c r="I64" s="3"/>
      <c r="J64" s="3"/>
      <c r="K64" s="3"/>
      <c r="L64" s="3"/>
      <c r="M64" s="3"/>
      <c r="N64" s="3"/>
    </row>
    <row r="65">
      <c r="A65" s="3"/>
      <c r="B65" s="3"/>
      <c r="C65" s="3"/>
      <c r="D65" s="3"/>
      <c r="E65" s="3"/>
      <c r="F65" s="3"/>
      <c r="G65" s="3"/>
      <c r="H65" s="3"/>
      <c r="I65" s="3"/>
      <c r="J65" s="3"/>
      <c r="K65" s="3"/>
      <c r="L65" s="3"/>
      <c r="M65" s="3"/>
      <c r="N65" s="3"/>
    </row>
    <row r="66">
      <c r="A66" s="3"/>
      <c r="B66" s="3"/>
      <c r="C66" s="3"/>
      <c r="D66" s="3"/>
      <c r="E66" s="3"/>
      <c r="F66" s="3"/>
      <c r="G66" s="3"/>
      <c r="H66" s="3"/>
      <c r="I66" s="3"/>
      <c r="J66" s="3"/>
      <c r="K66" s="3"/>
      <c r="L66" s="3"/>
      <c r="M66" s="3"/>
      <c r="N66" s="3"/>
    </row>
    <row r="67">
      <c r="A67" s="3"/>
      <c r="B67" s="3"/>
      <c r="C67" s="3"/>
      <c r="D67" s="3"/>
      <c r="E67" s="3"/>
      <c r="F67" s="3"/>
      <c r="G67" s="3"/>
      <c r="H67" s="3"/>
      <c r="I67" s="3"/>
      <c r="J67" s="3"/>
      <c r="K67" s="3"/>
      <c r="L67" s="3"/>
      <c r="M67" s="3"/>
      <c r="N67" s="3"/>
    </row>
    <row r="68">
      <c r="A68" s="3"/>
      <c r="B68" s="3"/>
      <c r="C68" s="3"/>
      <c r="D68" s="3"/>
      <c r="E68" s="3"/>
      <c r="F68" s="3"/>
      <c r="G68" s="3"/>
      <c r="H68" s="3"/>
      <c r="I68" s="3"/>
      <c r="J68" s="3"/>
      <c r="K68" s="3"/>
      <c r="L68" s="3"/>
      <c r="M68" s="3"/>
      <c r="N68" s="3"/>
    </row>
    <row r="69">
      <c r="A69" s="3"/>
      <c r="B69" s="3"/>
      <c r="C69" s="3"/>
      <c r="D69" s="3"/>
      <c r="E69" s="3"/>
      <c r="F69" s="3"/>
      <c r="G69" s="3"/>
      <c r="H69" s="3"/>
      <c r="I69" s="3"/>
      <c r="J69" s="3"/>
      <c r="K69" s="3"/>
      <c r="L69" s="3"/>
      <c r="M69" s="3"/>
      <c r="N69" s="3"/>
    </row>
    <row r="70">
      <c r="A70" s="3"/>
      <c r="B70" s="3"/>
      <c r="C70" s="3"/>
      <c r="D70" s="3"/>
      <c r="E70" s="3"/>
      <c r="F70" s="3"/>
      <c r="G70" s="3"/>
      <c r="H70" s="3"/>
      <c r="I70" s="3"/>
      <c r="J70" s="3"/>
      <c r="K70" s="3"/>
      <c r="L70" s="3"/>
      <c r="M70" s="3"/>
      <c r="N70" s="3"/>
    </row>
    <row r="71">
      <c r="A71" s="3"/>
      <c r="B71" s="3"/>
      <c r="C71" s="3"/>
      <c r="D71" s="3"/>
      <c r="E71" s="3"/>
      <c r="F71" s="3"/>
      <c r="G71" s="3"/>
      <c r="H71" s="3"/>
      <c r="I71" s="3"/>
      <c r="J71" s="3"/>
      <c r="K71" s="3"/>
      <c r="L71" s="3"/>
      <c r="M71" s="3"/>
      <c r="N71" s="3"/>
    </row>
    <row r="72">
      <c r="A72" s="3"/>
      <c r="B72" s="3"/>
      <c r="C72" s="3"/>
      <c r="D72" s="3"/>
      <c r="E72" s="3"/>
      <c r="F72" s="3"/>
      <c r="G72" s="3"/>
      <c r="H72" s="3"/>
      <c r="I72" s="3"/>
      <c r="J72" s="3"/>
      <c r="K72" s="3"/>
      <c r="L72" s="3"/>
      <c r="M72" s="3"/>
      <c r="N72" s="3"/>
    </row>
    <row r="73">
      <c r="A73" s="3"/>
      <c r="B73" s="3"/>
      <c r="C73" s="3"/>
      <c r="D73" s="3"/>
      <c r="E73" s="3"/>
      <c r="F73" s="3"/>
      <c r="G73" s="3"/>
      <c r="H73" s="3"/>
      <c r="I73" s="3"/>
      <c r="J73" s="3"/>
      <c r="K73" s="3"/>
      <c r="L73" s="3"/>
      <c r="M73" s="3"/>
      <c r="N73" s="3"/>
    </row>
    <row r="74">
      <c r="A74" s="3"/>
      <c r="B74" s="3"/>
      <c r="C74" s="3"/>
      <c r="D74" s="3"/>
      <c r="E74" s="3"/>
      <c r="F74" s="3"/>
      <c r="G74" s="3"/>
      <c r="H74" s="3"/>
      <c r="I74" s="3"/>
      <c r="J74" s="3"/>
      <c r="K74" s="3"/>
      <c r="L74" s="3"/>
      <c r="M74" s="3"/>
      <c r="N74" s="3"/>
    </row>
    <row r="75">
      <c r="A75" s="3"/>
      <c r="B75" s="3"/>
      <c r="C75" s="3"/>
      <c r="D75" s="3"/>
      <c r="E75" s="3"/>
      <c r="F75" s="3"/>
      <c r="G75" s="3"/>
      <c r="H75" s="3"/>
      <c r="I75" s="3"/>
      <c r="J75" s="3"/>
      <c r="K75" s="3"/>
      <c r="L75" s="3"/>
      <c r="M75" s="3"/>
      <c r="N75" s="3"/>
    </row>
    <row r="76">
      <c r="A76" s="3"/>
      <c r="B76" s="3"/>
      <c r="C76" s="3"/>
      <c r="D76" s="3"/>
      <c r="E76" s="3"/>
      <c r="F76" s="3"/>
      <c r="G76" s="3"/>
      <c r="H76" s="3"/>
      <c r="I76" s="3"/>
      <c r="J76" s="3"/>
      <c r="K76" s="3"/>
      <c r="L76" s="3"/>
      <c r="M76" s="3"/>
      <c r="N76" s="3"/>
    </row>
    <row r="77">
      <c r="A77" s="3"/>
      <c r="B77" s="3"/>
      <c r="C77" s="3"/>
      <c r="D77" s="3"/>
      <c r="E77" s="3"/>
      <c r="F77" s="3"/>
      <c r="G77" s="3"/>
      <c r="H77" s="3"/>
      <c r="I77" s="3"/>
      <c r="J77" s="3"/>
      <c r="K77" s="3"/>
      <c r="L77" s="3"/>
      <c r="M77" s="3"/>
      <c r="N77" s="3"/>
    </row>
    <row r="78">
      <c r="A78" s="3"/>
      <c r="B78" s="3"/>
      <c r="C78" s="3"/>
      <c r="D78" s="3"/>
      <c r="E78" s="3"/>
      <c r="F78" s="3"/>
      <c r="G78" s="3"/>
      <c r="H78" s="3"/>
      <c r="I78" s="3"/>
      <c r="J78" s="3"/>
      <c r="K78" s="3"/>
      <c r="L78" s="3"/>
      <c r="M78" s="3"/>
      <c r="N78" s="3"/>
    </row>
    <row r="79">
      <c r="A79" s="3"/>
      <c r="B79" s="3"/>
      <c r="C79" s="3"/>
      <c r="D79" s="3"/>
      <c r="E79" s="3"/>
      <c r="F79" s="3"/>
      <c r="G79" s="3"/>
      <c r="H79" s="3"/>
      <c r="I79" s="3"/>
      <c r="J79" s="3"/>
      <c r="K79" s="3"/>
      <c r="L79" s="3"/>
      <c r="M79" s="3"/>
      <c r="N79" s="3"/>
    </row>
    <row r="80">
      <c r="A80" s="3"/>
      <c r="B80" s="3"/>
      <c r="C80" s="3"/>
      <c r="D80" s="3"/>
      <c r="E80" s="3"/>
      <c r="F80" s="3"/>
      <c r="G80" s="3"/>
      <c r="H80" s="3"/>
      <c r="I80" s="3"/>
      <c r="J80" s="3"/>
      <c r="K80" s="3"/>
      <c r="L80" s="3"/>
      <c r="M80" s="3"/>
      <c r="N80" s="3"/>
    </row>
    <row r="81">
      <c r="A81" s="3"/>
      <c r="B81" s="3"/>
      <c r="C81" s="3"/>
      <c r="D81" s="3"/>
      <c r="E81" s="3"/>
      <c r="F81" s="3"/>
      <c r="G81" s="3"/>
      <c r="H81" s="3"/>
      <c r="I81" s="3"/>
      <c r="J81" s="3"/>
      <c r="K81" s="3"/>
      <c r="L81" s="3"/>
      <c r="M81" s="3"/>
      <c r="N81" s="3"/>
    </row>
    <row r="82">
      <c r="A82" s="3"/>
      <c r="B82" s="3"/>
      <c r="C82" s="3"/>
      <c r="D82" s="3"/>
      <c r="E82" s="3"/>
      <c r="F82" s="3"/>
      <c r="G82" s="3"/>
      <c r="H82" s="3"/>
      <c r="I82" s="3"/>
      <c r="J82" s="3"/>
      <c r="K82" s="3"/>
      <c r="L82" s="3"/>
      <c r="M82" s="3"/>
      <c r="N82" s="3"/>
    </row>
    <row r="83">
      <c r="A83" s="3"/>
      <c r="B83" s="3"/>
      <c r="C83" s="3"/>
      <c r="D83" s="3"/>
      <c r="E83" s="3"/>
      <c r="F83" s="3"/>
      <c r="G83" s="3"/>
      <c r="H83" s="3"/>
      <c r="I83" s="3"/>
      <c r="J83" s="3"/>
      <c r="K83" s="3"/>
      <c r="L83" s="3"/>
      <c r="M83" s="3"/>
      <c r="N83" s="3"/>
    </row>
    <row r="84">
      <c r="A84" s="3"/>
      <c r="B84" s="3"/>
      <c r="C84" s="3"/>
      <c r="D84" s="3"/>
      <c r="E84" s="3"/>
      <c r="F84" s="3"/>
      <c r="G84" s="3"/>
      <c r="H84" s="3"/>
      <c r="I84" s="3"/>
      <c r="J84" s="3"/>
      <c r="K84" s="3"/>
      <c r="L84" s="3"/>
      <c r="M84" s="3"/>
      <c r="N84" s="3"/>
    </row>
    <row r="85">
      <c r="A85" s="3"/>
      <c r="B85" s="3"/>
      <c r="C85" s="3"/>
      <c r="D85" s="3"/>
      <c r="E85" s="3"/>
      <c r="F85" s="3"/>
      <c r="G85" s="3"/>
      <c r="H85" s="3"/>
      <c r="I85" s="3"/>
      <c r="J85" s="3"/>
      <c r="K85" s="3"/>
      <c r="L85" s="3"/>
      <c r="M85" s="3"/>
      <c r="N85" s="3"/>
    </row>
    <row r="86">
      <c r="A86" s="3"/>
      <c r="B86" s="3"/>
      <c r="C86" s="3"/>
      <c r="D86" s="3"/>
      <c r="E86" s="3"/>
      <c r="F86" s="3"/>
      <c r="G86" s="3"/>
      <c r="H86" s="3"/>
      <c r="I86" s="3"/>
      <c r="J86" s="3"/>
      <c r="K86" s="3"/>
      <c r="L86" s="3"/>
      <c r="M86" s="3"/>
      <c r="N86" s="3"/>
    </row>
    <row r="87">
      <c r="A87" s="3"/>
      <c r="B87" s="3"/>
      <c r="C87" s="3"/>
      <c r="D87" s="3"/>
      <c r="E87" s="3"/>
      <c r="F87" s="3"/>
      <c r="G87" s="3"/>
      <c r="H87" s="3"/>
      <c r="I87" s="3"/>
      <c r="J87" s="3"/>
      <c r="K87" s="3"/>
      <c r="L87" s="3"/>
      <c r="M87" s="3"/>
      <c r="N87" s="3"/>
    </row>
    <row r="88">
      <c r="A88" s="3"/>
      <c r="B88" s="3"/>
      <c r="C88" s="3"/>
      <c r="D88" s="3"/>
      <c r="E88" s="3"/>
      <c r="F88" s="3"/>
      <c r="G88" s="3"/>
      <c r="H88" s="3"/>
      <c r="I88" s="3"/>
      <c r="J88" s="3"/>
      <c r="K88" s="3"/>
      <c r="L88" s="3"/>
      <c r="M88" s="3"/>
      <c r="N88" s="3"/>
    </row>
    <row r="89">
      <c r="A89" s="3"/>
      <c r="B89" s="3"/>
      <c r="C89" s="3"/>
      <c r="D89" s="3"/>
      <c r="E89" s="3"/>
      <c r="F89" s="3"/>
      <c r="G89" s="3"/>
      <c r="H89" s="3"/>
      <c r="I89" s="3"/>
      <c r="J89" s="3"/>
      <c r="K89" s="3"/>
      <c r="L89" s="3"/>
      <c r="M89" s="3"/>
      <c r="N89" s="3"/>
    </row>
    <row r="90">
      <c r="A90" s="3"/>
      <c r="B90" s="3"/>
      <c r="C90" s="3"/>
      <c r="D90" s="3"/>
      <c r="E90" s="3"/>
      <c r="F90" s="3"/>
      <c r="G90" s="3"/>
      <c r="H90" s="3"/>
      <c r="I90" s="3"/>
      <c r="J90" s="3"/>
      <c r="K90" s="3"/>
      <c r="L90" s="3"/>
      <c r="M90" s="3"/>
      <c r="N90" s="3"/>
    </row>
    <row r="91">
      <c r="A91" s="3"/>
      <c r="B91" s="3"/>
      <c r="C91" s="3"/>
      <c r="D91" s="3"/>
      <c r="E91" s="3"/>
      <c r="F91" s="3"/>
      <c r="G91" s="3"/>
      <c r="H91" s="3"/>
      <c r="I91" s="3"/>
      <c r="J91" s="3"/>
      <c r="K91" s="3"/>
      <c r="L91" s="3"/>
      <c r="M91" s="3"/>
      <c r="N91" s="3"/>
    </row>
    <row r="92">
      <c r="A92" s="3"/>
      <c r="B92" s="3"/>
      <c r="C92" s="3"/>
      <c r="D92" s="3"/>
      <c r="E92" s="3"/>
      <c r="F92" s="3"/>
      <c r="G92" s="3"/>
      <c r="H92" s="3"/>
      <c r="I92" s="3"/>
      <c r="J92" s="3"/>
      <c r="K92" s="3"/>
      <c r="L92" s="3"/>
      <c r="M92" s="3"/>
      <c r="N92" s="3"/>
    </row>
    <row r="93">
      <c r="A93" s="3"/>
      <c r="B93" s="3"/>
      <c r="C93" s="3"/>
      <c r="D93" s="3"/>
      <c r="E93" s="3"/>
      <c r="F93" s="3"/>
      <c r="G93" s="3"/>
      <c r="H93" s="3"/>
      <c r="I93" s="3"/>
      <c r="J93" s="3"/>
      <c r="K93" s="3"/>
      <c r="L93" s="3"/>
      <c r="M93" s="3"/>
      <c r="N93" s="3"/>
    </row>
    <row r="94">
      <c r="A94" s="3"/>
      <c r="B94" s="3"/>
      <c r="C94" s="3"/>
      <c r="D94" s="3"/>
      <c r="E94" s="3"/>
      <c r="F94" s="3"/>
      <c r="G94" s="3"/>
      <c r="H94" s="3"/>
      <c r="I94" s="3"/>
      <c r="J94" s="3"/>
      <c r="K94" s="3"/>
      <c r="L94" s="3"/>
      <c r="M94" s="3"/>
      <c r="N94" s="3"/>
    </row>
    <row r="95">
      <c r="A95" s="3"/>
      <c r="B95" s="3"/>
      <c r="C95" s="3"/>
      <c r="D95" s="3"/>
      <c r="E95" s="3"/>
      <c r="F95" s="3"/>
      <c r="G95" s="3"/>
      <c r="H95" s="3"/>
      <c r="I95" s="3"/>
      <c r="J95" s="3"/>
      <c r="K95" s="3"/>
      <c r="L95" s="3"/>
      <c r="M95" s="3"/>
      <c r="N95" s="3"/>
    </row>
    <row r="96">
      <c r="A96" s="3"/>
      <c r="B96" s="3"/>
      <c r="C96" s="3"/>
      <c r="D96" s="3"/>
      <c r="E96" s="3"/>
      <c r="F96" s="3"/>
      <c r="G96" s="3"/>
      <c r="H96" s="3"/>
      <c r="I96" s="3"/>
      <c r="J96" s="3"/>
      <c r="K96" s="3"/>
      <c r="L96" s="3"/>
      <c r="M96" s="3"/>
      <c r="N96" s="3"/>
    </row>
    <row r="97">
      <c r="A97" s="3"/>
      <c r="B97" s="3"/>
      <c r="C97" s="3"/>
      <c r="D97" s="3"/>
      <c r="E97" s="3"/>
      <c r="F97" s="3"/>
      <c r="G97" s="3"/>
      <c r="H97" s="3"/>
      <c r="I97" s="3"/>
      <c r="J97" s="3"/>
      <c r="K97" s="3"/>
      <c r="L97" s="3"/>
      <c r="M97" s="3"/>
      <c r="N97" s="3"/>
    </row>
    <row r="98">
      <c r="A98" s="3"/>
      <c r="B98" s="3"/>
      <c r="C98" s="3"/>
      <c r="D98" s="3"/>
      <c r="E98" s="3"/>
      <c r="F98" s="3"/>
      <c r="G98" s="3"/>
      <c r="H98" s="3"/>
      <c r="I98" s="3"/>
      <c r="J98" s="3"/>
      <c r="K98" s="3"/>
      <c r="L98" s="3"/>
      <c r="M98" s="3"/>
      <c r="N98" s="3"/>
    </row>
    <row r="99">
      <c r="A99" s="3"/>
      <c r="B99" s="3"/>
      <c r="C99" s="3"/>
      <c r="D99" s="3"/>
      <c r="E99" s="3"/>
      <c r="F99" s="3"/>
      <c r="G99" s="3"/>
      <c r="H99" s="3"/>
      <c r="I99" s="3"/>
      <c r="J99" s="3"/>
      <c r="K99" s="3"/>
      <c r="L99" s="3"/>
      <c r="M99" s="3"/>
      <c r="N99" s="3"/>
    </row>
    <row r="100">
      <c r="A100" s="3"/>
      <c r="B100" s="3"/>
      <c r="C100" s="3"/>
      <c r="D100" s="3"/>
      <c r="E100" s="3"/>
      <c r="F100" s="3"/>
      <c r="G100" s="3"/>
      <c r="H100" s="3"/>
      <c r="I100" s="3"/>
      <c r="J100" s="3"/>
      <c r="K100" s="3"/>
      <c r="L100" s="3"/>
      <c r="M100" s="3"/>
      <c r="N100" s="3"/>
    </row>
    <row r="101">
      <c r="A101" s="3"/>
      <c r="B101" s="3"/>
      <c r="C101" s="3"/>
      <c r="D101" s="3"/>
      <c r="E101" s="3"/>
      <c r="F101" s="3"/>
      <c r="G101" s="3"/>
      <c r="H101" s="3"/>
      <c r="I101" s="3"/>
      <c r="J101" s="3"/>
      <c r="K101" s="3"/>
      <c r="L101" s="3"/>
      <c r="M101" s="3"/>
      <c r="N101" s="3"/>
    </row>
    <row r="102">
      <c r="A102" s="3"/>
      <c r="B102" s="3"/>
      <c r="C102" s="3"/>
      <c r="D102" s="3"/>
      <c r="E102" s="3"/>
      <c r="F102" s="3"/>
      <c r="G102" s="3"/>
      <c r="H102" s="3"/>
      <c r="I102" s="3"/>
      <c r="J102" s="3"/>
      <c r="K102" s="3"/>
      <c r="L102" s="3"/>
      <c r="M102" s="3"/>
      <c r="N102" s="3"/>
    </row>
    <row r="103">
      <c r="A103" s="3"/>
      <c r="B103" s="3"/>
      <c r="C103" s="3"/>
      <c r="D103" s="3"/>
      <c r="E103" s="3"/>
      <c r="F103" s="3"/>
      <c r="G103" s="3"/>
      <c r="H103" s="3"/>
      <c r="I103" s="3"/>
      <c r="J103" s="3"/>
      <c r="K103" s="3"/>
      <c r="L103" s="3"/>
      <c r="M103" s="3"/>
      <c r="N103" s="3"/>
    </row>
    <row r="104">
      <c r="A104" s="3"/>
      <c r="B104" s="3"/>
      <c r="C104" s="3"/>
      <c r="D104" s="3"/>
      <c r="E104" s="3"/>
      <c r="F104" s="3"/>
      <c r="G104" s="3"/>
      <c r="H104" s="3"/>
      <c r="I104" s="3"/>
      <c r="J104" s="3"/>
      <c r="K104" s="3"/>
      <c r="L104" s="3"/>
      <c r="M104" s="3"/>
      <c r="N104" s="3"/>
    </row>
    <row r="105">
      <c r="A105" s="3"/>
      <c r="B105" s="3"/>
      <c r="C105" s="3"/>
      <c r="D105" s="3"/>
      <c r="E105" s="3"/>
      <c r="F105" s="3"/>
      <c r="G105" s="3"/>
      <c r="H105" s="3"/>
      <c r="I105" s="3"/>
      <c r="J105" s="3"/>
      <c r="K105" s="3"/>
      <c r="L105" s="3"/>
      <c r="M105" s="3"/>
      <c r="N105" s="3"/>
    </row>
    <row r="106">
      <c r="A106" s="3"/>
      <c r="B106" s="3"/>
      <c r="C106" s="3"/>
      <c r="D106" s="3"/>
      <c r="E106" s="3"/>
      <c r="F106" s="3"/>
      <c r="G106" s="3"/>
      <c r="H106" s="3"/>
      <c r="I106" s="3"/>
      <c r="J106" s="3"/>
      <c r="K106" s="3"/>
      <c r="L106" s="3"/>
      <c r="M106" s="3"/>
      <c r="N106" s="3"/>
    </row>
    <row r="107">
      <c r="A107" s="3"/>
      <c r="B107" s="3"/>
      <c r="C107" s="3"/>
      <c r="D107" s="3"/>
      <c r="E107" s="3"/>
      <c r="F107" s="3"/>
      <c r="G107" s="3"/>
      <c r="H107" s="3"/>
      <c r="I107" s="3"/>
      <c r="J107" s="3"/>
      <c r="K107" s="3"/>
      <c r="L107" s="3"/>
      <c r="M107" s="3"/>
      <c r="N107" s="3"/>
    </row>
    <row r="108">
      <c r="A108" s="3"/>
      <c r="B108" s="3"/>
      <c r="C108" s="3"/>
      <c r="D108" s="3"/>
      <c r="E108" s="3"/>
      <c r="F108" s="3"/>
      <c r="G108" s="3"/>
      <c r="H108" s="3"/>
      <c r="I108" s="3"/>
      <c r="J108" s="3"/>
      <c r="K108" s="3"/>
      <c r="L108" s="3"/>
      <c r="M108" s="3"/>
      <c r="N108" s="3"/>
    </row>
    <row r="109">
      <c r="A109" s="3"/>
      <c r="B109" s="3"/>
      <c r="C109" s="3"/>
      <c r="D109" s="3"/>
      <c r="E109" s="3"/>
      <c r="F109" s="3"/>
      <c r="G109" s="3"/>
      <c r="H109" s="3"/>
      <c r="I109" s="3"/>
      <c r="J109" s="3"/>
      <c r="K109" s="3"/>
      <c r="L109" s="3"/>
      <c r="M109" s="3"/>
      <c r="N109" s="3"/>
    </row>
    <row r="110">
      <c r="A110" s="3"/>
      <c r="B110" s="3"/>
      <c r="C110" s="3"/>
      <c r="D110" s="3"/>
      <c r="E110" s="3"/>
      <c r="F110" s="3"/>
      <c r="G110" s="3"/>
      <c r="H110" s="3"/>
      <c r="I110" s="3"/>
      <c r="J110" s="3"/>
      <c r="K110" s="3"/>
      <c r="L110" s="3"/>
      <c r="M110" s="3"/>
      <c r="N110" s="3"/>
    </row>
    <row r="111">
      <c r="A111" s="3"/>
      <c r="B111" s="3"/>
      <c r="C111" s="3"/>
      <c r="D111" s="3"/>
      <c r="E111" s="3"/>
      <c r="F111" s="3"/>
      <c r="G111" s="3"/>
      <c r="H111" s="3"/>
      <c r="I111" s="3"/>
      <c r="J111" s="3"/>
      <c r="K111" s="3"/>
      <c r="L111" s="3"/>
      <c r="M111" s="3"/>
      <c r="N111" s="3"/>
    </row>
    <row r="112">
      <c r="A112" s="3"/>
      <c r="B112" s="3"/>
      <c r="C112" s="3"/>
      <c r="D112" s="3"/>
      <c r="E112" s="3"/>
      <c r="F112" s="3"/>
      <c r="G112" s="3"/>
      <c r="H112" s="3"/>
      <c r="I112" s="3"/>
      <c r="J112" s="3"/>
      <c r="K112" s="3"/>
      <c r="L112" s="3"/>
      <c r="M112" s="3"/>
      <c r="N112" s="3"/>
    </row>
    <row r="113">
      <c r="A113" s="3"/>
      <c r="B113" s="3"/>
      <c r="C113" s="3"/>
      <c r="D113" s="3"/>
      <c r="E113" s="3"/>
      <c r="F113" s="3"/>
      <c r="G113" s="3"/>
      <c r="H113" s="3"/>
      <c r="I113" s="3"/>
      <c r="J113" s="3"/>
      <c r="K113" s="3"/>
      <c r="L113" s="3"/>
      <c r="M113" s="3"/>
      <c r="N113" s="3"/>
    </row>
    <row r="114">
      <c r="A114" s="3"/>
      <c r="B114" s="3"/>
      <c r="C114" s="3"/>
      <c r="D114" s="3"/>
      <c r="E114" s="3"/>
      <c r="F114" s="3"/>
      <c r="G114" s="3"/>
      <c r="H114" s="3"/>
      <c r="I114" s="3"/>
      <c r="J114" s="3"/>
      <c r="K114" s="3"/>
      <c r="L114" s="3"/>
      <c r="M114" s="3"/>
      <c r="N114" s="3"/>
    </row>
    <row r="115">
      <c r="A115" s="3"/>
      <c r="B115" s="3"/>
      <c r="C115" s="3"/>
      <c r="D115" s="3"/>
      <c r="E115" s="3"/>
      <c r="F115" s="3"/>
      <c r="G115" s="3"/>
      <c r="H115" s="3"/>
      <c r="I115" s="3"/>
      <c r="J115" s="3"/>
      <c r="K115" s="3"/>
      <c r="L115" s="3"/>
      <c r="M115" s="3"/>
      <c r="N115" s="3"/>
    </row>
    <row r="116">
      <c r="A116" s="3"/>
      <c r="B116" s="3"/>
      <c r="C116" s="3"/>
      <c r="D116" s="3"/>
      <c r="E116" s="3"/>
      <c r="F116" s="3"/>
      <c r="G116" s="3"/>
      <c r="H116" s="3"/>
      <c r="I116" s="3"/>
      <c r="J116" s="3"/>
      <c r="K116" s="3"/>
      <c r="L116" s="3"/>
      <c r="M116" s="3"/>
      <c r="N116" s="3"/>
    </row>
    <row r="117">
      <c r="A117" s="3"/>
      <c r="B117" s="3"/>
      <c r="C117" s="3"/>
      <c r="D117" s="3"/>
      <c r="E117" s="3"/>
      <c r="F117" s="3"/>
      <c r="G117" s="3"/>
      <c r="H117" s="3"/>
      <c r="I117" s="3"/>
      <c r="J117" s="3"/>
      <c r="K117" s="3"/>
      <c r="L117" s="3"/>
      <c r="M117" s="3"/>
      <c r="N117" s="3"/>
    </row>
    <row r="118">
      <c r="A118" s="3"/>
      <c r="B118" s="3"/>
      <c r="C118" s="3"/>
      <c r="D118" s="3"/>
      <c r="E118" s="3"/>
      <c r="F118" s="3"/>
      <c r="G118" s="3"/>
      <c r="H118" s="3"/>
      <c r="I118" s="3"/>
      <c r="J118" s="3"/>
      <c r="K118" s="3"/>
      <c r="L118" s="3"/>
      <c r="M118" s="3"/>
      <c r="N118" s="3"/>
    </row>
    <row r="119">
      <c r="A119" s="3"/>
      <c r="B119" s="3"/>
      <c r="C119" s="3"/>
      <c r="D119" s="3"/>
      <c r="E119" s="3"/>
      <c r="F119" s="3"/>
      <c r="G119" s="3"/>
      <c r="H119" s="3"/>
      <c r="I119" s="3"/>
      <c r="J119" s="3"/>
      <c r="K119" s="3"/>
      <c r="L119" s="3"/>
      <c r="M119" s="3"/>
      <c r="N119" s="3"/>
    </row>
    <row r="120">
      <c r="A120" s="3"/>
      <c r="B120" s="3"/>
      <c r="C120" s="3"/>
      <c r="D120" s="3"/>
      <c r="E120" s="3"/>
      <c r="F120" s="3"/>
      <c r="G120" s="3"/>
      <c r="H120" s="3"/>
      <c r="I120" s="3"/>
      <c r="J120" s="3"/>
      <c r="K120" s="3"/>
      <c r="L120" s="3"/>
      <c r="M120" s="3"/>
      <c r="N120" s="3"/>
    </row>
    <row r="121">
      <c r="A121" s="3"/>
      <c r="B121" s="3"/>
      <c r="C121" s="3"/>
      <c r="D121" s="3"/>
      <c r="E121" s="3"/>
      <c r="F121" s="3"/>
      <c r="G121" s="3"/>
      <c r="H121" s="3"/>
      <c r="I121" s="3"/>
      <c r="J121" s="3"/>
      <c r="K121" s="3"/>
      <c r="L121" s="3"/>
      <c r="M121" s="3"/>
      <c r="N121" s="3"/>
    </row>
    <row r="122">
      <c r="A122" s="3"/>
      <c r="B122" s="3"/>
      <c r="C122" s="3"/>
      <c r="D122" s="3"/>
      <c r="E122" s="3"/>
      <c r="F122" s="3"/>
      <c r="G122" s="3"/>
      <c r="H122" s="3"/>
      <c r="I122" s="3"/>
      <c r="J122" s="3"/>
      <c r="K122" s="3"/>
      <c r="L122" s="3"/>
      <c r="M122" s="3"/>
      <c r="N122" s="3"/>
    </row>
    <row r="123">
      <c r="A123" s="3"/>
      <c r="B123" s="3"/>
      <c r="C123" s="3"/>
      <c r="D123" s="3"/>
      <c r="E123" s="3"/>
      <c r="F123" s="3"/>
      <c r="G123" s="3"/>
      <c r="H123" s="3"/>
      <c r="I123" s="3"/>
      <c r="J123" s="3"/>
      <c r="K123" s="3"/>
      <c r="L123" s="3"/>
      <c r="M123" s="3"/>
      <c r="N123" s="3"/>
    </row>
    <row r="124">
      <c r="A124" s="3"/>
      <c r="B124" s="3"/>
      <c r="C124" s="3"/>
      <c r="D124" s="3"/>
      <c r="E124" s="3"/>
      <c r="F124" s="3"/>
      <c r="G124" s="3"/>
      <c r="H124" s="3"/>
      <c r="I124" s="3"/>
      <c r="J124" s="3"/>
      <c r="K124" s="3"/>
      <c r="L124" s="3"/>
      <c r="M124" s="3"/>
      <c r="N124" s="3"/>
    </row>
    <row r="125">
      <c r="A125" s="3"/>
      <c r="B125" s="3"/>
      <c r="C125" s="3"/>
      <c r="D125" s="3"/>
      <c r="E125" s="3"/>
      <c r="F125" s="3"/>
      <c r="G125" s="3"/>
      <c r="H125" s="3"/>
      <c r="I125" s="3"/>
      <c r="J125" s="3"/>
      <c r="K125" s="3"/>
      <c r="L125" s="3"/>
      <c r="M125" s="3"/>
      <c r="N125" s="3"/>
    </row>
    <row r="126">
      <c r="A126" s="3"/>
      <c r="B126" s="3"/>
      <c r="C126" s="3"/>
      <c r="D126" s="3"/>
      <c r="E126" s="3"/>
      <c r="F126" s="3"/>
      <c r="G126" s="3"/>
      <c r="H126" s="3"/>
      <c r="I126" s="3"/>
      <c r="J126" s="3"/>
      <c r="K126" s="3"/>
      <c r="L126" s="3"/>
      <c r="M126" s="3"/>
      <c r="N126" s="3"/>
    </row>
    <row r="127">
      <c r="A127" s="3"/>
      <c r="B127" s="3"/>
      <c r="C127" s="3"/>
      <c r="D127" s="3"/>
      <c r="E127" s="3"/>
      <c r="F127" s="3"/>
      <c r="G127" s="3"/>
      <c r="H127" s="3"/>
      <c r="I127" s="3"/>
      <c r="J127" s="3"/>
      <c r="K127" s="3"/>
      <c r="L127" s="3"/>
      <c r="M127" s="3"/>
      <c r="N127" s="3"/>
    </row>
    <row r="128">
      <c r="A128" s="3"/>
      <c r="B128" s="3"/>
      <c r="C128" s="3"/>
      <c r="D128" s="3"/>
      <c r="E128" s="3"/>
      <c r="F128" s="3"/>
      <c r="G128" s="3"/>
      <c r="H128" s="3"/>
      <c r="I128" s="3"/>
      <c r="J128" s="3"/>
      <c r="K128" s="3"/>
      <c r="L128" s="3"/>
      <c r="M128" s="3"/>
      <c r="N128" s="3"/>
    </row>
    <row r="129">
      <c r="A129" s="3"/>
      <c r="B129" s="3"/>
      <c r="C129" s="3"/>
      <c r="D129" s="3"/>
      <c r="E129" s="3"/>
      <c r="F129" s="3"/>
      <c r="G129" s="3"/>
      <c r="H129" s="3"/>
      <c r="I129" s="3"/>
      <c r="J129" s="3"/>
      <c r="K129" s="3"/>
      <c r="L129" s="3"/>
      <c r="M129" s="3"/>
      <c r="N129" s="3"/>
    </row>
    <row r="130">
      <c r="A130" s="3"/>
      <c r="B130" s="3"/>
      <c r="C130" s="3"/>
      <c r="D130" s="3"/>
      <c r="E130" s="3"/>
      <c r="F130" s="3"/>
      <c r="G130" s="3"/>
      <c r="H130" s="3"/>
      <c r="I130" s="3"/>
      <c r="J130" s="3"/>
      <c r="K130" s="3"/>
      <c r="L130" s="3"/>
      <c r="M130" s="3"/>
      <c r="N130" s="3"/>
    </row>
    <row r="131">
      <c r="A131" s="3"/>
      <c r="B131" s="3"/>
      <c r="C131" s="3"/>
      <c r="D131" s="3"/>
      <c r="E131" s="3"/>
      <c r="F131" s="3"/>
      <c r="G131" s="3"/>
      <c r="H131" s="3"/>
      <c r="I131" s="3"/>
      <c r="J131" s="3"/>
      <c r="K131" s="3"/>
      <c r="L131" s="3"/>
      <c r="M131" s="3"/>
      <c r="N131" s="3"/>
    </row>
    <row r="132">
      <c r="A132" s="3"/>
      <c r="B132" s="3"/>
      <c r="C132" s="3"/>
      <c r="D132" s="3"/>
      <c r="E132" s="3"/>
      <c r="F132" s="3"/>
      <c r="G132" s="3"/>
      <c r="H132" s="3"/>
      <c r="I132" s="3"/>
      <c r="J132" s="3"/>
      <c r="K132" s="3"/>
      <c r="L132" s="3"/>
      <c r="M132" s="3"/>
      <c r="N132" s="3"/>
    </row>
    <row r="133">
      <c r="A133" s="3"/>
      <c r="B133" s="3"/>
      <c r="C133" s="3"/>
      <c r="D133" s="3"/>
      <c r="E133" s="3"/>
      <c r="F133" s="3"/>
      <c r="G133" s="3"/>
      <c r="H133" s="3"/>
      <c r="I133" s="3"/>
      <c r="J133" s="3"/>
      <c r="K133" s="3"/>
      <c r="L133" s="3"/>
      <c r="M133" s="3"/>
      <c r="N133" s="3"/>
    </row>
    <row r="134">
      <c r="A134" s="3"/>
      <c r="B134" s="3"/>
      <c r="C134" s="3"/>
      <c r="D134" s="3"/>
      <c r="E134" s="3"/>
      <c r="F134" s="3"/>
      <c r="G134" s="3"/>
      <c r="H134" s="3"/>
      <c r="I134" s="3"/>
      <c r="J134" s="3"/>
      <c r="K134" s="3"/>
      <c r="L134" s="3"/>
      <c r="M134" s="3"/>
      <c r="N134" s="3"/>
    </row>
    <row r="135">
      <c r="A135" s="3"/>
      <c r="B135" s="3"/>
      <c r="C135" s="3"/>
      <c r="D135" s="3"/>
      <c r="E135" s="3"/>
      <c r="F135" s="3"/>
      <c r="G135" s="3"/>
      <c r="H135" s="3"/>
      <c r="I135" s="3"/>
      <c r="J135" s="3"/>
      <c r="K135" s="3"/>
      <c r="L135" s="3"/>
      <c r="M135" s="3"/>
      <c r="N135" s="3"/>
    </row>
    <row r="136">
      <c r="A136" s="3"/>
      <c r="B136" s="3"/>
      <c r="C136" s="3"/>
      <c r="D136" s="3"/>
      <c r="E136" s="3"/>
      <c r="F136" s="3"/>
      <c r="G136" s="3"/>
      <c r="H136" s="3"/>
      <c r="I136" s="3"/>
      <c r="J136" s="3"/>
      <c r="K136" s="3"/>
      <c r="L136" s="3"/>
      <c r="M136" s="3"/>
      <c r="N136" s="3"/>
    </row>
    <row r="137">
      <c r="A137" s="3"/>
      <c r="B137" s="3"/>
      <c r="C137" s="3"/>
      <c r="D137" s="3"/>
      <c r="E137" s="3"/>
      <c r="F137" s="3"/>
      <c r="G137" s="3"/>
      <c r="H137" s="3"/>
      <c r="I137" s="3"/>
      <c r="J137" s="3"/>
      <c r="K137" s="3"/>
      <c r="L137" s="3"/>
      <c r="M137" s="3"/>
      <c r="N137" s="3"/>
    </row>
    <row r="138">
      <c r="A138" s="3"/>
      <c r="B138" s="3"/>
      <c r="C138" s="3"/>
      <c r="D138" s="3"/>
      <c r="E138" s="3"/>
      <c r="F138" s="3"/>
      <c r="G138" s="3"/>
      <c r="H138" s="3"/>
      <c r="I138" s="3"/>
      <c r="J138" s="3"/>
      <c r="K138" s="3"/>
      <c r="L138" s="3"/>
      <c r="M138" s="3"/>
      <c r="N138" s="3"/>
    </row>
    <row r="139">
      <c r="A139" s="3"/>
      <c r="B139" s="3"/>
      <c r="C139" s="3"/>
      <c r="D139" s="3"/>
      <c r="E139" s="3"/>
      <c r="F139" s="3"/>
      <c r="G139" s="3"/>
      <c r="H139" s="3"/>
      <c r="I139" s="3"/>
      <c r="J139" s="3"/>
      <c r="K139" s="3"/>
      <c r="L139" s="3"/>
      <c r="M139" s="3"/>
      <c r="N139" s="3"/>
    </row>
    <row r="140">
      <c r="A140" s="3"/>
      <c r="B140" s="3"/>
      <c r="C140" s="3"/>
      <c r="D140" s="3"/>
      <c r="E140" s="3"/>
      <c r="F140" s="3"/>
      <c r="G140" s="3"/>
      <c r="H140" s="3"/>
      <c r="I140" s="3"/>
      <c r="J140" s="3"/>
      <c r="K140" s="3"/>
      <c r="L140" s="3"/>
      <c r="M140" s="3"/>
      <c r="N140" s="3"/>
    </row>
    <row r="141">
      <c r="A141" s="3"/>
      <c r="B141" s="3"/>
      <c r="C141" s="3"/>
      <c r="D141" s="3"/>
      <c r="E141" s="3"/>
      <c r="F141" s="3"/>
      <c r="G141" s="3"/>
      <c r="H141" s="3"/>
      <c r="I141" s="3"/>
      <c r="J141" s="3"/>
      <c r="K141" s="3"/>
      <c r="L141" s="3"/>
      <c r="M141" s="3"/>
      <c r="N141" s="3"/>
    </row>
    <row r="142">
      <c r="A142" s="3"/>
      <c r="B142" s="3"/>
      <c r="C142" s="3"/>
      <c r="D142" s="3"/>
      <c r="E142" s="3"/>
      <c r="F142" s="3"/>
      <c r="G142" s="3"/>
      <c r="H142" s="3"/>
      <c r="I142" s="3"/>
      <c r="J142" s="3"/>
      <c r="K142" s="3"/>
      <c r="L142" s="3"/>
      <c r="M142" s="3"/>
      <c r="N142" s="3"/>
    </row>
    <row r="143">
      <c r="A143" s="3"/>
      <c r="B143" s="3"/>
      <c r="C143" s="3"/>
      <c r="D143" s="3"/>
      <c r="E143" s="3"/>
      <c r="F143" s="3"/>
      <c r="G143" s="3"/>
      <c r="H143" s="3"/>
      <c r="I143" s="3"/>
      <c r="J143" s="3"/>
      <c r="K143" s="3"/>
      <c r="L143" s="3"/>
      <c r="M143" s="3"/>
      <c r="N143" s="3"/>
    </row>
  </sheetData>
  <mergeCells count="4">
    <mergeCell ref="A1:F1"/>
    <mergeCell ref="A10:F10"/>
    <mergeCell ref="A21:F21"/>
    <mergeCell ref="A43:F43"/>
  </mergeCells>
  <dataValidations>
    <dataValidation type="list" allowBlank="1" sqref="F3:F6 F12:F17 F23:F39 F45:F64">
      <formula1>"New,Reopened,In Progress,Code Review,For QA,In QA,Done"</formula1>
    </dataValidation>
    <dataValidation type="list" allowBlank="1" sqref="D3:D6 D12:D17 D23:D39 D45:D64">
      <formula1>"Minor,Normal,Major,Critical"</formula1>
    </dataValidation>
  </dataValidations>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5"/>
    <col customWidth="1" min="3" max="3" width="35.88"/>
    <col customWidth="1" min="4" max="4" width="14.0"/>
    <col customWidth="1" min="5" max="5" width="17.5"/>
    <col customWidth="1" min="6" max="6" width="16.88"/>
    <col customWidth="1" min="7" max="7" width="14.88"/>
    <col customWidth="1" min="8" max="8" width="16.5"/>
    <col customWidth="1" min="9" max="26" width="12.5"/>
  </cols>
  <sheetData>
    <row r="1" ht="15.75" customHeight="1">
      <c r="A1" s="226" t="s">
        <v>3043</v>
      </c>
      <c r="B1" s="227" t="s">
        <v>3044</v>
      </c>
      <c r="C1" s="227" t="s">
        <v>3045</v>
      </c>
      <c r="D1" s="227" t="s">
        <v>3046</v>
      </c>
      <c r="E1" s="228" t="s">
        <v>3047</v>
      </c>
      <c r="F1" s="228" t="s">
        <v>3048</v>
      </c>
      <c r="G1" s="228" t="s">
        <v>3049</v>
      </c>
      <c r="H1" s="228" t="s">
        <v>26</v>
      </c>
    </row>
    <row r="2" ht="15.75" customHeight="1">
      <c r="A2" s="229"/>
      <c r="B2" s="230"/>
      <c r="C2" s="231"/>
      <c r="D2" s="232"/>
      <c r="E2" s="233" t="s">
        <v>3050</v>
      </c>
      <c r="F2" s="233" t="s">
        <v>3050</v>
      </c>
      <c r="G2" s="233" t="s">
        <v>3050</v>
      </c>
      <c r="H2" s="234"/>
    </row>
    <row r="3" ht="15.75" customHeight="1">
      <c r="A3" s="229"/>
      <c r="B3" s="230"/>
      <c r="C3" s="235"/>
      <c r="D3" s="232"/>
      <c r="E3" s="233" t="s">
        <v>3050</v>
      </c>
      <c r="F3" s="233" t="s">
        <v>3050</v>
      </c>
      <c r="G3" s="233" t="s">
        <v>3050</v>
      </c>
      <c r="H3" s="236"/>
    </row>
    <row r="4" ht="15.75" customHeight="1">
      <c r="A4" s="237"/>
      <c r="B4" s="238"/>
      <c r="C4" s="239"/>
      <c r="D4" s="240"/>
      <c r="E4" s="233" t="s">
        <v>3050</v>
      </c>
      <c r="F4" s="233" t="s">
        <v>3050</v>
      </c>
      <c r="G4" s="233" t="s">
        <v>3050</v>
      </c>
      <c r="H4" s="236"/>
    </row>
    <row r="5" ht="15.75" customHeight="1">
      <c r="A5" s="237"/>
      <c r="B5" s="238"/>
      <c r="C5" s="239"/>
      <c r="D5" s="241"/>
      <c r="E5" s="233" t="s">
        <v>3050</v>
      </c>
      <c r="F5" s="233" t="s">
        <v>3050</v>
      </c>
      <c r="G5" s="233" t="s">
        <v>3050</v>
      </c>
      <c r="H5" s="242"/>
    </row>
    <row r="6" ht="15.75" customHeight="1">
      <c r="A6" s="237"/>
      <c r="B6" s="238"/>
      <c r="C6" s="239"/>
      <c r="D6" s="241"/>
      <c r="E6" s="233" t="s">
        <v>3050</v>
      </c>
      <c r="F6" s="233" t="s">
        <v>3050</v>
      </c>
      <c r="G6" s="233" t="s">
        <v>3050</v>
      </c>
      <c r="H6" s="242"/>
    </row>
    <row r="7" ht="15.75" customHeight="1">
      <c r="A7" s="243"/>
      <c r="B7" s="238"/>
      <c r="C7" s="244"/>
      <c r="D7" s="240"/>
      <c r="E7" s="233" t="s">
        <v>3050</v>
      </c>
      <c r="F7" s="233" t="s">
        <v>3050</v>
      </c>
      <c r="G7" s="233" t="s">
        <v>3050</v>
      </c>
      <c r="H7" s="234"/>
    </row>
    <row r="8" ht="15.75" customHeight="1">
      <c r="A8" s="243"/>
      <c r="B8" s="238"/>
      <c r="C8" s="242"/>
      <c r="D8" s="241"/>
      <c r="E8" s="233" t="s">
        <v>3050</v>
      </c>
      <c r="F8" s="233" t="s">
        <v>3050</v>
      </c>
      <c r="G8" s="233" t="s">
        <v>3050</v>
      </c>
      <c r="H8" s="23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G8">
      <formula1>"Not Started,In Progress,For Review,TC Update,Completed"</formula1>
    </dataValidation>
  </dataValidations>
  <printOptions/>
  <pageMargins bottom="0.0" footer="0.0" header="0.0" left="0.0" right="0.0" top="0.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8"/>
    <col customWidth="1" min="2" max="2" width="12.13"/>
    <col customWidth="1" min="3" max="3" width="13.5"/>
    <col customWidth="1" min="4" max="4" width="14.38"/>
    <col customWidth="1" min="5" max="5" width="14.0"/>
    <col customWidth="1" min="6" max="6" width="13.13"/>
    <col customWidth="1" min="7" max="7" width="11.5"/>
    <col customWidth="1" min="8" max="8" width="14.13"/>
    <col customWidth="1" min="9" max="9" width="11.5"/>
    <col customWidth="1" min="10" max="10" width="12.5"/>
    <col customWidth="1" min="11" max="11" width="13.5"/>
    <col customWidth="1" min="12" max="12" width="14.5"/>
    <col customWidth="1" min="13" max="13" width="17.5"/>
    <col customWidth="1" min="14" max="14" width="17.63"/>
    <col customWidth="1" min="15" max="15" width="10.0"/>
    <col customWidth="1" min="16" max="16" width="6.63"/>
    <col customWidth="1" min="17" max="23" width="12.5"/>
    <col customWidth="1" min="24" max="24" width="26.5"/>
    <col customWidth="1" min="25" max="25" width="19.5"/>
    <col customWidth="1" min="26" max="29" width="12.5"/>
  </cols>
  <sheetData>
    <row r="1" ht="15.75" customHeight="1">
      <c r="A1" s="245" t="s">
        <v>3051</v>
      </c>
      <c r="B1" s="246"/>
      <c r="C1" s="246"/>
      <c r="D1" s="246"/>
      <c r="E1" s="246"/>
      <c r="F1" s="246"/>
      <c r="G1" s="246"/>
      <c r="H1" s="246"/>
      <c r="I1" s="246"/>
      <c r="J1" s="246"/>
      <c r="K1" s="247"/>
      <c r="L1" s="248"/>
      <c r="M1" s="249"/>
      <c r="N1" s="250"/>
      <c r="O1" s="3"/>
      <c r="P1" s="251" t="s">
        <v>3052</v>
      </c>
      <c r="Q1" s="252" t="s">
        <v>3053</v>
      </c>
      <c r="R1" s="253" t="s">
        <v>3054</v>
      </c>
      <c r="S1" s="254" t="s">
        <v>3055</v>
      </c>
      <c r="T1" s="251" t="s">
        <v>3056</v>
      </c>
      <c r="U1" s="251" t="s">
        <v>3057</v>
      </c>
      <c r="V1" s="255" t="s">
        <v>0</v>
      </c>
      <c r="W1" s="3"/>
      <c r="X1" s="256" t="s">
        <v>3058</v>
      </c>
      <c r="Y1" s="256" t="s">
        <v>3059</v>
      </c>
      <c r="Z1" s="256" t="s">
        <v>3060</v>
      </c>
      <c r="AA1" s="3"/>
      <c r="AB1" s="3"/>
      <c r="AC1" s="3"/>
    </row>
    <row r="2" ht="15.75" customHeight="1">
      <c r="A2" s="257" t="s">
        <v>3061</v>
      </c>
      <c r="B2" s="258"/>
      <c r="C2" s="259"/>
      <c r="D2" s="260"/>
      <c r="E2" s="261" t="str">
        <f>L24</f>
        <v>#REF!</v>
      </c>
      <c r="F2" s="181"/>
      <c r="G2" s="181"/>
      <c r="H2" s="181"/>
      <c r="I2" s="181"/>
      <c r="J2" s="181"/>
      <c r="K2" s="182"/>
      <c r="L2" s="248"/>
      <c r="M2" s="3"/>
      <c r="N2" s="262"/>
      <c r="O2" s="3"/>
      <c r="P2" s="251">
        <v>15.0</v>
      </c>
      <c r="Q2" s="251" t="s">
        <v>3062</v>
      </c>
      <c r="R2" s="263"/>
      <c r="S2" s="263"/>
      <c r="T2" s="251"/>
      <c r="U2" s="251"/>
      <c r="V2" s="251" t="s">
        <v>3063</v>
      </c>
      <c r="W2" s="3"/>
      <c r="X2" s="264" t="s">
        <v>3064</v>
      </c>
      <c r="Y2" s="265" t="s">
        <v>3064</v>
      </c>
      <c r="Z2" s="264"/>
      <c r="AA2" s="3"/>
      <c r="AB2" s="3"/>
      <c r="AC2" s="3"/>
    </row>
    <row r="3" ht="15.75" customHeight="1">
      <c r="A3" s="257" t="s">
        <v>3065</v>
      </c>
      <c r="B3" s="258"/>
      <c r="C3" s="259"/>
      <c r="D3" s="260"/>
      <c r="E3" s="266"/>
      <c r="F3" s="181"/>
      <c r="G3" s="181"/>
      <c r="H3" s="181"/>
      <c r="I3" s="181"/>
      <c r="J3" s="181"/>
      <c r="K3" s="182"/>
      <c r="L3" s="248"/>
      <c r="M3" s="3">
        <v>1.0</v>
      </c>
      <c r="N3" s="262"/>
      <c r="O3" s="3"/>
      <c r="P3" s="251">
        <f t="shared" ref="P3:P7" si="1">P2+15</f>
        <v>30</v>
      </c>
      <c r="Q3" s="251" t="s">
        <v>3066</v>
      </c>
      <c r="R3" s="251" t="s">
        <v>3067</v>
      </c>
      <c r="S3" s="263"/>
      <c r="T3" s="251"/>
      <c r="U3" s="251"/>
      <c r="V3" s="251" t="s">
        <v>3068</v>
      </c>
      <c r="W3" s="3"/>
      <c r="X3" s="264" t="s">
        <v>3069</v>
      </c>
      <c r="Y3" s="264"/>
      <c r="Z3" s="264"/>
      <c r="AA3" s="3"/>
      <c r="AB3" s="3"/>
      <c r="AC3" s="3"/>
    </row>
    <row r="4" ht="15.75" customHeight="1">
      <c r="A4" s="257" t="s">
        <v>3070</v>
      </c>
      <c r="B4" s="258"/>
      <c r="C4" s="259"/>
      <c r="D4" s="260"/>
      <c r="E4" s="267"/>
      <c r="F4" s="181"/>
      <c r="G4" s="181"/>
      <c r="H4" s="181"/>
      <c r="I4" s="181"/>
      <c r="J4" s="181"/>
      <c r="K4" s="182"/>
      <c r="L4" s="248"/>
      <c r="M4" s="3">
        <v>1.0</v>
      </c>
      <c r="N4" s="262"/>
      <c r="O4" s="3"/>
      <c r="P4" s="251">
        <f t="shared" si="1"/>
        <v>45</v>
      </c>
      <c r="Q4" s="251" t="s">
        <v>3071</v>
      </c>
      <c r="R4" s="251" t="s">
        <v>3072</v>
      </c>
      <c r="S4" s="251" t="s">
        <v>3073</v>
      </c>
      <c r="T4" s="251"/>
      <c r="U4" s="251"/>
      <c r="V4" s="251" t="s">
        <v>3074</v>
      </c>
      <c r="W4" s="3"/>
      <c r="X4" s="264" t="s">
        <v>3075</v>
      </c>
      <c r="Y4" s="264"/>
      <c r="Z4" s="264"/>
      <c r="AA4" s="3"/>
      <c r="AB4" s="3"/>
      <c r="AC4" s="3"/>
    </row>
    <row r="5" ht="15.75" customHeight="1">
      <c r="A5" s="257" t="s">
        <v>3076</v>
      </c>
      <c r="B5" s="258"/>
      <c r="C5" s="259"/>
      <c r="D5" s="260"/>
      <c r="E5" s="268"/>
      <c r="F5" s="181"/>
      <c r="G5" s="181"/>
      <c r="H5" s="181"/>
      <c r="I5" s="181"/>
      <c r="J5" s="181"/>
      <c r="K5" s="182"/>
      <c r="L5" s="248"/>
      <c r="M5" s="3">
        <v>2.0</v>
      </c>
      <c r="N5" s="269"/>
      <c r="O5" s="3"/>
      <c r="P5" s="251">
        <f t="shared" si="1"/>
        <v>60</v>
      </c>
      <c r="Q5" s="251" t="s">
        <v>3077</v>
      </c>
      <c r="R5" s="251" t="s">
        <v>3078</v>
      </c>
      <c r="S5" s="251" t="s">
        <v>3079</v>
      </c>
      <c r="T5" s="251"/>
      <c r="U5" s="251"/>
      <c r="V5" s="251" t="s">
        <v>3080</v>
      </c>
      <c r="W5" s="3"/>
      <c r="X5" s="3"/>
      <c r="Y5" s="3"/>
      <c r="Z5" s="3"/>
      <c r="AA5" s="3"/>
      <c r="AB5" s="3"/>
      <c r="AC5" s="3"/>
    </row>
    <row r="6" ht="15.75" customHeight="1">
      <c r="A6" s="257" t="s">
        <v>3081</v>
      </c>
      <c r="B6" s="258"/>
      <c r="C6" s="259"/>
      <c r="D6" s="260"/>
      <c r="E6" s="270"/>
      <c r="F6" s="271"/>
      <c r="G6" s="271"/>
      <c r="H6" s="271"/>
      <c r="I6" s="271"/>
      <c r="J6" s="271"/>
      <c r="K6" s="272"/>
      <c r="L6" s="248"/>
      <c r="M6" s="3">
        <v>3.0</v>
      </c>
      <c r="N6" s="269"/>
      <c r="O6" s="3"/>
      <c r="P6" s="251">
        <f t="shared" si="1"/>
        <v>75</v>
      </c>
      <c r="Q6" s="251" t="s">
        <v>3082</v>
      </c>
      <c r="R6" s="251" t="s">
        <v>3083</v>
      </c>
      <c r="S6" s="251" t="s">
        <v>3084</v>
      </c>
      <c r="T6" s="251"/>
      <c r="U6" s="251"/>
      <c r="V6" s="251" t="s">
        <v>3085</v>
      </c>
      <c r="W6" s="3"/>
      <c r="X6" s="3" t="s">
        <v>3086</v>
      </c>
      <c r="Y6" s="3"/>
      <c r="Z6" s="3"/>
      <c r="AA6" s="3"/>
      <c r="AB6" s="3"/>
      <c r="AC6" s="3"/>
    </row>
    <row r="7" ht="15.75" customHeight="1">
      <c r="A7" s="257" t="s">
        <v>3087</v>
      </c>
      <c r="B7" s="258"/>
      <c r="C7" s="259"/>
      <c r="D7" s="273"/>
      <c r="E7" s="271"/>
      <c r="F7" s="271"/>
      <c r="G7" s="271"/>
      <c r="H7" s="271"/>
      <c r="I7" s="271"/>
      <c r="J7" s="271"/>
      <c r="K7" s="272"/>
      <c r="L7" s="248"/>
      <c r="M7" s="3">
        <v>4.0</v>
      </c>
      <c r="N7" s="3"/>
      <c r="O7" s="3"/>
      <c r="P7" s="251">
        <f t="shared" si="1"/>
        <v>90</v>
      </c>
      <c r="Q7" s="251" t="s">
        <v>3088</v>
      </c>
      <c r="R7" s="251" t="s">
        <v>3089</v>
      </c>
      <c r="S7" s="251" t="s">
        <v>3090</v>
      </c>
      <c r="T7" s="251"/>
      <c r="U7" s="251"/>
      <c r="V7" s="251" t="s">
        <v>3063</v>
      </c>
      <c r="W7" s="3"/>
      <c r="X7" s="3"/>
      <c r="Y7" s="3"/>
      <c r="Z7" s="3"/>
      <c r="AA7" s="3"/>
      <c r="AB7" s="3"/>
      <c r="AC7" s="3"/>
    </row>
    <row r="8" ht="47.25" customHeight="1">
      <c r="A8" s="257" t="s">
        <v>3091</v>
      </c>
      <c r="B8" s="258"/>
      <c r="C8" s="259"/>
      <c r="D8" s="274"/>
      <c r="E8" s="271"/>
      <c r="F8" s="271"/>
      <c r="G8" s="271"/>
      <c r="H8" s="271"/>
      <c r="I8" s="271"/>
      <c r="J8" s="271"/>
      <c r="K8" s="272"/>
      <c r="L8" s="248"/>
      <c r="M8" s="3"/>
      <c r="N8" s="3"/>
      <c r="O8" s="3"/>
      <c r="P8" s="251">
        <f>P7+10</f>
        <v>100</v>
      </c>
      <c r="Q8" s="251">
        <v>100.0</v>
      </c>
      <c r="R8" s="251" t="s">
        <v>3092</v>
      </c>
      <c r="S8" s="251" t="s">
        <v>3092</v>
      </c>
      <c r="T8" s="251"/>
      <c r="U8" s="251"/>
      <c r="V8" s="251" t="s">
        <v>3093</v>
      </c>
      <c r="W8" s="3"/>
      <c r="X8" s="3"/>
      <c r="Y8" s="3"/>
      <c r="Z8" s="3"/>
      <c r="AA8" s="3"/>
      <c r="AB8" s="3"/>
      <c r="AC8" s="3"/>
    </row>
    <row r="9" ht="41.25" customHeight="1">
      <c r="A9" s="257" t="s">
        <v>3094</v>
      </c>
      <c r="B9" s="258"/>
      <c r="C9" s="259"/>
      <c r="D9" s="274"/>
      <c r="E9" s="271"/>
      <c r="F9" s="271"/>
      <c r="G9" s="271"/>
      <c r="H9" s="271"/>
      <c r="I9" s="271"/>
      <c r="J9" s="271"/>
      <c r="K9" s="272"/>
      <c r="L9" s="275"/>
      <c r="M9" s="3"/>
      <c r="N9" s="3"/>
      <c r="O9" s="3"/>
      <c r="P9" s="264"/>
      <c r="Q9" s="264" t="s">
        <v>0</v>
      </c>
      <c r="R9" s="264"/>
      <c r="S9" s="264"/>
      <c r="T9" s="264"/>
      <c r="U9" s="264"/>
      <c r="V9" s="276" t="s">
        <v>0</v>
      </c>
      <c r="W9" s="3"/>
      <c r="X9" s="3"/>
      <c r="Y9" s="3"/>
      <c r="Z9" s="3"/>
      <c r="AA9" s="3"/>
      <c r="AB9" s="3"/>
      <c r="AC9" s="3"/>
    </row>
    <row r="10" ht="15.75" customHeight="1">
      <c r="A10" s="257" t="s">
        <v>3095</v>
      </c>
      <c r="B10" s="258"/>
      <c r="C10" s="259"/>
      <c r="D10" s="274"/>
      <c r="E10" s="271"/>
      <c r="F10" s="271"/>
      <c r="G10" s="271"/>
      <c r="H10" s="271"/>
      <c r="I10" s="271"/>
      <c r="J10" s="271"/>
      <c r="K10" s="272"/>
      <c r="L10" s="248"/>
      <c r="M10" s="3"/>
      <c r="N10" s="3"/>
      <c r="O10" s="3"/>
      <c r="S10" s="264"/>
      <c r="T10" s="264"/>
      <c r="U10" s="264"/>
      <c r="W10" s="3"/>
      <c r="X10" s="3"/>
      <c r="Y10" s="3"/>
      <c r="Z10" s="3"/>
      <c r="AA10" s="3"/>
      <c r="AB10" s="3"/>
      <c r="AC10" s="3"/>
    </row>
    <row r="11" ht="15.75" customHeight="1">
      <c r="A11" s="277" t="s">
        <v>3096</v>
      </c>
      <c r="B11" s="181"/>
      <c r="C11" s="182"/>
      <c r="D11" s="278"/>
      <c r="E11" s="181"/>
      <c r="F11" s="181"/>
      <c r="G11" s="181"/>
      <c r="H11" s="181"/>
      <c r="I11" s="181"/>
      <c r="J11" s="181"/>
      <c r="K11" s="182"/>
      <c r="L11" s="248"/>
      <c r="M11" s="3"/>
      <c r="N11" s="3"/>
      <c r="O11" s="3"/>
      <c r="P11" s="264"/>
      <c r="S11" s="264"/>
      <c r="T11" s="264"/>
      <c r="U11" s="264"/>
      <c r="V11" s="264"/>
      <c r="W11" s="3"/>
      <c r="X11" s="3"/>
      <c r="Y11" s="3"/>
      <c r="Z11" s="3"/>
      <c r="AA11" s="3"/>
      <c r="AB11" s="3"/>
      <c r="AC11" s="3"/>
    </row>
    <row r="12" ht="15.75" customHeight="1">
      <c r="A12" s="277" t="s">
        <v>3097</v>
      </c>
      <c r="B12" s="181"/>
      <c r="C12" s="182"/>
      <c r="D12" s="279"/>
      <c r="E12" s="181"/>
      <c r="F12" s="181"/>
      <c r="G12" s="181"/>
      <c r="H12" s="181"/>
      <c r="I12" s="181"/>
      <c r="J12" s="181"/>
      <c r="K12" s="182"/>
      <c r="L12" s="248"/>
      <c r="M12" s="3"/>
      <c r="N12" s="3"/>
      <c r="O12" s="3"/>
      <c r="P12" s="264"/>
      <c r="S12" s="264"/>
      <c r="T12" s="264"/>
      <c r="U12" s="264"/>
      <c r="V12" s="264"/>
      <c r="W12" s="3"/>
      <c r="X12" s="3"/>
      <c r="Y12" s="3"/>
      <c r="Z12" s="3"/>
      <c r="AA12" s="3"/>
      <c r="AB12" s="3"/>
      <c r="AC12" s="3"/>
    </row>
    <row r="13" ht="15.75" customHeight="1">
      <c r="A13" s="277" t="s">
        <v>3098</v>
      </c>
      <c r="B13" s="181"/>
      <c r="C13" s="182"/>
      <c r="D13" s="280"/>
      <c r="E13" s="181"/>
      <c r="F13" s="181"/>
      <c r="G13" s="181"/>
      <c r="H13" s="181"/>
      <c r="I13" s="181"/>
      <c r="J13" s="181"/>
      <c r="K13" s="182"/>
      <c r="L13" s="248"/>
      <c r="M13" s="3"/>
      <c r="N13" s="3"/>
      <c r="O13" s="3"/>
      <c r="P13" s="264"/>
      <c r="S13" s="264"/>
      <c r="T13" s="264"/>
      <c r="U13" s="264"/>
      <c r="V13" s="264"/>
      <c r="W13" s="3"/>
      <c r="X13" s="3"/>
      <c r="Y13" s="3"/>
      <c r="Z13" s="3"/>
      <c r="AA13" s="3"/>
      <c r="AB13" s="3"/>
      <c r="AC13" s="3"/>
    </row>
    <row r="14" ht="15.75" customHeight="1">
      <c r="A14" s="3"/>
      <c r="L14" s="248"/>
      <c r="M14" s="3"/>
      <c r="N14" s="3"/>
      <c r="O14" s="3"/>
      <c r="P14" s="264"/>
      <c r="Q14" s="264"/>
      <c r="R14" s="264"/>
      <c r="S14" s="264"/>
      <c r="T14" s="264"/>
      <c r="U14" s="264"/>
      <c r="V14" s="264"/>
      <c r="W14" s="3"/>
      <c r="X14" s="3"/>
      <c r="Y14" s="3"/>
      <c r="Z14" s="3"/>
      <c r="AA14" s="3"/>
      <c r="AB14" s="3"/>
      <c r="AC14" s="3"/>
    </row>
    <row r="15" ht="15.75" customHeight="1">
      <c r="A15" s="281" t="s">
        <v>3099</v>
      </c>
      <c r="B15" s="181"/>
      <c r="C15" s="181"/>
      <c r="D15" s="181"/>
      <c r="E15" s="181"/>
      <c r="F15" s="181"/>
      <c r="G15" s="181"/>
      <c r="H15" s="181"/>
      <c r="I15" s="181"/>
      <c r="J15" s="181"/>
      <c r="K15" s="181"/>
      <c r="L15" s="182"/>
      <c r="M15" s="282"/>
      <c r="N15" s="264"/>
      <c r="O15" s="3"/>
      <c r="P15" s="264"/>
      <c r="Q15" s="264"/>
      <c r="R15" s="264"/>
      <c r="S15" s="264"/>
      <c r="T15" s="264"/>
      <c r="U15" s="264"/>
      <c r="V15" s="264"/>
      <c r="W15" s="3"/>
      <c r="X15" s="3"/>
      <c r="Y15" s="3"/>
      <c r="Z15" s="3"/>
      <c r="AA15" s="3"/>
      <c r="AB15" s="3"/>
      <c r="AC15" s="3"/>
    </row>
    <row r="16" ht="15.75" customHeight="1">
      <c r="A16" s="283" t="s">
        <v>3100</v>
      </c>
      <c r="B16" s="284" t="str">
        <f>'Test Summary'!A7</f>
        <v>Stories to be Tested</v>
      </c>
      <c r="C16" s="258"/>
      <c r="D16" s="258"/>
      <c r="E16" s="259"/>
      <c r="F16" s="285" t="str">
        <f>'Test Summary'!B7</f>
        <v>Total Tests</v>
      </c>
      <c r="G16" s="285" t="str">
        <f>'Test Summary'!C7</f>
        <v>Not Started</v>
      </c>
      <c r="H16" s="285" t="str">
        <f>'Test Summary'!D7</f>
        <v>Passed</v>
      </c>
      <c r="I16" s="285" t="str">
        <f>'Test Summary'!E7</f>
        <v>Failed</v>
      </c>
      <c r="J16" s="285" t="str">
        <f>'Test Summary'!F7</f>
        <v>Blocked</v>
      </c>
      <c r="K16" s="285" t="str">
        <f>'Test Summary'!G7</f>
        <v>Out of Scope</v>
      </c>
      <c r="L16" s="286" t="str">
        <f>'Test Summary'!H7</f>
        <v>Percentage Complete %</v>
      </c>
      <c r="M16" s="3"/>
      <c r="N16" s="287"/>
      <c r="O16" s="3"/>
      <c r="P16" s="288"/>
      <c r="Q16" s="264"/>
      <c r="R16" s="289"/>
      <c r="S16" s="264"/>
      <c r="T16" s="264"/>
      <c r="U16" s="264"/>
      <c r="V16" s="264"/>
      <c r="W16" s="3"/>
      <c r="X16" s="3"/>
      <c r="Y16" s="3"/>
      <c r="Z16" s="3"/>
      <c r="AA16" s="3"/>
      <c r="AB16" s="3"/>
      <c r="AC16" s="3"/>
    </row>
    <row r="17" ht="15.75" customHeight="1">
      <c r="A17" s="290">
        <v>1.0</v>
      </c>
      <c r="B17" s="291" t="str">
        <f>#REF!</f>
        <v>#REF!</v>
      </c>
      <c r="C17" s="258"/>
      <c r="D17" s="258"/>
      <c r="E17" s="259"/>
      <c r="F17" s="292" t="str">
        <f t="shared" ref="F17:K17" si="2">#REF!</f>
        <v>#REF!</v>
      </c>
      <c r="G17" s="292" t="str">
        <f t="shared" si="2"/>
        <v>#REF!</v>
      </c>
      <c r="H17" s="292" t="str">
        <f t="shared" si="2"/>
        <v>#REF!</v>
      </c>
      <c r="I17" s="292" t="str">
        <f t="shared" si="2"/>
        <v>#REF!</v>
      </c>
      <c r="J17" s="292" t="str">
        <f t="shared" si="2"/>
        <v>#REF!</v>
      </c>
      <c r="K17" s="292" t="str">
        <f t="shared" si="2"/>
        <v>#REF!</v>
      </c>
      <c r="L17" s="293" t="str">
        <f t="shared" ref="L17:L24" si="3">IF(F17&gt;0,(H17+K17)/F17,0)</f>
        <v>#REF!</v>
      </c>
      <c r="M17" s="3"/>
      <c r="N17" s="3"/>
      <c r="O17" s="3"/>
      <c r="P17" s="294"/>
      <c r="Q17" s="264"/>
      <c r="R17" s="264"/>
      <c r="S17" s="264"/>
      <c r="T17" s="264"/>
      <c r="U17" s="264"/>
      <c r="V17" s="264"/>
      <c r="W17" s="3"/>
      <c r="X17" s="3"/>
      <c r="Y17" s="3"/>
      <c r="Z17" s="3"/>
      <c r="AA17" s="3"/>
      <c r="AB17" s="3"/>
      <c r="AC17" s="3"/>
    </row>
    <row r="18" ht="15.75" customHeight="1">
      <c r="A18" s="290">
        <v>2.0</v>
      </c>
      <c r="B18" s="291" t="str">
        <f>'Test Summary'!A8</f>
        <v/>
      </c>
      <c r="C18" s="258"/>
      <c r="D18" s="258"/>
      <c r="E18" s="259"/>
      <c r="F18" s="292">
        <f>'Test Summary'!B8</f>
        <v>118</v>
      </c>
      <c r="G18" s="292">
        <f>'Test Summary'!C8</f>
        <v>0</v>
      </c>
      <c r="H18" s="292">
        <f>'Test Summary'!D8</f>
        <v>102</v>
      </c>
      <c r="I18" s="292">
        <f>'Test Summary'!E8</f>
        <v>16</v>
      </c>
      <c r="J18" s="292">
        <f>'Test Summary'!F8</f>
        <v>0</v>
      </c>
      <c r="K18" s="292">
        <f>'Test Summary'!G8</f>
        <v>0</v>
      </c>
      <c r="L18" s="293">
        <f t="shared" si="3"/>
        <v>0.8644067797</v>
      </c>
      <c r="M18" s="3"/>
      <c r="N18" s="3"/>
      <c r="O18" s="3"/>
      <c r="P18" s="294"/>
      <c r="Q18" s="264"/>
      <c r="R18" s="264"/>
      <c r="S18" s="264"/>
      <c r="T18" s="264"/>
      <c r="U18" s="264"/>
      <c r="V18" s="264"/>
      <c r="W18" s="3"/>
      <c r="X18" s="3"/>
      <c r="Y18" s="3"/>
      <c r="Z18" s="3"/>
      <c r="AA18" s="3"/>
      <c r="AB18" s="3"/>
      <c r="AC18" s="3"/>
    </row>
    <row r="19" ht="15.75" customHeight="1">
      <c r="A19" s="290">
        <v>3.0</v>
      </c>
      <c r="B19" s="291" t="str">
        <f>'Test Summary'!A9</f>
        <v/>
      </c>
      <c r="C19" s="258"/>
      <c r="D19" s="258"/>
      <c r="E19" s="259"/>
      <c r="F19" s="292" t="str">
        <f>'Test Summary'!B9</f>
        <v>#REF!</v>
      </c>
      <c r="G19" s="292" t="str">
        <f>'Test Summary'!C9</f>
        <v>#REF!</v>
      </c>
      <c r="H19" s="292" t="str">
        <f>'Test Summary'!D9</f>
        <v>#REF!</v>
      </c>
      <c r="I19" s="292" t="str">
        <f>'Test Summary'!E9</f>
        <v>#REF!</v>
      </c>
      <c r="J19" s="292" t="str">
        <f>'Test Summary'!F9</f>
        <v>#REF!</v>
      </c>
      <c r="K19" s="292" t="str">
        <f>'Test Summary'!G9</f>
        <v>#REF!</v>
      </c>
      <c r="L19" s="293" t="str">
        <f t="shared" si="3"/>
        <v>#REF!</v>
      </c>
      <c r="M19" s="3"/>
      <c r="N19" s="3"/>
      <c r="O19" s="3"/>
      <c r="P19" s="294"/>
      <c r="Q19" s="264"/>
      <c r="R19" s="264"/>
      <c r="S19" s="264"/>
      <c r="T19" s="264"/>
      <c r="U19" s="264"/>
      <c r="V19" s="264"/>
      <c r="W19" s="3"/>
      <c r="X19" s="3"/>
      <c r="Y19" s="3"/>
      <c r="Z19" s="3"/>
      <c r="AA19" s="3"/>
      <c r="AB19" s="3"/>
      <c r="AC19" s="3"/>
    </row>
    <row r="20" ht="15.75" customHeight="1">
      <c r="A20" s="290">
        <v>4.0</v>
      </c>
      <c r="B20" s="291" t="str">
        <f>'Test Summary'!A10</f>
        <v/>
      </c>
      <c r="C20" s="258"/>
      <c r="D20" s="258"/>
      <c r="E20" s="259"/>
      <c r="F20" s="292" t="str">
        <f>'Test Summary'!B10</f>
        <v>#REF!</v>
      </c>
      <c r="G20" s="292" t="str">
        <f>'Test Summary'!C10</f>
        <v>#REF!</v>
      </c>
      <c r="H20" s="292" t="str">
        <f>'Test Summary'!D10</f>
        <v>#REF!</v>
      </c>
      <c r="I20" s="292" t="str">
        <f>'Test Summary'!E10</f>
        <v>#REF!</v>
      </c>
      <c r="J20" s="292" t="str">
        <f>'Test Summary'!F10</f>
        <v>#REF!</v>
      </c>
      <c r="K20" s="292" t="str">
        <f>'Test Summary'!G10</f>
        <v>#REF!</v>
      </c>
      <c r="L20" s="293" t="str">
        <f t="shared" si="3"/>
        <v>#REF!</v>
      </c>
      <c r="M20" s="3"/>
      <c r="N20" s="3"/>
      <c r="O20" s="3"/>
      <c r="P20" s="294"/>
      <c r="Q20" s="264"/>
      <c r="R20" s="264"/>
      <c r="S20" s="264"/>
      <c r="T20" s="264"/>
      <c r="U20" s="264"/>
      <c r="V20" s="264"/>
      <c r="W20" s="3"/>
      <c r="X20" s="3"/>
      <c r="Y20" s="3"/>
      <c r="Z20" s="3"/>
      <c r="AA20" s="3"/>
      <c r="AB20" s="3"/>
      <c r="AC20" s="3"/>
    </row>
    <row r="21" ht="15.75" customHeight="1">
      <c r="A21" s="290">
        <v>5.0</v>
      </c>
      <c r="B21" s="291" t="str">
        <f>'Test Summary'!A11</f>
        <v/>
      </c>
      <c r="C21" s="258"/>
      <c r="D21" s="258"/>
      <c r="E21" s="259"/>
      <c r="F21" s="292" t="str">
        <f>'Test Summary'!B11</f>
        <v>#REF!</v>
      </c>
      <c r="G21" s="292" t="str">
        <f>'Test Summary'!C11</f>
        <v>#REF!</v>
      </c>
      <c r="H21" s="292" t="str">
        <f>'Test Summary'!D11</f>
        <v>#REF!</v>
      </c>
      <c r="I21" s="292" t="str">
        <f>'Test Summary'!E11</f>
        <v>#REF!</v>
      </c>
      <c r="J21" s="292" t="str">
        <f>'Test Summary'!F11</f>
        <v>#REF!</v>
      </c>
      <c r="K21" s="292" t="str">
        <f>'Test Summary'!G11</f>
        <v>#REF!</v>
      </c>
      <c r="L21" s="293" t="str">
        <f t="shared" si="3"/>
        <v>#REF!</v>
      </c>
      <c r="M21" s="3"/>
      <c r="N21" s="3"/>
      <c r="O21" s="3"/>
      <c r="P21" s="294"/>
      <c r="Q21" s="264"/>
      <c r="R21" s="264"/>
      <c r="S21" s="264"/>
      <c r="T21" s="264"/>
      <c r="U21" s="264"/>
      <c r="V21" s="264"/>
      <c r="W21" s="3"/>
      <c r="X21" s="3"/>
      <c r="Y21" s="3"/>
      <c r="Z21" s="3"/>
      <c r="AA21" s="3"/>
      <c r="AB21" s="3"/>
      <c r="AC21" s="3"/>
    </row>
    <row r="22" ht="15.75" customHeight="1">
      <c r="A22" s="290">
        <v>6.0</v>
      </c>
      <c r="B22" s="291" t="str">
        <f>'Test Summary'!A12</f>
        <v/>
      </c>
      <c r="C22" s="258"/>
      <c r="D22" s="258"/>
      <c r="E22" s="259"/>
      <c r="F22" s="292" t="str">
        <f>'Test Summary'!B12</f>
        <v>#REF!</v>
      </c>
      <c r="G22" s="292" t="str">
        <f>'Test Summary'!C12</f>
        <v>#REF!</v>
      </c>
      <c r="H22" s="292" t="str">
        <f>'Test Summary'!D12</f>
        <v>#REF!</v>
      </c>
      <c r="I22" s="292" t="str">
        <f>'Test Summary'!E12</f>
        <v>#REF!</v>
      </c>
      <c r="J22" s="292" t="str">
        <f>'Test Summary'!F12</f>
        <v>#REF!</v>
      </c>
      <c r="K22" s="292" t="str">
        <f>'Test Summary'!G12</f>
        <v>#REF!</v>
      </c>
      <c r="L22" s="293" t="str">
        <f t="shared" si="3"/>
        <v>#REF!</v>
      </c>
      <c r="M22" s="3"/>
      <c r="N22" s="3"/>
      <c r="O22" s="3"/>
      <c r="P22" s="294"/>
      <c r="Q22" s="264"/>
      <c r="R22" s="264"/>
      <c r="S22" s="264"/>
      <c r="T22" s="264"/>
      <c r="U22" s="264"/>
      <c r="V22" s="264"/>
      <c r="W22" s="3"/>
      <c r="X22" s="3"/>
      <c r="Y22" s="3"/>
      <c r="Z22" s="3"/>
      <c r="AA22" s="3"/>
      <c r="AB22" s="3"/>
      <c r="AC22" s="3"/>
    </row>
    <row r="23" ht="15.75" customHeight="1">
      <c r="A23" s="290">
        <v>7.0</v>
      </c>
      <c r="B23" s="291" t="str">
        <f>'Test Summary'!A13</f>
        <v/>
      </c>
      <c r="C23" s="258"/>
      <c r="D23" s="258"/>
      <c r="E23" s="259"/>
      <c r="F23" s="292" t="str">
        <f>'Test Summary'!B13</f>
        <v>#REF!</v>
      </c>
      <c r="G23" s="292" t="str">
        <f>'Test Summary'!C13</f>
        <v>#REF!</v>
      </c>
      <c r="H23" s="292" t="str">
        <f>'Test Summary'!D13</f>
        <v>#REF!</v>
      </c>
      <c r="I23" s="292" t="str">
        <f>'Test Summary'!E13</f>
        <v>#REF!</v>
      </c>
      <c r="J23" s="292" t="str">
        <f>'Test Summary'!F13</f>
        <v>#REF!</v>
      </c>
      <c r="K23" s="292" t="str">
        <f>'Test Summary'!G13</f>
        <v>#REF!</v>
      </c>
      <c r="L23" s="293" t="str">
        <f t="shared" si="3"/>
        <v>#REF!</v>
      </c>
      <c r="M23" s="3"/>
      <c r="N23" s="3"/>
      <c r="O23" s="3"/>
      <c r="P23" s="294"/>
      <c r="Q23" s="264"/>
      <c r="R23" s="264"/>
      <c r="S23" s="264"/>
      <c r="T23" s="264"/>
      <c r="U23" s="264"/>
      <c r="V23" s="264"/>
      <c r="W23" s="3"/>
      <c r="X23" s="3"/>
      <c r="Y23" s="3"/>
      <c r="Z23" s="3"/>
      <c r="AA23" s="3"/>
      <c r="AB23" s="3"/>
      <c r="AC23" s="3"/>
    </row>
    <row r="24" ht="15.75" customHeight="1">
      <c r="A24" s="295" t="str">
        <f>'Test Summary'!A14</f>
        <v>TOTAL</v>
      </c>
      <c r="B24" s="258"/>
      <c r="C24" s="258"/>
      <c r="D24" s="258"/>
      <c r="E24" s="259"/>
      <c r="F24" s="296" t="str">
        <f>'Test Summary'!B14</f>
        <v>#REF!</v>
      </c>
      <c r="G24" s="297" t="str">
        <f>'Test Summary'!C14</f>
        <v>#REF!</v>
      </c>
      <c r="H24" s="297" t="str">
        <f>'Test Summary'!D14</f>
        <v>#REF!</v>
      </c>
      <c r="I24" s="297" t="str">
        <f>'Test Summary'!E14</f>
        <v>#REF!</v>
      </c>
      <c r="J24" s="297" t="str">
        <f>'Test Summary'!F14</f>
        <v>#REF!</v>
      </c>
      <c r="K24" s="297" t="str">
        <f>'Test Summary'!G14</f>
        <v>#REF!</v>
      </c>
      <c r="L24" s="298" t="str">
        <f t="shared" si="3"/>
        <v>#REF!</v>
      </c>
      <c r="M24" s="3"/>
      <c r="N24" s="3"/>
      <c r="O24" s="3"/>
      <c r="P24" s="294"/>
      <c r="Q24" s="264"/>
      <c r="R24" s="264"/>
      <c r="S24" s="264"/>
      <c r="T24" s="264"/>
      <c r="U24" s="264"/>
      <c r="V24" s="264"/>
      <c r="W24" s="3"/>
      <c r="X24" s="3"/>
      <c r="Y24" s="3"/>
      <c r="Z24" s="3"/>
      <c r="AA24" s="3"/>
      <c r="AB24" s="3"/>
      <c r="AC24" s="3"/>
    </row>
    <row r="25" ht="15.75" customHeight="1">
      <c r="A25" s="3"/>
      <c r="G25" s="299" t="str">
        <f>'Test Summary'!C15</f>
        <v>#REF!</v>
      </c>
      <c r="H25" s="299" t="str">
        <f>'Test Summary'!D15</f>
        <v>#REF!</v>
      </c>
      <c r="I25" s="299" t="str">
        <f>'Test Summary'!E15</f>
        <v>#REF!</v>
      </c>
      <c r="J25" s="299" t="str">
        <f>'Test Summary'!F15</f>
        <v>#REF!</v>
      </c>
      <c r="K25" s="299" t="str">
        <f>'Test Summary'!G15</f>
        <v>#REF!</v>
      </c>
      <c r="L25" s="300"/>
      <c r="M25" s="3"/>
      <c r="N25" s="3"/>
      <c r="O25" s="3"/>
      <c r="P25" s="264"/>
      <c r="Q25" s="264"/>
      <c r="R25" s="264"/>
      <c r="S25" s="264"/>
      <c r="T25" s="264"/>
      <c r="U25" s="264"/>
      <c r="V25" s="264"/>
      <c r="W25" s="3"/>
      <c r="X25" s="3"/>
      <c r="Y25" s="3"/>
      <c r="Z25" s="3"/>
      <c r="AA25" s="3"/>
      <c r="AB25" s="3"/>
      <c r="AC25" s="3"/>
    </row>
    <row r="26" ht="15.75" customHeight="1">
      <c r="A26" s="301"/>
      <c r="B26" s="302"/>
      <c r="C26" s="303"/>
      <c r="D26" s="303"/>
      <c r="E26" s="304"/>
      <c r="F26" s="301"/>
      <c r="G26" s="305"/>
      <c r="H26" s="305"/>
      <c r="I26" s="305"/>
      <c r="J26" s="306"/>
      <c r="K26" s="305"/>
      <c r="L26" s="301"/>
      <c r="M26" s="3"/>
      <c r="N26" s="3"/>
      <c r="O26" s="3"/>
      <c r="P26" s="264"/>
      <c r="Q26" s="264"/>
      <c r="R26" s="264"/>
      <c r="S26" s="264"/>
      <c r="T26" s="264"/>
      <c r="U26" s="264"/>
      <c r="V26" s="264"/>
      <c r="W26" s="3"/>
      <c r="X26" s="3"/>
      <c r="Y26" s="3"/>
      <c r="Z26" s="3"/>
      <c r="AA26" s="3"/>
      <c r="AB26" s="3"/>
      <c r="AC26" s="3"/>
    </row>
    <row r="27" ht="15.75" customHeight="1">
      <c r="A27" s="307" t="s">
        <v>3101</v>
      </c>
      <c r="B27" s="181"/>
      <c r="C27" s="181"/>
      <c r="D27" s="181"/>
      <c r="E27" s="181"/>
      <c r="F27" s="181"/>
      <c r="G27" s="181"/>
      <c r="H27" s="181"/>
      <c r="I27" s="182"/>
      <c r="J27" s="308"/>
      <c r="K27" s="307" t="s">
        <v>3102</v>
      </c>
      <c r="L27" s="182"/>
      <c r="M27" s="309"/>
      <c r="N27" s="309"/>
      <c r="O27" s="262"/>
      <c r="P27" s="310"/>
      <c r="Q27" s="310"/>
      <c r="R27" s="264"/>
      <c r="S27" s="264"/>
      <c r="T27" s="264"/>
      <c r="U27" s="264"/>
      <c r="V27" s="264"/>
      <c r="W27" s="3"/>
      <c r="X27" s="3"/>
      <c r="Y27" s="3"/>
      <c r="Z27" s="3"/>
      <c r="AA27" s="3"/>
      <c r="AB27" s="3"/>
      <c r="AC27" s="3"/>
    </row>
    <row r="28" ht="15.75" customHeight="1">
      <c r="A28" s="311" t="s">
        <v>3103</v>
      </c>
      <c r="B28" s="311" t="s">
        <v>3104</v>
      </c>
      <c r="C28" s="312" t="s">
        <v>3105</v>
      </c>
      <c r="D28" s="181"/>
      <c r="E28" s="182"/>
      <c r="F28" s="311" t="s">
        <v>3106</v>
      </c>
      <c r="G28" s="311" t="s">
        <v>2889</v>
      </c>
      <c r="H28" s="311" t="s">
        <v>3045</v>
      </c>
      <c r="I28" s="311" t="s">
        <v>25</v>
      </c>
      <c r="K28" s="311" t="s">
        <v>25</v>
      </c>
      <c r="L28" s="311" t="s">
        <v>3107</v>
      </c>
      <c r="M28" s="3"/>
      <c r="N28" s="3"/>
      <c r="O28" s="3"/>
      <c r="P28" s="264"/>
      <c r="Q28" s="264"/>
      <c r="R28" s="264"/>
      <c r="S28" s="264"/>
      <c r="T28" s="264"/>
      <c r="U28" s="264"/>
      <c r="V28" s="264"/>
      <c r="W28" s="3"/>
      <c r="X28" s="3"/>
      <c r="Y28" s="3"/>
      <c r="Z28" s="3"/>
      <c r="AA28" s="3"/>
      <c r="AB28" s="3"/>
      <c r="AC28" s="3"/>
    </row>
    <row r="29" ht="15.75" customHeight="1">
      <c r="A29" s="313">
        <v>1.0</v>
      </c>
      <c r="B29" s="313" t="str">
        <f>'Defect Summary'!A3</f>
        <v>DEF-LF-001</v>
      </c>
      <c r="C29" s="314" t="str">
        <f>'Defect Summary'!C3</f>
        <v>The system does not automatically log the user out after 10 minutes of inactivity. No session timeout message is displayed; the user remains logged in indefinitely regardless of how long they stay idle. (Observed on Chrome, Edge, Firefox, Opera)</v>
      </c>
      <c r="D29" s="181"/>
      <c r="E29" s="182"/>
      <c r="F29" s="313" t="str">
        <f>'Defect Summary'!D3</f>
        <v>Major</v>
      </c>
      <c r="G29" s="313" t="str">
        <f>'Defect Summary'!E3</f>
        <v>Krisha</v>
      </c>
      <c r="H29" s="313" t="str">
        <f>'Defect Summary'!B3</f>
        <v>LF-012 - User Login – Session Timeout</v>
      </c>
      <c r="I29" s="313" t="str">
        <f>'Defect Summary'!F3</f>
        <v>New</v>
      </c>
      <c r="K29" s="315" t="s">
        <v>2895</v>
      </c>
      <c r="L29" s="316">
        <f>COUNTIF('Defect Summary'!F3:F6,"New")</f>
        <v>4</v>
      </c>
      <c r="M29" s="3"/>
      <c r="N29" s="3"/>
      <c r="O29" s="3"/>
      <c r="P29" s="264"/>
      <c r="Q29" s="264"/>
      <c r="R29" s="264"/>
      <c r="S29" s="264"/>
      <c r="T29" s="264"/>
      <c r="U29" s="264"/>
      <c r="V29" s="264"/>
      <c r="W29" s="3"/>
      <c r="X29" s="3"/>
      <c r="Y29" s="3"/>
      <c r="Z29" s="3"/>
      <c r="AA29" s="3"/>
      <c r="AB29" s="3"/>
      <c r="AC29" s="3"/>
    </row>
    <row r="30" ht="15.75" customHeight="1">
      <c r="A30" s="313">
        <v>2.0</v>
      </c>
      <c r="B30" s="313" t="str">
        <f>'Defect Summary'!A4</f>
        <v>DEF-LF-002</v>
      </c>
      <c r="C30" s="314" t="str">
        <f>'Defect Summary'!C5</f>
        <v>The Password field does not enforce the required minimum of 8 characters or maximum of 16 characters. Passwords outside this range are still submitted and only rejected with the generic invalid-credentials message, not a length-specific validation error. (Observed on Chrome, Edge, Firefox, Opera)</v>
      </c>
      <c r="D30" s="181"/>
      <c r="E30" s="182"/>
      <c r="F30" s="313" t="str">
        <f>'Defect Summary'!D5</f>
        <v>Normal</v>
      </c>
      <c r="G30" s="313" t="str">
        <f>'Defect Summary'!E5</f>
        <v>Krisha</v>
      </c>
      <c r="H30" s="313" t="str">
        <f>'Defect Summary'!B5</f>
        <v>LF-017 - User Log-in – Password Field Length Validation</v>
      </c>
      <c r="I30" s="313" t="str">
        <f>'Defect Summary'!F5</f>
        <v>New</v>
      </c>
      <c r="K30" s="315" t="s">
        <v>3108</v>
      </c>
      <c r="L30" s="317">
        <f>COUNTIF('Defect Summary'!F3:F6,"Reopened")</f>
        <v>0</v>
      </c>
      <c r="M30" s="3"/>
      <c r="N30" s="3"/>
      <c r="O30" s="3"/>
      <c r="P30" s="264"/>
      <c r="Q30" s="264"/>
      <c r="R30" s="264"/>
      <c r="S30" s="264"/>
      <c r="T30" s="264"/>
      <c r="U30" s="264"/>
      <c r="V30" s="264"/>
      <c r="W30" s="3"/>
      <c r="X30" s="3"/>
      <c r="Y30" s="3"/>
      <c r="Z30" s="3"/>
      <c r="AA30" s="3"/>
      <c r="AB30" s="3"/>
      <c r="AC30" s="3"/>
    </row>
    <row r="31" ht="15.75" customHeight="1">
      <c r="A31" s="313">
        <v>3.0</v>
      </c>
      <c r="B31" s="313" t="str">
        <f>'Defect Summary'!A6</f>
        <v>DEF-LF-004</v>
      </c>
      <c r="C31" s="314" t="str">
        <f>'Defect Summary'!C6</f>
        <v>Clicking the SauceDemo logo on the login page does not refresh or reload the page. Previously entered Username and Password values remain unchanged instead of being cleared. (Observed on Chrome, Edge, Firefox, Opera)</v>
      </c>
      <c r="D31" s="181"/>
      <c r="E31" s="182"/>
      <c r="F31" s="313" t="str">
        <f>'Defect Summary'!D6</f>
        <v>Minor</v>
      </c>
      <c r="G31" s="313" t="str">
        <f>'Defect Summary'!E6</f>
        <v>Krisha</v>
      </c>
      <c r="H31" s="313" t="str">
        <f>'Defect Summary'!B6</f>
        <v>LF-018 - User Log-in – Logo Refresh</v>
      </c>
      <c r="I31" s="313" t="str">
        <f>'Defect Summary'!F6</f>
        <v>New</v>
      </c>
      <c r="K31" s="315" t="s">
        <v>3109</v>
      </c>
      <c r="L31" s="317">
        <f>COUNTIF('Defect Summary'!F3:F6,"In Progress")</f>
        <v>0</v>
      </c>
      <c r="M31" s="3"/>
      <c r="N31" s="3"/>
      <c r="O31" s="3"/>
      <c r="P31" s="264"/>
      <c r="Q31" s="264"/>
      <c r="R31" s="264"/>
      <c r="S31" s="264"/>
      <c r="T31" s="264"/>
      <c r="U31" s="264"/>
      <c r="V31" s="264"/>
      <c r="W31" s="3"/>
      <c r="X31" s="3"/>
      <c r="Y31" s="3"/>
      <c r="Z31" s="3"/>
      <c r="AA31" s="3"/>
      <c r="AB31" s="3"/>
      <c r="AC31" s="3"/>
    </row>
    <row r="32" ht="15.75" customHeight="1">
      <c r="A32" s="318">
        <v>4.0</v>
      </c>
      <c r="B32" s="318" t="str">
        <f t="shared" ref="B32:C32" si="4">#REF!</f>
        <v>#REF!</v>
      </c>
      <c r="C32" s="319" t="str">
        <f t="shared" si="4"/>
        <v>#REF!</v>
      </c>
      <c r="D32" s="320"/>
      <c r="E32" s="321"/>
      <c r="F32" s="318" t="str">
        <f t="shared" ref="F32:I32" si="5">#REF!</f>
        <v>#REF!</v>
      </c>
      <c r="G32" s="318" t="str">
        <f t="shared" si="5"/>
        <v>#REF!</v>
      </c>
      <c r="H32" s="313" t="str">
        <f t="shared" si="5"/>
        <v>#REF!</v>
      </c>
      <c r="I32" s="318" t="str">
        <f t="shared" si="5"/>
        <v>#REF!</v>
      </c>
      <c r="K32" s="315" t="s">
        <v>3110</v>
      </c>
      <c r="L32" s="322">
        <f>COUNTIF('Defect Summary'!F3:F6,"Code Review")</f>
        <v>0</v>
      </c>
      <c r="M32" s="3"/>
      <c r="N32" s="3"/>
      <c r="O32" s="3"/>
      <c r="P32" s="264"/>
      <c r="Q32" s="264"/>
      <c r="R32" s="264"/>
      <c r="S32" s="264"/>
      <c r="T32" s="264"/>
      <c r="U32" s="264"/>
      <c r="V32" s="264"/>
      <c r="W32" s="3"/>
      <c r="X32" s="3"/>
      <c r="Y32" s="3"/>
      <c r="Z32" s="3"/>
      <c r="AA32" s="3"/>
      <c r="AB32" s="3"/>
      <c r="AC32" s="3"/>
    </row>
    <row r="33" ht="15.75" customHeight="1">
      <c r="A33" s="313">
        <v>5.0</v>
      </c>
      <c r="B33" s="313" t="str">
        <f t="shared" ref="B33:C33" si="6">#REF!</f>
        <v>#REF!</v>
      </c>
      <c r="C33" s="314" t="str">
        <f t="shared" si="6"/>
        <v>#REF!</v>
      </c>
      <c r="D33" s="181"/>
      <c r="E33" s="182"/>
      <c r="F33" s="313" t="str">
        <f t="shared" ref="F33:I33" si="7">#REF!</f>
        <v>#REF!</v>
      </c>
      <c r="G33" s="313" t="str">
        <f t="shared" si="7"/>
        <v>#REF!</v>
      </c>
      <c r="H33" s="313" t="str">
        <f t="shared" si="7"/>
        <v>#REF!</v>
      </c>
      <c r="I33" s="313" t="str">
        <f t="shared" si="7"/>
        <v>#REF!</v>
      </c>
      <c r="K33" s="315" t="s">
        <v>3111</v>
      </c>
      <c r="L33" s="317">
        <f>COUNTIF('Defect Summary'!F3:F6,"FOR QA")</f>
        <v>0</v>
      </c>
      <c r="M33" s="3"/>
      <c r="N33" s="3"/>
      <c r="O33" s="3"/>
      <c r="P33" s="264"/>
      <c r="Q33" s="264"/>
      <c r="R33" s="264"/>
      <c r="S33" s="264"/>
      <c r="T33" s="264"/>
      <c r="U33" s="264"/>
      <c r="V33" s="264"/>
      <c r="W33" s="3"/>
      <c r="X33" s="3"/>
      <c r="Y33" s="3"/>
      <c r="Z33" s="3"/>
      <c r="AA33" s="3"/>
      <c r="AB33" s="3"/>
      <c r="AC33" s="3"/>
    </row>
    <row r="34" ht="15.75" customHeight="1">
      <c r="A34" s="313">
        <v>6.0</v>
      </c>
      <c r="B34" s="313" t="str">
        <f t="shared" ref="B34:C34" si="8">#REF!</f>
        <v>#REF!</v>
      </c>
      <c r="C34" s="314" t="str">
        <f t="shared" si="8"/>
        <v>#REF!</v>
      </c>
      <c r="D34" s="181"/>
      <c r="E34" s="182"/>
      <c r="F34" s="313" t="str">
        <f t="shared" ref="F34:I34" si="9">#REF!</f>
        <v>#REF!</v>
      </c>
      <c r="G34" s="313" t="str">
        <f t="shared" si="9"/>
        <v>#REF!</v>
      </c>
      <c r="H34" s="313" t="str">
        <f t="shared" si="9"/>
        <v>#REF!</v>
      </c>
      <c r="I34" s="313" t="str">
        <f t="shared" si="9"/>
        <v>#REF!</v>
      </c>
      <c r="K34" s="315" t="s">
        <v>3112</v>
      </c>
      <c r="L34" s="323">
        <f>COUNTIF('Defect Summary'!F3:F6,"IN QA")</f>
        <v>0</v>
      </c>
      <c r="M34" s="3"/>
      <c r="N34" s="3"/>
      <c r="O34" s="3"/>
      <c r="P34" s="264"/>
      <c r="Q34" s="264"/>
      <c r="R34" s="264"/>
      <c r="S34" s="264"/>
      <c r="T34" s="264"/>
      <c r="U34" s="264"/>
      <c r="V34" s="264"/>
      <c r="W34" s="3"/>
      <c r="X34" s="3"/>
      <c r="Y34" s="3"/>
      <c r="Z34" s="3"/>
      <c r="AA34" s="3"/>
      <c r="AB34" s="3"/>
      <c r="AC34" s="3"/>
    </row>
    <row r="35" ht="15.75" customHeight="1">
      <c r="A35" s="313">
        <v>7.0</v>
      </c>
      <c r="B35" s="313" t="str">
        <f t="shared" ref="B35:C35" si="10">#REF!</f>
        <v>#REF!</v>
      </c>
      <c r="C35" s="314" t="str">
        <f t="shared" si="10"/>
        <v>#REF!</v>
      </c>
      <c r="D35" s="181"/>
      <c r="E35" s="182"/>
      <c r="F35" s="313" t="str">
        <f t="shared" ref="F35:I35" si="11">#REF!</f>
        <v>#REF!</v>
      </c>
      <c r="G35" s="313" t="str">
        <f t="shared" si="11"/>
        <v>#REF!</v>
      </c>
      <c r="H35" s="313" t="str">
        <f t="shared" si="11"/>
        <v>#REF!</v>
      </c>
      <c r="I35" s="313" t="str">
        <f t="shared" si="11"/>
        <v>#REF!</v>
      </c>
      <c r="K35" s="315" t="s">
        <v>3113</v>
      </c>
      <c r="L35" s="322">
        <f>COUNTIF('Defect Summary'!F3:F6,"Done")</f>
        <v>0</v>
      </c>
      <c r="M35" s="3"/>
      <c r="N35" s="3"/>
      <c r="O35" s="3"/>
      <c r="P35" s="264"/>
      <c r="Q35" s="264"/>
      <c r="R35" s="264"/>
      <c r="S35" s="264"/>
      <c r="T35" s="264"/>
      <c r="U35" s="264"/>
      <c r="V35" s="264"/>
      <c r="W35" s="3"/>
      <c r="X35" s="3"/>
      <c r="Y35" s="3"/>
      <c r="Z35" s="3"/>
      <c r="AA35" s="3"/>
      <c r="AB35" s="3"/>
      <c r="AC35" s="3"/>
    </row>
    <row r="36" ht="15.75" customHeight="1">
      <c r="A36" s="313">
        <v>8.0</v>
      </c>
      <c r="B36" s="313" t="str">
        <f t="shared" ref="B36:C36" si="12">#REF!</f>
        <v>#REF!</v>
      </c>
      <c r="C36" s="314" t="str">
        <f t="shared" si="12"/>
        <v>#REF!</v>
      </c>
      <c r="D36" s="181"/>
      <c r="E36" s="182"/>
      <c r="F36" s="313" t="str">
        <f t="shared" ref="F36:I36" si="13">#REF!</f>
        <v>#REF!</v>
      </c>
      <c r="G36" s="313" t="str">
        <f t="shared" si="13"/>
        <v>#REF!</v>
      </c>
      <c r="H36" s="313" t="str">
        <f t="shared" si="13"/>
        <v>#REF!</v>
      </c>
      <c r="I36" s="313" t="str">
        <f t="shared" si="13"/>
        <v>#REF!</v>
      </c>
      <c r="J36" s="324"/>
      <c r="K36" s="305"/>
      <c r="L36" s="305"/>
      <c r="M36" s="3"/>
      <c r="N36" s="3"/>
      <c r="O36" s="3"/>
      <c r="P36" s="264"/>
      <c r="Q36" s="264"/>
      <c r="R36" s="264"/>
      <c r="S36" s="264"/>
      <c r="T36" s="264"/>
      <c r="U36" s="264"/>
      <c r="V36" s="264"/>
      <c r="W36" s="3"/>
      <c r="X36" s="3"/>
      <c r="Y36" s="3"/>
      <c r="Z36" s="3"/>
      <c r="AA36" s="3"/>
      <c r="AB36" s="3"/>
      <c r="AC36" s="3"/>
    </row>
    <row r="37" ht="15.75" customHeight="1">
      <c r="A37" s="313">
        <v>9.0</v>
      </c>
      <c r="B37" s="313" t="str">
        <f t="shared" ref="B37:C37" si="14">#REF!</f>
        <v>#REF!</v>
      </c>
      <c r="C37" s="314" t="str">
        <f t="shared" si="14"/>
        <v>#REF!</v>
      </c>
      <c r="D37" s="181"/>
      <c r="E37" s="182"/>
      <c r="F37" s="313" t="str">
        <f t="shared" ref="F37:I37" si="15">#REF!</f>
        <v>#REF!</v>
      </c>
      <c r="G37" s="313" t="str">
        <f t="shared" si="15"/>
        <v>#REF!</v>
      </c>
      <c r="H37" s="325" t="str">
        <f t="shared" si="15"/>
        <v>#REF!</v>
      </c>
      <c r="I37" s="313" t="str">
        <f t="shared" si="15"/>
        <v>#REF!</v>
      </c>
      <c r="J37" s="308"/>
      <c r="K37" s="307" t="s">
        <v>3114</v>
      </c>
      <c r="L37" s="182"/>
      <c r="M37" s="3"/>
      <c r="N37" s="3"/>
      <c r="O37" s="3"/>
      <c r="P37" s="264"/>
      <c r="Q37" s="264"/>
      <c r="R37" s="264"/>
      <c r="S37" s="264"/>
      <c r="T37" s="264"/>
      <c r="U37" s="264"/>
      <c r="V37" s="264"/>
      <c r="W37" s="3"/>
      <c r="X37" s="3"/>
      <c r="Y37" s="3"/>
      <c r="Z37" s="3"/>
      <c r="AA37" s="3"/>
      <c r="AB37" s="3"/>
      <c r="AC37" s="3"/>
    </row>
    <row r="38" ht="15.75" customHeight="1">
      <c r="A38" s="313">
        <v>10.0</v>
      </c>
      <c r="B38" s="313" t="str">
        <f t="shared" ref="B38:C38" si="16">#REF!</f>
        <v>#REF!</v>
      </c>
      <c r="C38" s="314" t="str">
        <f t="shared" si="16"/>
        <v>#REF!</v>
      </c>
      <c r="D38" s="181"/>
      <c r="E38" s="182"/>
      <c r="F38" s="313" t="str">
        <f t="shared" ref="F38:I38" si="17">#REF!</f>
        <v>#REF!</v>
      </c>
      <c r="G38" s="313" t="str">
        <f t="shared" si="17"/>
        <v>#REF!</v>
      </c>
      <c r="H38" s="325" t="str">
        <f t="shared" si="17"/>
        <v>#REF!</v>
      </c>
      <c r="I38" s="313" t="str">
        <f t="shared" si="17"/>
        <v>#REF!</v>
      </c>
      <c r="K38" s="326">
        <f>'Test Summary'!I14</f>
        <v>0</v>
      </c>
      <c r="L38" s="182"/>
      <c r="M38" s="3"/>
      <c r="N38" s="3"/>
      <c r="O38" s="3"/>
      <c r="P38" s="264"/>
      <c r="Q38" s="264"/>
      <c r="R38" s="264"/>
      <c r="S38" s="264"/>
      <c r="T38" s="264"/>
      <c r="U38" s="264"/>
      <c r="V38" s="264"/>
      <c r="W38" s="3"/>
      <c r="X38" s="3"/>
      <c r="Y38" s="3"/>
      <c r="Z38" s="3"/>
      <c r="AA38" s="3"/>
      <c r="AB38" s="3"/>
      <c r="AC38" s="3"/>
    </row>
    <row r="39" ht="15.75" customHeight="1">
      <c r="A39" s="313">
        <v>11.0</v>
      </c>
      <c r="B39" s="313" t="str">
        <f t="shared" ref="B39:C39" si="18">#REF!</f>
        <v>#REF!</v>
      </c>
      <c r="C39" s="314" t="str">
        <f t="shared" si="18"/>
        <v>#REF!</v>
      </c>
      <c r="D39" s="181"/>
      <c r="E39" s="182"/>
      <c r="F39" s="313" t="str">
        <f t="shared" ref="F39:I39" si="19">#REF!</f>
        <v>#REF!</v>
      </c>
      <c r="G39" s="313" t="str">
        <f t="shared" si="19"/>
        <v>#REF!</v>
      </c>
      <c r="H39" s="325" t="str">
        <f t="shared" si="19"/>
        <v>#REF!</v>
      </c>
      <c r="I39" s="313" t="str">
        <f t="shared" si="19"/>
        <v>#REF!</v>
      </c>
      <c r="K39" s="305"/>
      <c r="L39" s="305"/>
      <c r="M39" s="3"/>
      <c r="N39" s="3"/>
      <c r="O39" s="3"/>
      <c r="P39" s="264"/>
      <c r="Q39" s="264"/>
      <c r="R39" s="264"/>
      <c r="S39" s="264"/>
      <c r="T39" s="264"/>
      <c r="U39" s="264"/>
      <c r="V39" s="264"/>
      <c r="W39" s="3"/>
      <c r="X39" s="3"/>
      <c r="Y39" s="3"/>
      <c r="Z39" s="3"/>
      <c r="AA39" s="3"/>
      <c r="AB39" s="3"/>
      <c r="AC39" s="3"/>
    </row>
    <row r="40" ht="15.75" customHeight="1">
      <c r="A40" s="313">
        <v>12.0</v>
      </c>
      <c r="B40" s="313" t="str">
        <f t="shared" ref="B40:C40" si="20">#REF!</f>
        <v>#REF!</v>
      </c>
      <c r="C40" s="314" t="str">
        <f t="shared" si="20"/>
        <v>#REF!</v>
      </c>
      <c r="D40" s="181"/>
      <c r="E40" s="182"/>
      <c r="F40" s="313" t="str">
        <f t="shared" ref="F40:I40" si="21">#REF!</f>
        <v>#REF!</v>
      </c>
      <c r="G40" s="313" t="str">
        <f t="shared" si="21"/>
        <v>#REF!</v>
      </c>
      <c r="H40" s="325" t="str">
        <f t="shared" si="21"/>
        <v>#REF!</v>
      </c>
      <c r="I40" s="313" t="str">
        <f t="shared" si="21"/>
        <v>#REF!</v>
      </c>
      <c r="J40" s="324"/>
      <c r="K40" s="307" t="s">
        <v>3115</v>
      </c>
      <c r="L40" s="182"/>
      <c r="M40" s="3"/>
      <c r="N40" s="3"/>
      <c r="O40" s="3"/>
      <c r="P40" s="264"/>
      <c r="Q40" s="327" t="s">
        <v>3116</v>
      </c>
      <c r="R40" s="327" t="s">
        <v>3117</v>
      </c>
      <c r="S40" s="327" t="s">
        <v>3118</v>
      </c>
      <c r="T40" s="327"/>
      <c r="U40" s="327"/>
      <c r="V40" s="327"/>
      <c r="W40" s="327"/>
      <c r="X40" s="3"/>
      <c r="Y40" s="3"/>
      <c r="Z40" s="3"/>
      <c r="AA40" s="3"/>
      <c r="AB40" s="3"/>
      <c r="AC40" s="3"/>
    </row>
    <row r="41" ht="15.75" customHeight="1">
      <c r="A41" s="313">
        <v>13.0</v>
      </c>
      <c r="B41" s="313" t="str">
        <f t="shared" ref="B41:C41" si="22">#REF!</f>
        <v>#REF!</v>
      </c>
      <c r="C41" s="314" t="str">
        <f t="shared" si="22"/>
        <v>#REF!</v>
      </c>
      <c r="D41" s="181"/>
      <c r="E41" s="182"/>
      <c r="F41" s="313" t="str">
        <f t="shared" ref="F41:I41" si="23">#REF!</f>
        <v>#REF!</v>
      </c>
      <c r="G41" s="313" t="str">
        <f t="shared" si="23"/>
        <v>#REF!</v>
      </c>
      <c r="H41" s="325" t="str">
        <f t="shared" si="23"/>
        <v>#REF!</v>
      </c>
      <c r="I41" s="313" t="str">
        <f t="shared" si="23"/>
        <v>#REF!</v>
      </c>
      <c r="J41" s="328"/>
      <c r="K41" s="329" t="str">
        <f>'Test Summary'!M14</f>
        <v>#DIV/0!</v>
      </c>
      <c r="L41" s="182"/>
      <c r="M41" s="3"/>
      <c r="N41" s="3"/>
      <c r="O41" s="3"/>
      <c r="P41" s="264"/>
      <c r="Q41" s="330">
        <v>43864.0</v>
      </c>
      <c r="R41" s="331">
        <v>0.0</v>
      </c>
      <c r="S41" s="255">
        <v>0.0</v>
      </c>
      <c r="T41" s="255"/>
      <c r="U41" s="255"/>
      <c r="V41" s="255"/>
      <c r="W41" s="332"/>
      <c r="X41" s="3"/>
      <c r="Y41" s="3"/>
      <c r="Z41" s="3"/>
      <c r="AA41" s="3"/>
      <c r="AB41" s="3"/>
      <c r="AC41" s="3"/>
    </row>
    <row r="42" ht="15.75" customHeight="1">
      <c r="A42" s="333"/>
      <c r="B42" s="333"/>
      <c r="C42" s="334"/>
      <c r="D42" s="335"/>
      <c r="E42" s="336"/>
      <c r="F42" s="333"/>
      <c r="G42" s="333"/>
      <c r="H42" s="333"/>
      <c r="I42" s="333"/>
      <c r="J42" s="337"/>
      <c r="K42" s="338"/>
      <c r="L42" s="338"/>
      <c r="M42" s="3"/>
      <c r="N42" s="3"/>
      <c r="O42" s="3"/>
      <c r="P42" s="264"/>
      <c r="Q42" s="330"/>
      <c r="R42" s="339"/>
      <c r="S42" s="255"/>
      <c r="T42" s="255"/>
      <c r="U42" s="255"/>
      <c r="V42" s="255"/>
      <c r="W42" s="332"/>
      <c r="X42" s="3"/>
      <c r="Y42" s="3"/>
      <c r="Z42" s="3"/>
      <c r="AA42" s="3"/>
      <c r="AB42" s="3"/>
      <c r="AC42" s="3"/>
    </row>
    <row r="43" ht="15.75" customHeight="1">
      <c r="A43" s="340" t="s">
        <v>3119</v>
      </c>
      <c r="B43" s="258"/>
      <c r="C43" s="258"/>
      <c r="D43" s="258"/>
      <c r="E43" s="258"/>
      <c r="F43" s="258"/>
      <c r="G43" s="258"/>
      <c r="H43" s="258"/>
      <c r="I43" s="259"/>
      <c r="J43" s="275"/>
      <c r="K43" s="338"/>
      <c r="L43" s="338"/>
      <c r="M43" s="3"/>
      <c r="N43" s="3"/>
      <c r="O43" s="3"/>
      <c r="P43" s="264"/>
      <c r="Q43" s="330"/>
      <c r="R43" s="339"/>
      <c r="S43" s="255"/>
      <c r="T43" s="255"/>
      <c r="U43" s="255"/>
      <c r="V43" s="255"/>
      <c r="W43" s="332"/>
      <c r="X43" s="3"/>
      <c r="Y43" s="3"/>
      <c r="Z43" s="3"/>
      <c r="AA43" s="3"/>
      <c r="AB43" s="3"/>
      <c r="AC43" s="3"/>
    </row>
    <row r="44" ht="15.75" customHeight="1">
      <c r="A44" s="311" t="s">
        <v>3103</v>
      </c>
      <c r="B44" s="311" t="s">
        <v>3104</v>
      </c>
      <c r="C44" s="312" t="s">
        <v>3105</v>
      </c>
      <c r="D44" s="181"/>
      <c r="E44" s="182"/>
      <c r="F44" s="311" t="s">
        <v>3106</v>
      </c>
      <c r="G44" s="341" t="s">
        <v>2889</v>
      </c>
      <c r="H44" s="312" t="s">
        <v>26</v>
      </c>
      <c r="I44" s="182"/>
      <c r="J44" s="342"/>
      <c r="K44" s="343"/>
      <c r="L44" s="343"/>
      <c r="M44" s="3"/>
      <c r="N44" s="3"/>
      <c r="O44" s="3"/>
      <c r="P44" s="264"/>
      <c r="Q44" s="330"/>
      <c r="R44" s="339"/>
      <c r="S44" s="255"/>
      <c r="T44" s="255"/>
      <c r="U44" s="255"/>
      <c r="V44" s="255"/>
      <c r="W44" s="332"/>
      <c r="X44" s="3"/>
      <c r="Y44" s="3"/>
      <c r="Z44" s="3"/>
      <c r="AA44" s="3"/>
      <c r="AB44" s="3"/>
      <c r="AC44" s="3"/>
    </row>
    <row r="45" ht="15.75" customHeight="1">
      <c r="A45" s="313">
        <v>1.0</v>
      </c>
      <c r="B45" s="344" t="str">
        <f>'Defect Summary'!A63</f>
        <v>CO-019</v>
      </c>
      <c r="C45" s="314" t="str">
        <f>'Defect Summary'!C63</f>
        <v>The item price displayed on the Checkout Overview and product detail pages does not match the price of the product originally added to the cart.
 Reproduced for visual_user on Chrome, Opera GX, Edge, and Firefox.</v>
      </c>
      <c r="D45" s="181"/>
      <c r="E45" s="182"/>
      <c r="F45" s="313" t="str">
        <f>'Defect Summary'!D63</f>
        <v>Major</v>
      </c>
      <c r="G45" s="345" t="str">
        <f>'Defect Summary'!E63</f>
        <v>Agnes</v>
      </c>
      <c r="H45" s="314" t="str">
        <f>'Defect Summary'!F63</f>
        <v>New</v>
      </c>
      <c r="I45" s="182"/>
      <c r="J45" s="275"/>
      <c r="K45" s="346"/>
      <c r="L45" s="346"/>
      <c r="M45" s="3"/>
      <c r="N45" s="3"/>
      <c r="O45" s="3"/>
      <c r="P45" s="264"/>
      <c r="Q45" s="330"/>
      <c r="R45" s="339"/>
      <c r="S45" s="255"/>
      <c r="T45" s="255"/>
      <c r="U45" s="255"/>
      <c r="V45" s="255"/>
      <c r="W45" s="332"/>
      <c r="X45" s="3"/>
      <c r="Y45" s="3"/>
      <c r="Z45" s="3"/>
      <c r="AA45" s="3"/>
      <c r="AB45" s="3"/>
      <c r="AC45" s="3"/>
    </row>
    <row r="46" ht="15.75" customHeight="1">
      <c r="A46" s="313">
        <v>2.0</v>
      </c>
      <c r="B46" s="344" t="str">
        <f>'Defect Summary'!A64</f>
        <v>CO-020</v>
      </c>
      <c r="C46" s="314" t="str">
        <f>'Defect Summary'!C64</f>
        <v>UI elements on the Checkout Information page are misaligned, resulting in an inconsistent visual layout.
 Reproduced for visual_user on Chrome, Opera GX, Edge, and Firefox.</v>
      </c>
      <c r="D46" s="181"/>
      <c r="E46" s="182"/>
      <c r="F46" s="313" t="str">
        <f>'Defect Summary'!D64</f>
        <v>Major</v>
      </c>
      <c r="G46" s="345" t="str">
        <f>'Defect Summary'!E64</f>
        <v>Agnes</v>
      </c>
      <c r="H46" s="314" t="str">
        <f>'Defect Summary'!F64</f>
        <v>New</v>
      </c>
      <c r="I46" s="182"/>
      <c r="J46" s="275"/>
      <c r="K46" s="346"/>
      <c r="L46" s="346"/>
      <c r="M46" s="3"/>
      <c r="N46" s="3"/>
      <c r="O46" s="3"/>
      <c r="P46" s="264"/>
      <c r="Q46" s="330"/>
      <c r="R46" s="339"/>
      <c r="S46" s="255"/>
      <c r="T46" s="255"/>
      <c r="U46" s="255"/>
      <c r="V46" s="255"/>
      <c r="W46" s="332"/>
      <c r="X46" s="3"/>
      <c r="Y46" s="3"/>
      <c r="Z46" s="3"/>
      <c r="AA46" s="3"/>
      <c r="AB46" s="3"/>
      <c r="AC46" s="3"/>
    </row>
    <row r="47" ht="15.75" customHeight="1">
      <c r="A47" s="313">
        <v>3.0</v>
      </c>
      <c r="B47" s="344" t="str">
        <f t="shared" ref="B47:C47" si="24">#REF!</f>
        <v>#REF!</v>
      </c>
      <c r="C47" s="314" t="str">
        <f t="shared" si="24"/>
        <v>#REF!</v>
      </c>
      <c r="D47" s="181"/>
      <c r="E47" s="182"/>
      <c r="F47" s="313" t="str">
        <f t="shared" ref="F47:H47" si="25">#REF!</f>
        <v>#REF!</v>
      </c>
      <c r="G47" s="345" t="str">
        <f t="shared" si="25"/>
        <v>#REF!</v>
      </c>
      <c r="H47" s="314" t="str">
        <f t="shared" si="25"/>
        <v>#REF!</v>
      </c>
      <c r="I47" s="182"/>
      <c r="J47" s="342"/>
      <c r="K47" s="343"/>
      <c r="L47" s="343"/>
      <c r="M47" s="3"/>
      <c r="N47" s="3"/>
      <c r="O47" s="3"/>
      <c r="P47" s="264"/>
      <c r="Q47" s="330"/>
      <c r="R47" s="339"/>
      <c r="S47" s="255"/>
      <c r="T47" s="255"/>
      <c r="U47" s="255"/>
      <c r="V47" s="255"/>
      <c r="W47" s="332"/>
      <c r="X47" s="3"/>
      <c r="Y47" s="3"/>
      <c r="Z47" s="3"/>
      <c r="AA47" s="3"/>
      <c r="AB47" s="3"/>
      <c r="AC47" s="3"/>
    </row>
    <row r="48" ht="15.75" customHeight="1">
      <c r="A48" s="313">
        <v>4.0</v>
      </c>
      <c r="B48" s="344" t="str">
        <f t="shared" ref="B48:C48" si="26">#REF!</f>
        <v>#REF!</v>
      </c>
      <c r="C48" s="314" t="str">
        <f t="shared" si="26"/>
        <v>#REF!</v>
      </c>
      <c r="D48" s="181"/>
      <c r="E48" s="182"/>
      <c r="F48" s="313" t="str">
        <f t="shared" ref="F48:H48" si="27">#REF!</f>
        <v>#REF!</v>
      </c>
      <c r="G48" s="345" t="str">
        <f t="shared" si="27"/>
        <v>#REF!</v>
      </c>
      <c r="H48" s="314" t="str">
        <f t="shared" si="27"/>
        <v>#REF!</v>
      </c>
      <c r="I48" s="182"/>
      <c r="J48" s="275"/>
      <c r="K48" s="346"/>
      <c r="L48" s="346"/>
      <c r="M48" s="3"/>
      <c r="N48" s="3"/>
      <c r="O48" s="3"/>
      <c r="P48" s="264"/>
      <c r="Q48" s="330"/>
      <c r="R48" s="339"/>
      <c r="S48" s="255"/>
      <c r="T48" s="255"/>
      <c r="U48" s="255"/>
      <c r="V48" s="255"/>
      <c r="W48" s="332"/>
      <c r="X48" s="3"/>
      <c r="Y48" s="3"/>
      <c r="Z48" s="3"/>
      <c r="AA48" s="3"/>
      <c r="AB48" s="3"/>
      <c r="AC48" s="3"/>
    </row>
    <row r="49" ht="15.75" customHeight="1">
      <c r="A49" s="347"/>
      <c r="B49" s="347" t="str">
        <f t="shared" ref="B49:C49" si="28">#REF!</f>
        <v>#REF!</v>
      </c>
      <c r="C49" s="348" t="str">
        <f t="shared" si="28"/>
        <v>#REF!</v>
      </c>
      <c r="E49" s="349"/>
      <c r="F49" s="347" t="str">
        <f t="shared" ref="F49:G49" si="29">#REF!</f>
        <v>#REF!</v>
      </c>
      <c r="G49" s="347" t="str">
        <f t="shared" si="29"/>
        <v>#REF!</v>
      </c>
      <c r="H49" s="350"/>
      <c r="I49" s="348" t="str">
        <f>#REF!</f>
        <v>#REF!</v>
      </c>
      <c r="J49" s="248"/>
      <c r="K49" s="346"/>
      <c r="L49" s="346"/>
      <c r="M49" s="3"/>
      <c r="N49" s="3"/>
      <c r="O49" s="3"/>
      <c r="P49" s="264"/>
      <c r="Q49" s="330"/>
      <c r="R49" s="339"/>
      <c r="S49" s="255"/>
      <c r="T49" s="255"/>
      <c r="U49" s="255"/>
      <c r="V49" s="255"/>
      <c r="W49" s="332"/>
      <c r="X49" s="3"/>
      <c r="Y49" s="3"/>
      <c r="Z49" s="3"/>
      <c r="AA49" s="3"/>
      <c r="AB49" s="3"/>
      <c r="AC49" s="3"/>
    </row>
    <row r="50" ht="15.75" customHeight="1">
      <c r="A50" s="351" t="s">
        <v>3120</v>
      </c>
      <c r="B50" s="181"/>
      <c r="C50" s="181"/>
      <c r="D50" s="181"/>
      <c r="E50" s="181"/>
      <c r="F50" s="181"/>
      <c r="G50" s="181"/>
      <c r="H50" s="181"/>
      <c r="I50" s="182"/>
      <c r="J50" s="275"/>
      <c r="K50" s="248"/>
      <c r="L50" s="248"/>
      <c r="M50" s="3"/>
      <c r="N50" s="3"/>
      <c r="O50" s="3"/>
      <c r="P50" s="264"/>
      <c r="Q50" s="330"/>
      <c r="R50" s="339"/>
      <c r="S50" s="255"/>
      <c r="T50" s="255"/>
      <c r="U50" s="255"/>
      <c r="V50" s="255"/>
      <c r="W50" s="332"/>
      <c r="X50" s="3"/>
      <c r="Y50" s="3"/>
      <c r="Z50" s="3"/>
      <c r="AA50" s="3"/>
      <c r="AB50" s="3"/>
      <c r="AC50" s="3"/>
    </row>
    <row r="51" ht="15.75" customHeight="1">
      <c r="A51" s="352" t="s">
        <v>3103</v>
      </c>
      <c r="B51" s="353" t="s">
        <v>3121</v>
      </c>
      <c r="C51" s="351" t="s">
        <v>3122</v>
      </c>
      <c r="D51" s="181"/>
      <c r="E51" s="181"/>
      <c r="F51" s="182"/>
      <c r="G51" s="354" t="s">
        <v>2889</v>
      </c>
      <c r="H51" s="182"/>
      <c r="I51" s="285" t="s">
        <v>25</v>
      </c>
      <c r="J51" s="275"/>
      <c r="K51" s="248"/>
      <c r="L51" s="248"/>
      <c r="M51" s="3"/>
      <c r="N51" s="3"/>
      <c r="O51" s="3"/>
      <c r="P51" s="264"/>
      <c r="Q51" s="330">
        <v>43865.0</v>
      </c>
      <c r="R51" s="339">
        <v>0.0</v>
      </c>
      <c r="S51" s="255">
        <v>0.0</v>
      </c>
      <c r="T51" s="255"/>
      <c r="U51" s="255"/>
      <c r="V51" s="255"/>
      <c r="W51" s="332"/>
      <c r="X51" s="3"/>
      <c r="Y51" s="3"/>
      <c r="Z51" s="3"/>
      <c r="AA51" s="3"/>
      <c r="AB51" s="3"/>
      <c r="AC51" s="3"/>
    </row>
    <row r="52" ht="15.75" customHeight="1">
      <c r="A52" s="313">
        <v>1.0</v>
      </c>
      <c r="B52" s="355"/>
      <c r="C52" s="356"/>
      <c r="D52" s="181"/>
      <c r="E52" s="181"/>
      <c r="F52" s="182"/>
      <c r="G52" s="345"/>
      <c r="H52" s="182"/>
      <c r="I52" s="357"/>
      <c r="J52" s="275"/>
      <c r="K52" s="248"/>
      <c r="L52" s="248"/>
      <c r="M52" s="3"/>
      <c r="N52" s="3"/>
      <c r="O52" s="3"/>
      <c r="P52" s="264"/>
      <c r="Q52" s="330"/>
      <c r="R52" s="339"/>
      <c r="S52" s="255"/>
      <c r="T52" s="255"/>
      <c r="U52" s="255"/>
      <c r="V52" s="255"/>
      <c r="W52" s="332"/>
      <c r="X52" s="3"/>
      <c r="Y52" s="3"/>
      <c r="Z52" s="3"/>
      <c r="AA52" s="3"/>
      <c r="AB52" s="3"/>
      <c r="AC52" s="3"/>
    </row>
    <row r="53" ht="15.75" customHeight="1">
      <c r="A53" s="313">
        <v>2.0</v>
      </c>
      <c r="B53" s="355"/>
      <c r="C53" s="356"/>
      <c r="D53" s="181"/>
      <c r="E53" s="181"/>
      <c r="F53" s="182"/>
      <c r="G53" s="345"/>
      <c r="H53" s="182"/>
      <c r="I53" s="357"/>
      <c r="J53" s="275"/>
      <c r="K53" s="248"/>
      <c r="L53" s="248"/>
      <c r="M53" s="3"/>
      <c r="N53" s="3"/>
      <c r="O53" s="3"/>
      <c r="P53" s="264"/>
      <c r="Q53" s="330"/>
      <c r="R53" s="339"/>
      <c r="S53" s="255"/>
      <c r="T53" s="255"/>
      <c r="U53" s="255"/>
      <c r="V53" s="255"/>
      <c r="W53" s="332"/>
      <c r="X53" s="3"/>
      <c r="Y53" s="3"/>
      <c r="Z53" s="3"/>
      <c r="AA53" s="3"/>
      <c r="AB53" s="3"/>
      <c r="AC53" s="3"/>
    </row>
    <row r="54" ht="15.75" customHeight="1">
      <c r="A54" s="358"/>
      <c r="B54" s="359"/>
      <c r="C54" s="73"/>
      <c r="D54" s="73"/>
      <c r="E54" s="73"/>
      <c r="F54" s="360"/>
      <c r="G54" s="361"/>
      <c r="H54" s="362"/>
      <c r="I54" s="3"/>
      <c r="J54" s="3"/>
      <c r="K54" s="3"/>
      <c r="L54" s="3"/>
      <c r="M54" s="3"/>
      <c r="N54" s="3"/>
      <c r="O54" s="3"/>
      <c r="P54" s="264"/>
      <c r="Q54" s="330"/>
      <c r="R54" s="339"/>
      <c r="S54" s="255"/>
      <c r="T54" s="255"/>
      <c r="U54" s="255"/>
      <c r="V54" s="255"/>
      <c r="W54" s="332"/>
      <c r="X54" s="3"/>
      <c r="Y54" s="3"/>
      <c r="Z54" s="3"/>
      <c r="AA54" s="3"/>
      <c r="AB54" s="3"/>
      <c r="AC54" s="3"/>
    </row>
    <row r="55" ht="15.75" customHeight="1">
      <c r="A55" s="358"/>
      <c r="B55" s="359"/>
      <c r="C55" s="73"/>
      <c r="D55" s="73"/>
      <c r="E55" s="73"/>
      <c r="F55" s="360"/>
      <c r="G55" s="361"/>
      <c r="H55" s="362"/>
      <c r="I55" s="3"/>
      <c r="J55" s="3"/>
      <c r="K55" s="3"/>
      <c r="L55" s="3"/>
      <c r="M55" s="3"/>
      <c r="N55" s="3"/>
      <c r="O55" s="3"/>
      <c r="P55" s="264"/>
      <c r="Q55" s="330"/>
      <c r="R55" s="339"/>
      <c r="S55" s="255"/>
      <c r="T55" s="255"/>
      <c r="U55" s="255"/>
      <c r="V55" s="255"/>
      <c r="W55" s="332"/>
      <c r="X55" s="3"/>
      <c r="Y55" s="3"/>
      <c r="Z55" s="3"/>
      <c r="AA55" s="3"/>
      <c r="AB55" s="3"/>
      <c r="AC55" s="3"/>
    </row>
    <row r="56" ht="15.75" customHeight="1">
      <c r="A56" s="358"/>
      <c r="B56" s="359"/>
      <c r="C56" s="73"/>
      <c r="D56" s="73"/>
      <c r="E56" s="73"/>
      <c r="F56" s="360"/>
      <c r="G56" s="361"/>
      <c r="H56" s="362"/>
      <c r="I56" s="3"/>
      <c r="J56" s="3"/>
      <c r="K56" s="3"/>
      <c r="L56" s="3"/>
      <c r="M56" s="3"/>
      <c r="N56" s="3"/>
      <c r="O56" s="3"/>
      <c r="P56" s="264"/>
      <c r="Q56" s="330"/>
      <c r="R56" s="339"/>
      <c r="S56" s="255"/>
      <c r="T56" s="255"/>
      <c r="U56" s="255"/>
      <c r="V56" s="255"/>
      <c r="W56" s="332"/>
      <c r="X56" s="3"/>
      <c r="Y56" s="3"/>
      <c r="Z56" s="3"/>
      <c r="AA56" s="3"/>
      <c r="AB56" s="3"/>
      <c r="AC56" s="3"/>
    </row>
    <row r="57" ht="15.75" customHeight="1">
      <c r="A57" s="358"/>
      <c r="B57" s="359"/>
      <c r="C57" s="73"/>
      <c r="D57" s="73"/>
      <c r="E57" s="73"/>
      <c r="F57" s="360"/>
      <c r="G57" s="361"/>
      <c r="H57" s="362"/>
      <c r="I57" s="3"/>
      <c r="J57" s="3"/>
      <c r="K57" s="3"/>
      <c r="L57" s="3"/>
      <c r="M57" s="3"/>
      <c r="N57" s="3"/>
      <c r="O57" s="3"/>
      <c r="P57" s="264"/>
      <c r="Q57" s="330"/>
      <c r="R57" s="339"/>
      <c r="S57" s="255"/>
      <c r="T57" s="255"/>
      <c r="U57" s="255"/>
      <c r="V57" s="255"/>
      <c r="W57" s="332"/>
      <c r="X57" s="3"/>
      <c r="Y57" s="3"/>
      <c r="Z57" s="3"/>
      <c r="AA57" s="3"/>
      <c r="AB57" s="3"/>
      <c r="AC57" s="3"/>
    </row>
    <row r="58" ht="15.75" customHeight="1">
      <c r="A58" s="358"/>
      <c r="B58" s="359"/>
      <c r="C58" s="73"/>
      <c r="D58" s="73"/>
      <c r="E58" s="73"/>
      <c r="F58" s="360"/>
      <c r="G58" s="361"/>
      <c r="H58" s="362"/>
      <c r="I58" s="3"/>
      <c r="J58" s="3"/>
      <c r="K58" s="3"/>
      <c r="L58" s="3"/>
      <c r="M58" s="3"/>
      <c r="N58" s="3"/>
      <c r="O58" s="3"/>
      <c r="P58" s="264"/>
      <c r="Q58" s="330"/>
      <c r="R58" s="339"/>
      <c r="S58" s="255"/>
      <c r="T58" s="255"/>
      <c r="U58" s="255"/>
      <c r="V58" s="255"/>
      <c r="W58" s="332"/>
      <c r="X58" s="3"/>
      <c r="Y58" s="3"/>
      <c r="Z58" s="3"/>
      <c r="AA58" s="3"/>
      <c r="AB58" s="3"/>
      <c r="AC58" s="3"/>
    </row>
    <row r="59" ht="15.75" customHeight="1">
      <c r="A59" s="358"/>
      <c r="B59" s="359"/>
      <c r="C59" s="73"/>
      <c r="D59" s="73"/>
      <c r="E59" s="73"/>
      <c r="F59" s="360"/>
      <c r="G59" s="361"/>
      <c r="H59" s="362"/>
      <c r="I59" s="3"/>
      <c r="J59" s="3"/>
      <c r="K59" s="3"/>
      <c r="L59" s="3"/>
      <c r="M59" s="3"/>
      <c r="N59" s="3"/>
      <c r="O59" s="3"/>
      <c r="P59" s="264"/>
      <c r="Q59" s="330">
        <v>43866.0</v>
      </c>
      <c r="R59" s="339">
        <v>0.0</v>
      </c>
      <c r="S59" s="255">
        <v>0.0</v>
      </c>
      <c r="T59" s="255"/>
      <c r="U59" s="255"/>
      <c r="V59" s="255"/>
      <c r="W59" s="332"/>
      <c r="X59" s="3"/>
      <c r="Y59" s="3"/>
      <c r="Z59" s="3"/>
      <c r="AA59" s="3"/>
      <c r="AB59" s="3"/>
      <c r="AC59" s="3"/>
    </row>
    <row r="60" ht="15.75" customHeight="1">
      <c r="A60" s="358"/>
      <c r="B60" s="73"/>
      <c r="C60" s="73"/>
      <c r="D60" s="73"/>
      <c r="E60" s="73"/>
      <c r="F60" s="360"/>
      <c r="G60" s="73"/>
      <c r="H60" s="3"/>
      <c r="I60" s="3"/>
      <c r="J60" s="3"/>
      <c r="K60" s="3"/>
      <c r="L60" s="3"/>
      <c r="M60" s="3"/>
      <c r="N60" s="3"/>
      <c r="O60" s="3"/>
      <c r="P60" s="264"/>
      <c r="Q60" s="330">
        <v>43867.0</v>
      </c>
      <c r="R60" s="339">
        <v>0.0</v>
      </c>
      <c r="S60" s="255">
        <v>0.0</v>
      </c>
      <c r="T60" s="255"/>
      <c r="U60" s="255"/>
      <c r="V60" s="255"/>
      <c r="W60" s="332"/>
      <c r="X60" s="3"/>
      <c r="Y60" s="3"/>
      <c r="Z60" s="3"/>
      <c r="AA60" s="3"/>
      <c r="AB60" s="3"/>
      <c r="AC60" s="3"/>
    </row>
    <row r="61" ht="15.75" customHeight="1">
      <c r="A61" s="358"/>
      <c r="B61" s="73"/>
      <c r="C61" s="73"/>
      <c r="D61" s="73"/>
      <c r="E61" s="73"/>
      <c r="F61" s="360"/>
      <c r="G61" s="73"/>
      <c r="H61" s="3"/>
      <c r="I61" s="3"/>
      <c r="J61" s="3"/>
      <c r="K61" s="3"/>
      <c r="L61" s="3"/>
      <c r="M61" s="3"/>
      <c r="N61" s="3"/>
      <c r="O61" s="3"/>
      <c r="P61" s="264"/>
      <c r="Q61" s="330">
        <v>43868.0</v>
      </c>
      <c r="R61" s="339">
        <v>0.0</v>
      </c>
      <c r="S61" s="255">
        <v>0.0</v>
      </c>
      <c r="T61" s="255"/>
      <c r="U61" s="255"/>
      <c r="V61" s="255"/>
      <c r="W61" s="332"/>
      <c r="X61" s="3"/>
      <c r="Y61" s="3"/>
      <c r="Z61" s="3"/>
      <c r="AA61" s="3"/>
      <c r="AB61" s="3"/>
      <c r="AC61" s="3"/>
    </row>
    <row r="62" ht="15.75" customHeight="1">
      <c r="A62" s="358"/>
      <c r="B62" s="73"/>
      <c r="C62" s="73"/>
      <c r="D62" s="73"/>
      <c r="E62" s="73"/>
      <c r="F62" s="360"/>
      <c r="G62" s="73"/>
      <c r="H62" s="3"/>
      <c r="I62" s="3"/>
      <c r="J62" s="3"/>
      <c r="K62" s="3"/>
      <c r="L62" s="3"/>
      <c r="M62" s="3"/>
      <c r="N62" s="3"/>
      <c r="O62" s="3"/>
      <c r="P62" s="264"/>
      <c r="Q62" s="330">
        <v>43869.0</v>
      </c>
      <c r="R62" s="339">
        <v>0.0</v>
      </c>
      <c r="S62" s="255">
        <v>0.0</v>
      </c>
      <c r="T62" s="255"/>
      <c r="U62" s="255"/>
      <c r="V62" s="255"/>
      <c r="W62" s="332"/>
      <c r="X62" s="3"/>
      <c r="Y62" s="3"/>
      <c r="Z62" s="3"/>
      <c r="AA62" s="3"/>
      <c r="AB62" s="3"/>
      <c r="AC62" s="3"/>
    </row>
    <row r="63" ht="15.75" customHeight="1">
      <c r="A63" s="3"/>
      <c r="B63" s="3"/>
      <c r="C63" s="3"/>
      <c r="D63" s="3"/>
      <c r="E63" s="3"/>
      <c r="F63" s="3"/>
      <c r="G63" s="3"/>
      <c r="H63" s="3"/>
      <c r="I63" s="3"/>
      <c r="J63" s="3"/>
      <c r="K63" s="3"/>
      <c r="L63" s="3"/>
      <c r="M63" s="3"/>
      <c r="N63" s="3"/>
      <c r="O63" s="3"/>
      <c r="P63" s="264"/>
      <c r="Q63" s="330">
        <v>43870.0</v>
      </c>
      <c r="R63" s="339">
        <v>0.0</v>
      </c>
      <c r="S63" s="255">
        <v>0.0</v>
      </c>
      <c r="T63" s="255"/>
      <c r="U63" s="255"/>
      <c r="V63" s="255"/>
      <c r="W63" s="332"/>
      <c r="X63" s="3"/>
      <c r="Y63" s="3"/>
      <c r="Z63" s="3"/>
      <c r="AA63" s="3"/>
      <c r="AB63" s="3"/>
      <c r="AC63" s="3"/>
    </row>
    <row r="64" ht="15.75" customHeight="1">
      <c r="A64" s="3"/>
      <c r="B64" s="3"/>
      <c r="C64" s="3"/>
      <c r="D64" s="3"/>
      <c r="E64" s="3"/>
      <c r="F64" s="3"/>
      <c r="G64" s="3"/>
      <c r="H64" s="3"/>
      <c r="I64" s="3"/>
      <c r="J64" s="3"/>
      <c r="K64" s="3"/>
      <c r="L64" s="3"/>
      <c r="M64" s="3"/>
      <c r="N64" s="3"/>
      <c r="O64" s="3"/>
      <c r="P64" s="264"/>
      <c r="Q64" s="330">
        <v>43871.0</v>
      </c>
      <c r="R64" s="339">
        <v>10.0</v>
      </c>
      <c r="S64" s="255">
        <v>0.0</v>
      </c>
      <c r="T64" s="255"/>
      <c r="U64" s="255"/>
      <c r="V64" s="255"/>
      <c r="W64" s="332"/>
      <c r="X64" s="3"/>
      <c r="Y64" s="3"/>
      <c r="Z64" s="3"/>
      <c r="AA64" s="3"/>
      <c r="AB64" s="3"/>
      <c r="AC64" s="3"/>
    </row>
    <row r="65" ht="15.75" customHeight="1">
      <c r="A65" s="3"/>
      <c r="B65" s="3"/>
      <c r="C65" s="3"/>
      <c r="D65" s="3"/>
      <c r="E65" s="3"/>
      <c r="F65" s="3"/>
      <c r="G65" s="3"/>
      <c r="H65" s="3"/>
      <c r="I65" s="3"/>
      <c r="J65" s="3"/>
      <c r="K65" s="3"/>
      <c r="L65" s="3"/>
      <c r="M65" s="3"/>
      <c r="N65" s="3"/>
      <c r="O65" s="3"/>
      <c r="P65" s="264"/>
      <c r="Q65" s="330">
        <v>43872.0</v>
      </c>
      <c r="R65" s="339">
        <v>21.0</v>
      </c>
      <c r="S65" s="255">
        <v>0.0</v>
      </c>
      <c r="T65" s="255"/>
      <c r="U65" s="255"/>
      <c r="V65" s="255"/>
      <c r="W65" s="332"/>
      <c r="X65" s="3"/>
      <c r="Y65" s="3"/>
      <c r="Z65" s="3"/>
      <c r="AA65" s="3"/>
      <c r="AB65" s="3"/>
      <c r="AC65" s="3"/>
    </row>
    <row r="66" ht="15.75" customHeight="1">
      <c r="A66" s="3"/>
      <c r="B66" s="3"/>
      <c r="C66" s="3"/>
      <c r="D66" s="3"/>
      <c r="E66" s="3"/>
      <c r="F66" s="3"/>
      <c r="G66" s="3"/>
      <c r="H66" s="3"/>
      <c r="I66" s="3"/>
      <c r="J66" s="3"/>
      <c r="K66" s="3"/>
      <c r="L66" s="3"/>
      <c r="M66" s="3"/>
      <c r="N66" s="3"/>
      <c r="O66" s="3"/>
      <c r="P66" s="264"/>
      <c r="Q66" s="330">
        <v>43873.0</v>
      </c>
      <c r="R66" s="339">
        <v>32.0</v>
      </c>
      <c r="S66" s="255">
        <v>0.0</v>
      </c>
      <c r="T66" s="255"/>
      <c r="U66" s="255"/>
      <c r="V66" s="255"/>
      <c r="W66" s="332"/>
      <c r="X66" s="3"/>
      <c r="Y66" s="3"/>
      <c r="Z66" s="3"/>
      <c r="AA66" s="3"/>
      <c r="AB66" s="3"/>
      <c r="AC66" s="3"/>
    </row>
    <row r="67" ht="15.75" customHeight="1">
      <c r="A67" s="3"/>
      <c r="B67" s="3"/>
      <c r="C67" s="3"/>
      <c r="D67" s="3"/>
      <c r="E67" s="3"/>
      <c r="F67" s="3"/>
      <c r="G67" s="3"/>
      <c r="H67" s="3"/>
      <c r="I67" s="3"/>
      <c r="J67" s="3"/>
      <c r="K67" s="3"/>
      <c r="L67" s="3"/>
      <c r="M67" s="3"/>
      <c r="N67" s="3"/>
      <c r="O67" s="3"/>
      <c r="P67" s="264"/>
      <c r="Q67" s="330">
        <v>43874.0</v>
      </c>
      <c r="R67" s="255">
        <v>43.0</v>
      </c>
      <c r="S67" s="255">
        <v>0.0</v>
      </c>
      <c r="T67" s="255"/>
      <c r="U67" s="255"/>
      <c r="V67" s="255"/>
      <c r="W67" s="332"/>
      <c r="X67" s="3"/>
      <c r="Y67" s="3"/>
      <c r="Z67" s="3"/>
      <c r="AA67" s="3"/>
      <c r="AB67" s="3"/>
      <c r="AC67" s="3"/>
    </row>
    <row r="68" ht="15.75" customHeight="1">
      <c r="A68" s="3"/>
      <c r="B68" s="3"/>
      <c r="C68" s="3"/>
      <c r="D68" s="3"/>
      <c r="E68" s="3"/>
      <c r="F68" s="3"/>
      <c r="G68" s="3"/>
      <c r="H68" s="3"/>
      <c r="I68" s="3"/>
      <c r="J68" s="3"/>
      <c r="K68" s="3"/>
      <c r="L68" s="3"/>
      <c r="M68" s="3"/>
      <c r="N68" s="3"/>
      <c r="O68" s="3"/>
      <c r="P68" s="264"/>
      <c r="Q68" s="330">
        <v>43875.0</v>
      </c>
      <c r="R68" s="255">
        <v>52.0</v>
      </c>
      <c r="S68" s="255">
        <v>0.0</v>
      </c>
      <c r="T68" s="255"/>
      <c r="U68" s="255"/>
      <c r="V68" s="255"/>
      <c r="W68" s="332"/>
      <c r="X68" s="3"/>
      <c r="Y68" s="3"/>
      <c r="Z68" s="3"/>
      <c r="AA68" s="3"/>
      <c r="AB68" s="3"/>
      <c r="AC68" s="3"/>
    </row>
    <row r="69" ht="15.75" customHeight="1">
      <c r="A69" s="3"/>
      <c r="B69" s="3"/>
      <c r="C69" s="3"/>
      <c r="D69" s="3"/>
      <c r="E69" s="3"/>
      <c r="F69" s="3"/>
      <c r="G69" s="3"/>
      <c r="H69" s="3"/>
      <c r="I69" s="3"/>
      <c r="J69" s="3"/>
      <c r="K69" s="3"/>
      <c r="L69" s="3"/>
      <c r="M69" s="3"/>
      <c r="N69" s="3"/>
      <c r="O69" s="3"/>
      <c r="P69" s="264"/>
      <c r="Q69" s="330"/>
      <c r="R69" s="255"/>
      <c r="S69" s="255"/>
      <c r="T69" s="255"/>
      <c r="U69" s="255"/>
      <c r="V69" s="255"/>
      <c r="W69" s="332"/>
      <c r="X69" s="3"/>
      <c r="Y69" s="3"/>
      <c r="Z69" s="3"/>
      <c r="AA69" s="3"/>
      <c r="AB69" s="3"/>
      <c r="AC69" s="3"/>
    </row>
    <row r="70" ht="15.75" customHeight="1">
      <c r="A70" s="3"/>
      <c r="B70" s="3"/>
      <c r="C70" s="3"/>
      <c r="D70" s="3"/>
      <c r="E70" s="3"/>
      <c r="F70" s="3"/>
      <c r="G70" s="3"/>
      <c r="H70" s="3"/>
      <c r="I70" s="3"/>
      <c r="J70" s="3"/>
      <c r="K70" s="3"/>
      <c r="L70" s="3"/>
      <c r="M70" s="3"/>
      <c r="N70" s="3"/>
      <c r="O70" s="3"/>
      <c r="P70" s="264"/>
      <c r="Q70" s="330"/>
      <c r="R70" s="255"/>
      <c r="S70" s="255"/>
      <c r="T70" s="255"/>
      <c r="U70" s="255"/>
      <c r="V70" s="255"/>
      <c r="W70" s="332"/>
      <c r="X70" s="3"/>
      <c r="Y70" s="3"/>
      <c r="Z70" s="3"/>
      <c r="AA70" s="3"/>
      <c r="AB70" s="3"/>
      <c r="AC70" s="3"/>
    </row>
    <row r="71" ht="15.75" customHeight="1">
      <c r="A71" s="363"/>
      <c r="B71" s="364"/>
      <c r="C71" s="15"/>
      <c r="D71" s="16"/>
      <c r="E71" s="365"/>
      <c r="F71" s="15"/>
      <c r="G71" s="15"/>
      <c r="H71" s="15"/>
      <c r="I71" s="15"/>
      <c r="J71" s="15"/>
      <c r="K71" s="16"/>
      <c r="L71" s="3"/>
      <c r="M71" s="3"/>
      <c r="N71" s="3"/>
      <c r="O71" s="3"/>
      <c r="P71" s="264"/>
      <c r="Q71" s="330"/>
      <c r="R71" s="255"/>
      <c r="S71" s="255"/>
      <c r="T71" s="255"/>
      <c r="U71" s="255"/>
      <c r="V71" s="255"/>
      <c r="W71" s="332"/>
      <c r="X71" s="3"/>
      <c r="Y71" s="3"/>
      <c r="Z71" s="3"/>
      <c r="AA71" s="3"/>
      <c r="AB71" s="3"/>
      <c r="AC71" s="3"/>
    </row>
    <row r="72" ht="15.75" customHeight="1">
      <c r="A72" s="363"/>
      <c r="B72" s="364"/>
      <c r="C72" s="15"/>
      <c r="D72" s="16"/>
      <c r="E72" s="366"/>
      <c r="F72" s="15"/>
      <c r="G72" s="15"/>
      <c r="H72" s="15"/>
      <c r="I72" s="15"/>
      <c r="J72" s="15"/>
      <c r="K72" s="16"/>
      <c r="L72" s="3"/>
      <c r="M72" s="3"/>
      <c r="N72" s="3"/>
      <c r="O72" s="3"/>
      <c r="P72" s="264"/>
      <c r="Q72" s="330"/>
      <c r="R72" s="255"/>
      <c r="S72" s="255"/>
      <c r="T72" s="255"/>
      <c r="U72" s="255"/>
      <c r="V72" s="255"/>
      <c r="W72" s="332"/>
      <c r="X72" s="3"/>
      <c r="Y72" s="3"/>
      <c r="Z72" s="3"/>
      <c r="AA72" s="3"/>
      <c r="AB72" s="3"/>
      <c r="AC72" s="3"/>
    </row>
    <row r="73" ht="15.75" customHeight="1">
      <c r="A73" s="3"/>
      <c r="B73" s="3"/>
      <c r="C73" s="3"/>
      <c r="D73" s="3"/>
      <c r="E73" s="3"/>
      <c r="F73" s="3"/>
      <c r="G73" s="3"/>
      <c r="H73" s="3"/>
      <c r="I73" s="3"/>
      <c r="J73" s="3"/>
      <c r="K73" s="3"/>
      <c r="L73" s="3"/>
      <c r="M73" s="3"/>
      <c r="N73" s="3"/>
      <c r="O73" s="3"/>
      <c r="P73" s="264"/>
      <c r="Q73" s="330"/>
      <c r="R73" s="255"/>
      <c r="S73" s="255"/>
      <c r="T73" s="255"/>
      <c r="U73" s="255"/>
      <c r="V73" s="255"/>
      <c r="W73" s="332"/>
      <c r="X73" s="3"/>
      <c r="Y73" s="3"/>
      <c r="Z73" s="3"/>
      <c r="AA73" s="3"/>
      <c r="AB73" s="3"/>
      <c r="AC73" s="3"/>
    </row>
    <row r="74" ht="15.75" customHeight="1">
      <c r="A74" s="3"/>
      <c r="B74" s="3"/>
      <c r="C74" s="3"/>
      <c r="D74" s="3"/>
      <c r="E74" s="3"/>
      <c r="F74" s="3"/>
      <c r="G74" s="3"/>
      <c r="H74" s="3"/>
      <c r="I74" s="3"/>
      <c r="J74" s="3"/>
      <c r="K74" s="3"/>
      <c r="L74" s="3"/>
      <c r="M74" s="3"/>
      <c r="N74" s="3"/>
      <c r="O74" s="3"/>
      <c r="P74" s="264"/>
      <c r="Q74" s="330"/>
      <c r="R74" s="255"/>
      <c r="S74" s="255"/>
      <c r="T74" s="255"/>
      <c r="U74" s="255"/>
      <c r="V74" s="255"/>
      <c r="W74" s="332"/>
      <c r="X74" s="3"/>
      <c r="Y74" s="3"/>
      <c r="Z74" s="3"/>
      <c r="AA74" s="3"/>
      <c r="AB74" s="3"/>
      <c r="AC74" s="3"/>
    </row>
    <row r="75" ht="15.75" customHeight="1">
      <c r="A75" s="256"/>
      <c r="B75" s="3"/>
      <c r="C75" s="3"/>
      <c r="D75" s="3"/>
      <c r="E75" s="3"/>
      <c r="F75" s="3"/>
      <c r="G75" s="3"/>
      <c r="H75" s="3"/>
      <c r="I75" s="3"/>
      <c r="J75" s="3"/>
      <c r="K75" s="3"/>
      <c r="L75" s="3"/>
      <c r="M75" s="3"/>
      <c r="N75" s="3"/>
      <c r="O75" s="3"/>
      <c r="P75" s="264"/>
      <c r="Q75" s="264"/>
      <c r="R75" s="264"/>
      <c r="S75" s="264"/>
      <c r="T75" s="264"/>
      <c r="U75" s="264"/>
      <c r="V75" s="264"/>
      <c r="W75" s="3"/>
      <c r="X75" s="3"/>
      <c r="Y75" s="3"/>
      <c r="Z75" s="3"/>
      <c r="AA75" s="3"/>
      <c r="AB75" s="3"/>
      <c r="AC75" s="3"/>
    </row>
    <row r="76" ht="15.75" customHeight="1">
      <c r="A76" s="367"/>
      <c r="B76" s="3"/>
      <c r="C76" s="3"/>
      <c r="D76" s="3"/>
      <c r="E76" s="3"/>
      <c r="F76" s="3"/>
      <c r="G76" s="3"/>
      <c r="H76" s="3"/>
      <c r="I76" s="3"/>
      <c r="J76" s="3"/>
      <c r="K76" s="3"/>
      <c r="L76" s="3"/>
      <c r="M76" s="3"/>
      <c r="N76" s="3"/>
      <c r="O76" s="3"/>
      <c r="P76" s="264"/>
      <c r="Q76" s="264"/>
      <c r="R76" s="264"/>
      <c r="S76" s="264"/>
      <c r="T76" s="264"/>
      <c r="U76" s="264"/>
      <c r="V76" s="264"/>
      <c r="W76" s="3"/>
      <c r="X76" s="3"/>
      <c r="Y76" s="3"/>
      <c r="Z76" s="3"/>
      <c r="AA76" s="3"/>
      <c r="AB76" s="3"/>
      <c r="AC76" s="3"/>
    </row>
    <row r="77" ht="15.75" customHeight="1">
      <c r="A77" s="367"/>
      <c r="B77" s="3"/>
      <c r="C77" s="3"/>
      <c r="D77" s="3"/>
      <c r="E77" s="3"/>
      <c r="F77" s="3"/>
      <c r="G77" s="3"/>
      <c r="H77" s="3"/>
      <c r="I77" s="3"/>
      <c r="J77" s="3"/>
      <c r="K77" s="3"/>
      <c r="L77" s="3"/>
      <c r="M77" s="3"/>
      <c r="N77" s="3"/>
      <c r="O77" s="3"/>
      <c r="P77" s="264"/>
      <c r="Q77" s="264"/>
      <c r="R77" s="264"/>
      <c r="S77" s="264"/>
      <c r="T77" s="264"/>
      <c r="U77" s="264"/>
      <c r="V77" s="264"/>
      <c r="W77" s="3"/>
      <c r="X77" s="3"/>
      <c r="Y77" s="3"/>
      <c r="Z77" s="3"/>
      <c r="AA77" s="3"/>
      <c r="AB77" s="3"/>
      <c r="AC77" s="3"/>
    </row>
    <row r="78" ht="15.75" customHeight="1">
      <c r="A78" s="367"/>
      <c r="B78" s="3"/>
      <c r="C78" s="3"/>
      <c r="D78" s="3"/>
      <c r="E78" s="3"/>
      <c r="F78" s="3"/>
      <c r="G78" s="3"/>
      <c r="H78" s="3"/>
      <c r="I78" s="3"/>
      <c r="J78" s="3"/>
      <c r="K78" s="3"/>
      <c r="L78" s="3"/>
      <c r="M78" s="3"/>
      <c r="N78" s="3"/>
      <c r="O78" s="3"/>
      <c r="P78" s="264"/>
      <c r="Q78" s="264"/>
      <c r="R78" s="264"/>
      <c r="S78" s="264"/>
      <c r="T78" s="264"/>
      <c r="U78" s="264"/>
      <c r="V78" s="264"/>
      <c r="W78" s="3"/>
      <c r="X78" s="3"/>
      <c r="Y78" s="3"/>
      <c r="Z78" s="3"/>
      <c r="AA78" s="3"/>
      <c r="AB78" s="3"/>
      <c r="AC78" s="3"/>
    </row>
    <row r="79" ht="15.75" customHeight="1">
      <c r="A79" s="367"/>
      <c r="B79" s="3"/>
      <c r="C79" s="3"/>
      <c r="D79" s="3"/>
      <c r="E79" s="3"/>
      <c r="F79" s="3"/>
      <c r="G79" s="3"/>
      <c r="H79" s="3"/>
      <c r="I79" s="3"/>
      <c r="J79" s="3"/>
      <c r="K79" s="3"/>
      <c r="L79" s="3"/>
      <c r="M79" s="3"/>
      <c r="N79" s="3"/>
      <c r="O79" s="3"/>
      <c r="P79" s="264"/>
      <c r="Q79" s="264"/>
      <c r="R79" s="264"/>
      <c r="S79" s="264"/>
      <c r="T79" s="264"/>
      <c r="U79" s="264"/>
      <c r="V79" s="264"/>
      <c r="W79" s="3"/>
      <c r="X79" s="3"/>
      <c r="Y79" s="3"/>
      <c r="Z79" s="3"/>
      <c r="AA79" s="3"/>
      <c r="AB79" s="3"/>
      <c r="AC79" s="3"/>
    </row>
    <row r="80" ht="15.75" customHeight="1">
      <c r="A80" s="367"/>
      <c r="B80" s="3"/>
      <c r="C80" s="3"/>
      <c r="D80" s="3"/>
      <c r="E80" s="3"/>
      <c r="F80" s="3"/>
      <c r="G80" s="3"/>
      <c r="H80" s="3"/>
      <c r="I80" s="3"/>
      <c r="J80" s="3"/>
      <c r="K80" s="3"/>
      <c r="L80" s="3"/>
      <c r="M80" s="3"/>
      <c r="N80" s="3"/>
      <c r="O80" s="3"/>
      <c r="P80" s="264"/>
      <c r="Q80" s="264"/>
      <c r="R80" s="264"/>
      <c r="S80" s="264"/>
      <c r="T80" s="264"/>
      <c r="U80" s="264"/>
      <c r="V80" s="264"/>
      <c r="W80" s="3"/>
      <c r="X80" s="3"/>
      <c r="Y80" s="3"/>
      <c r="Z80" s="3"/>
      <c r="AA80" s="3"/>
      <c r="AB80" s="3"/>
      <c r="AC80" s="3"/>
    </row>
    <row r="81" ht="15.75" customHeight="1">
      <c r="A81" s="367"/>
      <c r="B81" s="3"/>
      <c r="C81" s="3"/>
      <c r="D81" s="3"/>
      <c r="E81" s="3"/>
      <c r="F81" s="3"/>
      <c r="G81" s="3"/>
      <c r="H81" s="3"/>
      <c r="I81" s="3"/>
      <c r="J81" s="3"/>
      <c r="K81" s="3"/>
      <c r="L81" s="3"/>
      <c r="M81" s="3"/>
      <c r="N81" s="3"/>
      <c r="O81" s="3"/>
      <c r="P81" s="264"/>
      <c r="Q81" s="264"/>
      <c r="R81" s="264"/>
      <c r="S81" s="264"/>
      <c r="T81" s="264"/>
      <c r="U81" s="264"/>
      <c r="V81" s="264"/>
      <c r="W81" s="3"/>
      <c r="X81" s="3"/>
      <c r="Y81" s="3"/>
      <c r="Z81" s="3"/>
      <c r="AA81" s="3"/>
      <c r="AB81" s="3"/>
      <c r="AC81" s="3"/>
    </row>
    <row r="82" ht="15.75" customHeight="1">
      <c r="A82" s="367"/>
      <c r="B82" s="3"/>
      <c r="C82" s="3"/>
      <c r="D82" s="3"/>
      <c r="E82" s="3"/>
      <c r="F82" s="3"/>
      <c r="G82" s="3"/>
      <c r="H82" s="3"/>
      <c r="I82" s="3"/>
      <c r="J82" s="3"/>
      <c r="K82" s="3"/>
      <c r="L82" s="3"/>
      <c r="M82" s="3"/>
      <c r="N82" s="3"/>
      <c r="O82" s="3"/>
      <c r="P82" s="264"/>
      <c r="Q82" s="264"/>
      <c r="R82" s="264"/>
      <c r="S82" s="264"/>
      <c r="T82" s="264"/>
      <c r="U82" s="264"/>
      <c r="V82" s="264"/>
      <c r="W82" s="3"/>
      <c r="X82" s="3"/>
      <c r="Y82" s="3"/>
      <c r="Z82" s="3"/>
      <c r="AA82" s="3"/>
      <c r="AB82" s="3"/>
      <c r="AC82" s="3"/>
    </row>
    <row r="83" ht="15.75" customHeight="1">
      <c r="A83" s="367"/>
      <c r="B83" s="3"/>
      <c r="C83" s="3"/>
      <c r="D83" s="3"/>
      <c r="E83" s="3"/>
      <c r="F83" s="3"/>
      <c r="G83" s="3"/>
      <c r="H83" s="3"/>
      <c r="I83" s="3"/>
      <c r="J83" s="3"/>
      <c r="K83" s="3"/>
      <c r="L83" s="3"/>
      <c r="M83" s="3"/>
      <c r="N83" s="3"/>
      <c r="O83" s="3"/>
      <c r="P83" s="264"/>
      <c r="Q83" s="264"/>
      <c r="R83" s="264"/>
      <c r="S83" s="264"/>
      <c r="T83" s="264"/>
      <c r="U83" s="264"/>
      <c r="V83" s="264"/>
      <c r="W83" s="3"/>
      <c r="X83" s="3"/>
      <c r="Y83" s="3"/>
      <c r="Z83" s="3"/>
      <c r="AA83" s="3"/>
      <c r="AB83" s="3"/>
      <c r="AC83" s="3"/>
    </row>
    <row r="84" ht="15.75" customHeight="1">
      <c r="A84" s="367"/>
      <c r="B84" s="3"/>
      <c r="C84" s="3"/>
      <c r="D84" s="3"/>
      <c r="E84" s="3"/>
      <c r="F84" s="3"/>
      <c r="G84" s="3"/>
      <c r="H84" s="3"/>
      <c r="I84" s="3"/>
      <c r="J84" s="3"/>
      <c r="K84" s="3"/>
      <c r="L84" s="3"/>
      <c r="M84" s="3"/>
      <c r="N84" s="3"/>
      <c r="O84" s="3"/>
      <c r="P84" s="264"/>
      <c r="Q84" s="264"/>
      <c r="R84" s="264"/>
      <c r="S84" s="264"/>
      <c r="T84" s="264"/>
      <c r="U84" s="264"/>
      <c r="V84" s="264"/>
      <c r="W84" s="3"/>
      <c r="X84" s="3"/>
      <c r="Y84" s="3"/>
      <c r="Z84" s="3"/>
      <c r="AA84" s="3"/>
      <c r="AB84" s="3"/>
      <c r="AC84" s="3"/>
    </row>
    <row r="85" ht="15.75" customHeight="1">
      <c r="A85" s="367"/>
      <c r="B85" s="3"/>
      <c r="C85" s="3"/>
      <c r="D85" s="3"/>
      <c r="E85" s="3"/>
      <c r="F85" s="3"/>
      <c r="G85" s="3"/>
      <c r="H85" s="3"/>
      <c r="I85" s="3"/>
      <c r="J85" s="3"/>
      <c r="K85" s="3"/>
      <c r="L85" s="3"/>
      <c r="M85" s="3"/>
      <c r="N85" s="3"/>
      <c r="O85" s="3"/>
      <c r="P85" s="264"/>
      <c r="Q85" s="264"/>
      <c r="R85" s="264"/>
      <c r="S85" s="264"/>
      <c r="T85" s="264"/>
      <c r="U85" s="264"/>
      <c r="V85" s="264"/>
      <c r="W85" s="3"/>
      <c r="X85" s="3"/>
      <c r="Y85" s="3"/>
      <c r="Z85" s="3"/>
      <c r="AA85" s="3"/>
      <c r="AB85" s="3"/>
      <c r="AC85" s="3"/>
    </row>
    <row r="86" ht="15.75" customHeight="1">
      <c r="A86" s="367"/>
      <c r="B86" s="3"/>
      <c r="C86" s="3"/>
      <c r="D86" s="3"/>
      <c r="E86" s="3"/>
      <c r="F86" s="3"/>
      <c r="G86" s="3"/>
      <c r="H86" s="3"/>
      <c r="I86" s="3"/>
      <c r="J86" s="3"/>
      <c r="K86" s="3"/>
      <c r="L86" s="3"/>
      <c r="M86" s="3"/>
      <c r="N86" s="3"/>
      <c r="O86" s="3"/>
      <c r="P86" s="264"/>
      <c r="Q86" s="264"/>
      <c r="R86" s="264"/>
      <c r="S86" s="264"/>
      <c r="T86" s="264"/>
      <c r="U86" s="264"/>
      <c r="V86" s="264"/>
      <c r="W86" s="3"/>
      <c r="X86" s="3"/>
      <c r="Y86" s="3"/>
      <c r="Z86" s="3"/>
      <c r="AA86" s="3"/>
      <c r="AB86" s="3"/>
      <c r="AC86" s="3"/>
    </row>
    <row r="87" ht="15.75" customHeight="1">
      <c r="A87" s="367"/>
      <c r="B87" s="3"/>
      <c r="C87" s="3"/>
      <c r="D87" s="3"/>
      <c r="E87" s="3"/>
      <c r="F87" s="3"/>
      <c r="G87" s="3"/>
      <c r="H87" s="3"/>
      <c r="I87" s="3"/>
      <c r="J87" s="3"/>
      <c r="K87" s="3"/>
      <c r="L87" s="3"/>
      <c r="M87" s="3"/>
      <c r="N87" s="3"/>
      <c r="O87" s="3"/>
      <c r="P87" s="264"/>
      <c r="Q87" s="264"/>
      <c r="R87" s="264"/>
      <c r="S87" s="264"/>
      <c r="T87" s="264"/>
      <c r="U87" s="264"/>
      <c r="V87" s="264"/>
      <c r="W87" s="3"/>
      <c r="X87" s="3"/>
      <c r="Y87" s="3"/>
      <c r="Z87" s="3"/>
      <c r="AA87" s="3"/>
      <c r="AB87" s="3"/>
      <c r="AC87" s="3"/>
    </row>
    <row r="88" ht="15.75" customHeight="1">
      <c r="A88" s="367"/>
      <c r="B88" s="3"/>
      <c r="C88" s="3"/>
      <c r="D88" s="3"/>
      <c r="E88" s="3"/>
      <c r="F88" s="3"/>
      <c r="G88" s="3"/>
      <c r="H88" s="3"/>
      <c r="I88" s="3"/>
      <c r="J88" s="3"/>
      <c r="K88" s="3"/>
      <c r="L88" s="3"/>
      <c r="M88" s="3"/>
      <c r="N88" s="3"/>
      <c r="O88" s="3"/>
      <c r="P88" s="264"/>
      <c r="Q88" s="264"/>
      <c r="R88" s="264"/>
      <c r="S88" s="264"/>
      <c r="T88" s="264"/>
      <c r="U88" s="264"/>
      <c r="V88" s="264"/>
      <c r="W88" s="3"/>
      <c r="X88" s="3"/>
      <c r="Y88" s="3"/>
      <c r="Z88" s="3"/>
      <c r="AA88" s="3"/>
      <c r="AB88" s="3"/>
      <c r="AC88" s="3"/>
    </row>
    <row r="89" ht="15.75" customHeight="1">
      <c r="A89" s="367"/>
      <c r="B89" s="3"/>
      <c r="C89" s="3"/>
      <c r="D89" s="3"/>
      <c r="E89" s="3"/>
      <c r="F89" s="3"/>
      <c r="G89" s="3"/>
      <c r="H89" s="3"/>
      <c r="I89" s="3"/>
      <c r="J89" s="3"/>
      <c r="K89" s="3"/>
      <c r="L89" s="3"/>
      <c r="M89" s="3"/>
      <c r="N89" s="3"/>
      <c r="O89" s="3"/>
      <c r="P89" s="264"/>
      <c r="Q89" s="264"/>
      <c r="R89" s="264"/>
      <c r="S89" s="264"/>
      <c r="T89" s="264"/>
      <c r="U89" s="264"/>
      <c r="V89" s="264"/>
      <c r="W89" s="3"/>
      <c r="X89" s="3"/>
      <c r="Y89" s="3"/>
      <c r="Z89" s="3"/>
      <c r="AA89" s="3"/>
      <c r="AB89" s="3"/>
      <c r="AC89" s="3"/>
    </row>
    <row r="90" ht="15.75" customHeight="1">
      <c r="A90" s="367"/>
      <c r="B90" s="3"/>
      <c r="C90" s="3"/>
      <c r="D90" s="3"/>
      <c r="E90" s="3"/>
      <c r="F90" s="3"/>
      <c r="G90" s="3"/>
      <c r="H90" s="3"/>
      <c r="I90" s="3"/>
      <c r="J90" s="3"/>
      <c r="K90" s="3"/>
      <c r="L90" s="3"/>
      <c r="M90" s="3"/>
      <c r="N90" s="3"/>
      <c r="O90" s="3"/>
      <c r="P90" s="264"/>
      <c r="Q90" s="264"/>
      <c r="R90" s="264"/>
      <c r="S90" s="264"/>
      <c r="T90" s="264"/>
      <c r="U90" s="264"/>
      <c r="V90" s="264"/>
      <c r="W90" s="3"/>
      <c r="X90" s="3"/>
      <c r="Y90" s="3"/>
      <c r="Z90" s="3"/>
      <c r="AA90" s="3"/>
      <c r="AB90" s="3"/>
      <c r="AC90" s="3"/>
    </row>
    <row r="91" ht="15.75" customHeight="1">
      <c r="A91" s="368"/>
      <c r="B91" s="3"/>
      <c r="C91" s="3"/>
      <c r="D91" s="3"/>
      <c r="E91" s="3"/>
      <c r="F91" s="3"/>
      <c r="G91" s="3"/>
      <c r="H91" s="3"/>
      <c r="I91" s="3"/>
      <c r="J91" s="3"/>
      <c r="K91" s="3"/>
      <c r="L91" s="3"/>
      <c r="M91" s="3"/>
      <c r="N91" s="3"/>
      <c r="O91" s="3"/>
      <c r="P91" s="264"/>
      <c r="Q91" s="264"/>
      <c r="R91" s="264"/>
      <c r="S91" s="264"/>
      <c r="T91" s="264"/>
      <c r="U91" s="264"/>
      <c r="V91" s="264"/>
      <c r="W91" s="3"/>
      <c r="X91" s="3"/>
      <c r="Y91" s="3"/>
      <c r="Z91" s="3"/>
      <c r="AA91" s="3"/>
      <c r="AB91" s="3"/>
      <c r="AC91" s="3"/>
    </row>
    <row r="92" ht="15.75" customHeight="1">
      <c r="A92" s="368"/>
      <c r="B92" s="3"/>
      <c r="C92" s="3"/>
      <c r="D92" s="3"/>
      <c r="E92" s="3"/>
      <c r="F92" s="3"/>
      <c r="G92" s="3"/>
      <c r="H92" s="3"/>
      <c r="I92" s="3"/>
      <c r="J92" s="3"/>
      <c r="K92" s="3"/>
      <c r="L92" s="3"/>
      <c r="M92" s="3"/>
      <c r="N92" s="3"/>
      <c r="O92" s="3"/>
      <c r="P92" s="264"/>
      <c r="Q92" s="264"/>
      <c r="R92" s="264"/>
      <c r="S92" s="264"/>
      <c r="T92" s="264"/>
      <c r="U92" s="264"/>
      <c r="V92" s="264"/>
      <c r="W92" s="3"/>
      <c r="X92" s="3"/>
      <c r="Y92" s="3"/>
      <c r="Z92" s="3"/>
      <c r="AA92" s="3"/>
      <c r="AB92" s="3"/>
      <c r="AC92" s="3"/>
    </row>
    <row r="93" ht="15.75" customHeight="1">
      <c r="A93" s="367"/>
      <c r="B93" s="3"/>
      <c r="C93" s="3"/>
      <c r="D93" s="3"/>
      <c r="E93" s="3"/>
      <c r="F93" s="3"/>
      <c r="G93" s="3"/>
      <c r="H93" s="3"/>
      <c r="I93" s="3"/>
      <c r="J93" s="3"/>
      <c r="K93" s="3"/>
      <c r="L93" s="3"/>
      <c r="M93" s="3"/>
      <c r="N93" s="3"/>
      <c r="O93" s="3"/>
      <c r="P93" s="264"/>
      <c r="Q93" s="264"/>
      <c r="R93" s="264"/>
      <c r="S93" s="264"/>
      <c r="T93" s="264"/>
      <c r="U93" s="264"/>
      <c r="V93" s="264"/>
      <c r="W93" s="3"/>
      <c r="X93" s="3"/>
      <c r="Y93" s="3"/>
      <c r="Z93" s="3"/>
      <c r="AA93" s="3"/>
      <c r="AB93" s="3"/>
      <c r="AC93" s="3"/>
    </row>
    <row r="94" ht="15.75" customHeight="1">
      <c r="A94" s="3"/>
      <c r="B94" s="3"/>
      <c r="C94" s="3"/>
      <c r="D94" s="3"/>
      <c r="E94" s="3"/>
      <c r="F94" s="3"/>
      <c r="G94" s="3"/>
      <c r="H94" s="3"/>
      <c r="I94" s="3"/>
      <c r="J94" s="3"/>
      <c r="K94" s="3"/>
      <c r="L94" s="3"/>
      <c r="M94" s="3"/>
      <c r="N94" s="3"/>
      <c r="O94" s="3"/>
      <c r="P94" s="264"/>
      <c r="Q94" s="264"/>
      <c r="R94" s="264"/>
      <c r="S94" s="264"/>
      <c r="T94" s="264"/>
      <c r="U94" s="264"/>
      <c r="V94" s="264"/>
      <c r="W94" s="3"/>
      <c r="X94" s="3"/>
      <c r="Y94" s="3"/>
      <c r="Z94" s="3"/>
      <c r="AA94" s="3"/>
      <c r="AB94" s="3"/>
      <c r="AC94" s="3"/>
    </row>
    <row r="95" ht="15.75" customHeight="1">
      <c r="A95" s="3"/>
      <c r="B95" s="3"/>
      <c r="C95" s="3"/>
      <c r="D95" s="3"/>
      <c r="E95" s="3"/>
      <c r="F95" s="3"/>
      <c r="G95" s="3"/>
      <c r="H95" s="3"/>
      <c r="I95" s="3"/>
      <c r="J95" s="3"/>
      <c r="K95" s="3"/>
      <c r="L95" s="3"/>
      <c r="M95" s="3"/>
      <c r="N95" s="3"/>
      <c r="O95" s="3"/>
      <c r="P95" s="264"/>
      <c r="Q95" s="264"/>
      <c r="R95" s="264"/>
      <c r="S95" s="264"/>
      <c r="T95" s="264"/>
      <c r="U95" s="264"/>
      <c r="V95" s="264"/>
      <c r="W95" s="3"/>
      <c r="X95" s="3"/>
      <c r="Y95" s="3"/>
      <c r="Z95" s="3"/>
      <c r="AA95" s="3"/>
      <c r="AB95" s="3"/>
      <c r="AC95" s="3"/>
    </row>
    <row r="96" ht="15.75" customHeight="1">
      <c r="A96" s="3"/>
      <c r="B96" s="3"/>
      <c r="C96" s="3"/>
      <c r="D96" s="3"/>
      <c r="E96" s="3"/>
      <c r="F96" s="3"/>
      <c r="G96" s="3"/>
      <c r="H96" s="3"/>
      <c r="I96" s="3"/>
      <c r="J96" s="3"/>
      <c r="K96" s="3"/>
      <c r="L96" s="3"/>
      <c r="M96" s="3"/>
      <c r="N96" s="3"/>
      <c r="O96" s="3"/>
      <c r="P96" s="264"/>
      <c r="Q96" s="264"/>
      <c r="R96" s="264"/>
      <c r="S96" s="264"/>
      <c r="T96" s="264"/>
      <c r="U96" s="264"/>
      <c r="V96" s="264"/>
      <c r="W96" s="3"/>
      <c r="X96" s="3"/>
      <c r="Y96" s="3"/>
      <c r="Z96" s="3"/>
      <c r="AA96" s="3"/>
      <c r="AB96" s="3"/>
      <c r="AC96" s="3"/>
    </row>
    <row r="97" ht="15.75" customHeight="1">
      <c r="A97" s="3"/>
      <c r="B97" s="3"/>
      <c r="C97" s="3"/>
      <c r="D97" s="3"/>
      <c r="E97" s="3"/>
      <c r="F97" s="3"/>
      <c r="G97" s="3"/>
      <c r="H97" s="3"/>
      <c r="I97" s="3"/>
      <c r="J97" s="3"/>
      <c r="K97" s="3"/>
      <c r="L97" s="3"/>
      <c r="M97" s="3"/>
      <c r="N97" s="3"/>
      <c r="O97" s="3"/>
      <c r="P97" s="264"/>
      <c r="Q97" s="264"/>
      <c r="R97" s="264"/>
      <c r="S97" s="264"/>
      <c r="T97" s="264"/>
      <c r="U97" s="264"/>
      <c r="V97" s="264"/>
      <c r="W97" s="3"/>
      <c r="X97" s="3"/>
      <c r="Y97" s="3"/>
      <c r="Z97" s="3"/>
      <c r="AA97" s="3"/>
      <c r="AB97" s="3"/>
      <c r="AC97" s="3"/>
    </row>
    <row r="98" ht="15.75" customHeight="1">
      <c r="A98" s="3"/>
      <c r="B98" s="3"/>
      <c r="C98" s="3"/>
      <c r="D98" s="3"/>
      <c r="E98" s="3"/>
      <c r="F98" s="3"/>
      <c r="G98" s="3"/>
      <c r="H98" s="3"/>
      <c r="I98" s="3"/>
      <c r="J98" s="3"/>
      <c r="K98" s="3"/>
      <c r="L98" s="3"/>
      <c r="M98" s="3"/>
      <c r="N98" s="3"/>
      <c r="O98" s="3"/>
      <c r="P98" s="264"/>
      <c r="Q98" s="264"/>
      <c r="R98" s="264"/>
      <c r="S98" s="264"/>
      <c r="T98" s="264"/>
      <c r="U98" s="264"/>
      <c r="V98" s="264"/>
      <c r="W98" s="3"/>
      <c r="X98" s="3"/>
      <c r="Y98" s="3"/>
      <c r="Z98" s="3"/>
      <c r="AA98" s="3"/>
      <c r="AB98" s="3"/>
      <c r="AC98" s="3"/>
    </row>
    <row r="99" ht="15.75" customHeight="1">
      <c r="A99" s="3"/>
      <c r="B99" s="3"/>
      <c r="C99" s="3"/>
      <c r="D99" s="3"/>
      <c r="E99" s="3"/>
      <c r="F99" s="3"/>
      <c r="G99" s="3"/>
      <c r="H99" s="3"/>
      <c r="I99" s="3"/>
      <c r="J99" s="3"/>
      <c r="K99" s="3"/>
      <c r="L99" s="3"/>
      <c r="M99" s="3"/>
      <c r="N99" s="3"/>
      <c r="O99" s="3"/>
      <c r="P99" s="264"/>
      <c r="Q99" s="264"/>
      <c r="R99" s="264"/>
      <c r="S99" s="264"/>
      <c r="T99" s="264"/>
      <c r="U99" s="264"/>
      <c r="V99" s="264"/>
      <c r="W99" s="3"/>
      <c r="X99" s="3"/>
      <c r="Y99" s="3"/>
      <c r="Z99" s="3"/>
      <c r="AA99" s="3"/>
      <c r="AB99" s="3"/>
      <c r="AC99" s="3"/>
    </row>
    <row r="100" ht="15.75" customHeight="1">
      <c r="A100" s="3"/>
      <c r="B100" s="3"/>
      <c r="C100" s="3"/>
      <c r="D100" s="3"/>
      <c r="E100" s="3"/>
      <c r="F100" s="3"/>
      <c r="G100" s="3"/>
      <c r="H100" s="3"/>
      <c r="I100" s="3"/>
      <c r="J100" s="3"/>
      <c r="K100" s="3"/>
      <c r="L100" s="3"/>
      <c r="M100" s="3"/>
      <c r="N100" s="3"/>
      <c r="O100" s="3"/>
      <c r="P100" s="264"/>
      <c r="Q100" s="264"/>
      <c r="R100" s="264"/>
      <c r="S100" s="264"/>
      <c r="T100" s="264"/>
      <c r="U100" s="264"/>
      <c r="V100" s="264"/>
      <c r="W100" s="3"/>
      <c r="X100" s="3"/>
      <c r="Y100" s="3"/>
      <c r="Z100" s="3"/>
      <c r="AA100" s="3"/>
      <c r="AB100" s="3"/>
      <c r="AC100" s="3"/>
    </row>
    <row r="101" ht="15.75" customHeight="1">
      <c r="A101" s="3"/>
      <c r="B101" s="3"/>
      <c r="C101" s="3"/>
      <c r="D101" s="3"/>
      <c r="E101" s="3"/>
      <c r="F101" s="3"/>
      <c r="G101" s="3"/>
      <c r="H101" s="3"/>
      <c r="I101" s="3"/>
      <c r="J101" s="3"/>
      <c r="K101" s="3"/>
      <c r="L101" s="3"/>
      <c r="M101" s="3"/>
      <c r="N101" s="3"/>
      <c r="O101" s="3"/>
      <c r="P101" s="264"/>
      <c r="Q101" s="264"/>
      <c r="R101" s="264"/>
      <c r="S101" s="264"/>
      <c r="T101" s="264"/>
      <c r="U101" s="264"/>
      <c r="V101" s="264"/>
      <c r="W101" s="3"/>
      <c r="X101" s="3"/>
      <c r="Y101" s="3"/>
      <c r="Z101" s="3"/>
      <c r="AA101" s="3"/>
      <c r="AB101" s="3"/>
      <c r="AC101" s="3"/>
    </row>
    <row r="102" ht="15.75" customHeight="1">
      <c r="A102" s="3"/>
      <c r="B102" s="3"/>
      <c r="C102" s="3"/>
      <c r="D102" s="3"/>
      <c r="E102" s="3"/>
      <c r="F102" s="3"/>
      <c r="G102" s="3"/>
      <c r="H102" s="3"/>
      <c r="I102" s="3"/>
      <c r="J102" s="3"/>
      <c r="K102" s="3"/>
      <c r="L102" s="3"/>
      <c r="M102" s="3"/>
      <c r="N102" s="3"/>
      <c r="O102" s="3"/>
      <c r="P102" s="264"/>
      <c r="Q102" s="264"/>
      <c r="R102" s="264"/>
      <c r="S102" s="264"/>
      <c r="T102" s="264"/>
      <c r="U102" s="264"/>
      <c r="V102" s="264"/>
      <c r="W102" s="3"/>
      <c r="X102" s="3"/>
      <c r="Y102" s="3"/>
      <c r="Z102" s="3"/>
      <c r="AA102" s="3"/>
      <c r="AB102" s="3"/>
      <c r="AC102" s="3"/>
    </row>
    <row r="103" ht="15.75" customHeight="1">
      <c r="A103" s="3"/>
      <c r="B103" s="3"/>
      <c r="C103" s="3"/>
      <c r="D103" s="3"/>
      <c r="E103" s="3"/>
      <c r="F103" s="3"/>
      <c r="G103" s="3"/>
      <c r="H103" s="3"/>
      <c r="I103" s="3"/>
      <c r="J103" s="3"/>
      <c r="K103" s="3"/>
      <c r="L103" s="3"/>
      <c r="M103" s="3"/>
      <c r="N103" s="3"/>
      <c r="O103" s="3"/>
      <c r="P103" s="264"/>
      <c r="Q103" s="264"/>
      <c r="R103" s="264"/>
      <c r="S103" s="264"/>
      <c r="T103" s="264"/>
      <c r="U103" s="264"/>
      <c r="V103" s="264"/>
      <c r="W103" s="3"/>
      <c r="X103" s="3"/>
      <c r="Y103" s="3"/>
      <c r="Z103" s="3"/>
      <c r="AA103" s="3"/>
      <c r="AB103" s="3"/>
      <c r="AC103" s="3"/>
    </row>
    <row r="104" ht="15.75" customHeight="1">
      <c r="A104" s="3"/>
      <c r="B104" s="3"/>
      <c r="C104" s="3"/>
      <c r="D104" s="3"/>
      <c r="E104" s="3"/>
      <c r="F104" s="3"/>
      <c r="G104" s="3"/>
      <c r="H104" s="3"/>
      <c r="I104" s="3"/>
      <c r="J104" s="3"/>
      <c r="K104" s="3"/>
      <c r="L104" s="3"/>
      <c r="M104" s="3"/>
      <c r="N104" s="3"/>
      <c r="O104" s="3"/>
      <c r="P104" s="264"/>
      <c r="Q104" s="264"/>
      <c r="R104" s="264"/>
      <c r="S104" s="264"/>
      <c r="T104" s="264"/>
      <c r="U104" s="264"/>
      <c r="V104" s="264"/>
      <c r="W104" s="3"/>
      <c r="X104" s="3"/>
      <c r="Y104" s="3"/>
      <c r="Z104" s="3"/>
      <c r="AA104" s="3"/>
      <c r="AB104" s="3"/>
      <c r="AC104" s="3"/>
    </row>
    <row r="105" ht="15.75" customHeight="1">
      <c r="A105" s="3"/>
      <c r="B105" s="3"/>
      <c r="C105" s="3"/>
      <c r="D105" s="3"/>
      <c r="E105" s="3"/>
      <c r="F105" s="3"/>
      <c r="G105" s="3"/>
      <c r="H105" s="3"/>
      <c r="I105" s="3"/>
      <c r="J105" s="3"/>
      <c r="K105" s="3"/>
      <c r="L105" s="3"/>
      <c r="M105" s="3"/>
      <c r="N105" s="3"/>
      <c r="O105" s="3"/>
      <c r="P105" s="264"/>
      <c r="Q105" s="264"/>
      <c r="R105" s="264"/>
      <c r="S105" s="264"/>
      <c r="T105" s="264"/>
      <c r="U105" s="264"/>
      <c r="V105" s="264"/>
      <c r="W105" s="3"/>
      <c r="X105" s="3"/>
      <c r="Y105" s="3"/>
      <c r="Z105" s="3"/>
      <c r="AA105" s="3"/>
      <c r="AB105" s="3"/>
      <c r="AC105" s="3"/>
    </row>
    <row r="106" ht="15.75" customHeight="1">
      <c r="A106" s="3"/>
      <c r="B106" s="3"/>
      <c r="C106" s="3"/>
      <c r="D106" s="3"/>
      <c r="E106" s="3"/>
      <c r="F106" s="3"/>
      <c r="G106" s="3"/>
      <c r="H106" s="3"/>
      <c r="I106" s="3"/>
      <c r="J106" s="3"/>
      <c r="K106" s="3"/>
      <c r="L106" s="3"/>
      <c r="M106" s="3"/>
      <c r="N106" s="3"/>
      <c r="O106" s="3"/>
      <c r="P106" s="264"/>
      <c r="Q106" s="264"/>
      <c r="R106" s="264"/>
      <c r="S106" s="264"/>
      <c r="T106" s="264"/>
      <c r="U106" s="264"/>
      <c r="V106" s="264"/>
      <c r="W106" s="3"/>
      <c r="X106" s="3"/>
      <c r="Y106" s="3"/>
      <c r="Z106" s="3"/>
      <c r="AA106" s="3"/>
      <c r="AB106" s="3"/>
      <c r="AC106" s="3"/>
    </row>
    <row r="107" ht="15.75" customHeight="1">
      <c r="A107" s="3"/>
      <c r="B107" s="3"/>
      <c r="C107" s="3"/>
      <c r="D107" s="3"/>
      <c r="E107" s="3"/>
      <c r="F107" s="3"/>
      <c r="G107" s="3"/>
      <c r="H107" s="3"/>
      <c r="I107" s="3"/>
      <c r="J107" s="3"/>
      <c r="K107" s="3"/>
      <c r="L107" s="3"/>
      <c r="M107" s="3"/>
      <c r="N107" s="3"/>
      <c r="O107" s="3"/>
      <c r="P107" s="264"/>
      <c r="Q107" s="264"/>
      <c r="R107" s="264"/>
      <c r="S107" s="264"/>
      <c r="T107" s="264"/>
      <c r="U107" s="264"/>
      <c r="V107" s="264"/>
      <c r="W107" s="3"/>
      <c r="X107" s="3"/>
      <c r="Y107" s="3"/>
      <c r="Z107" s="3"/>
      <c r="AA107" s="3"/>
      <c r="AB107" s="3"/>
      <c r="AC107" s="3"/>
    </row>
    <row r="108" ht="15.75" customHeight="1">
      <c r="A108" s="3"/>
      <c r="B108" s="3"/>
      <c r="C108" s="3"/>
      <c r="D108" s="3"/>
      <c r="E108" s="3"/>
      <c r="F108" s="3"/>
      <c r="G108" s="3"/>
      <c r="H108" s="3"/>
      <c r="I108" s="3"/>
      <c r="J108" s="3"/>
      <c r="K108" s="3"/>
      <c r="L108" s="3"/>
      <c r="M108" s="3"/>
      <c r="N108" s="3"/>
      <c r="O108" s="3"/>
      <c r="P108" s="264"/>
      <c r="Q108" s="264"/>
      <c r="R108" s="264"/>
      <c r="S108" s="264"/>
      <c r="T108" s="264"/>
      <c r="U108" s="264"/>
      <c r="V108" s="264"/>
      <c r="W108" s="3"/>
      <c r="X108" s="3"/>
      <c r="Y108" s="3"/>
      <c r="Z108" s="3"/>
      <c r="AA108" s="3"/>
      <c r="AB108" s="3"/>
      <c r="AC108" s="3"/>
    </row>
    <row r="109" ht="15.75" customHeight="1">
      <c r="A109" s="3"/>
      <c r="B109" s="3"/>
      <c r="C109" s="3"/>
      <c r="D109" s="3"/>
      <c r="E109" s="3"/>
      <c r="F109" s="3"/>
      <c r="G109" s="3"/>
      <c r="H109" s="3"/>
      <c r="I109" s="3"/>
      <c r="J109" s="3"/>
      <c r="K109" s="3"/>
      <c r="L109" s="3"/>
      <c r="M109" s="3"/>
      <c r="N109" s="3"/>
      <c r="O109" s="3"/>
      <c r="P109" s="264"/>
      <c r="Q109" s="264"/>
      <c r="R109" s="264"/>
      <c r="S109" s="264"/>
      <c r="T109" s="264"/>
      <c r="U109" s="264"/>
      <c r="V109" s="264"/>
      <c r="W109" s="3"/>
      <c r="X109" s="3"/>
      <c r="Y109" s="3"/>
      <c r="Z109" s="3"/>
      <c r="AA109" s="3"/>
      <c r="AB109" s="3"/>
      <c r="AC109" s="3"/>
    </row>
    <row r="110" ht="15.75" customHeight="1">
      <c r="A110" s="3"/>
      <c r="B110" s="3"/>
      <c r="C110" s="3"/>
      <c r="D110" s="3"/>
      <c r="E110" s="3"/>
      <c r="F110" s="3"/>
      <c r="G110" s="3"/>
      <c r="H110" s="3"/>
      <c r="I110" s="3"/>
      <c r="J110" s="3"/>
      <c r="K110" s="3"/>
      <c r="L110" s="3"/>
      <c r="M110" s="3"/>
      <c r="N110" s="3"/>
      <c r="O110" s="3"/>
      <c r="P110" s="264"/>
      <c r="Q110" s="264"/>
      <c r="R110" s="264"/>
      <c r="S110" s="264"/>
      <c r="T110" s="264"/>
      <c r="U110" s="264"/>
      <c r="V110" s="264"/>
      <c r="W110" s="3"/>
      <c r="X110" s="3"/>
      <c r="Y110" s="3"/>
      <c r="Z110" s="3"/>
      <c r="AA110" s="3"/>
      <c r="AB110" s="3"/>
      <c r="AC110" s="3"/>
    </row>
    <row r="111" ht="15.75" customHeight="1">
      <c r="A111" s="3"/>
      <c r="B111" s="3"/>
      <c r="C111" s="3"/>
      <c r="D111" s="3"/>
      <c r="E111" s="3"/>
      <c r="F111" s="3"/>
      <c r="G111" s="3"/>
      <c r="H111" s="3"/>
      <c r="I111" s="3"/>
      <c r="J111" s="3"/>
      <c r="K111" s="3"/>
      <c r="L111" s="3"/>
      <c r="M111" s="3"/>
      <c r="N111" s="3"/>
      <c r="O111" s="3"/>
      <c r="P111" s="264"/>
      <c r="Q111" s="264"/>
      <c r="R111" s="264"/>
      <c r="S111" s="264"/>
      <c r="T111" s="264"/>
      <c r="U111" s="264"/>
      <c r="V111" s="264"/>
      <c r="W111" s="3"/>
      <c r="X111" s="3"/>
      <c r="Y111" s="3"/>
      <c r="Z111" s="3"/>
      <c r="AA111" s="3"/>
      <c r="AB111" s="3"/>
      <c r="AC111" s="3"/>
    </row>
    <row r="112" ht="15.75" customHeight="1">
      <c r="A112" s="3"/>
      <c r="B112" s="3"/>
      <c r="C112" s="3"/>
      <c r="D112" s="3"/>
      <c r="E112" s="3"/>
      <c r="F112" s="3"/>
      <c r="G112" s="3"/>
      <c r="H112" s="3"/>
      <c r="I112" s="3"/>
      <c r="J112" s="3"/>
      <c r="K112" s="3"/>
      <c r="L112" s="3"/>
      <c r="M112" s="3"/>
      <c r="N112" s="3"/>
      <c r="O112" s="3"/>
      <c r="P112" s="264"/>
      <c r="Q112" s="264"/>
      <c r="R112" s="264"/>
      <c r="S112" s="264"/>
      <c r="T112" s="264"/>
      <c r="U112" s="264"/>
      <c r="V112" s="264"/>
      <c r="W112" s="3"/>
      <c r="X112" s="3"/>
      <c r="Y112" s="3"/>
      <c r="Z112" s="3"/>
      <c r="AA112" s="3"/>
      <c r="AB112" s="3"/>
      <c r="AC112" s="3"/>
    </row>
    <row r="113" ht="15.75" customHeight="1">
      <c r="A113" s="3"/>
      <c r="B113" s="3"/>
      <c r="C113" s="3"/>
      <c r="D113" s="3"/>
      <c r="E113" s="3"/>
      <c r="F113" s="3"/>
      <c r="G113" s="3"/>
      <c r="H113" s="3"/>
      <c r="I113" s="3"/>
      <c r="J113" s="3"/>
      <c r="K113" s="3"/>
      <c r="L113" s="3"/>
      <c r="M113" s="3"/>
      <c r="N113" s="3"/>
      <c r="O113" s="3"/>
      <c r="P113" s="264"/>
      <c r="Q113" s="264"/>
      <c r="R113" s="264"/>
      <c r="S113" s="264"/>
      <c r="T113" s="264"/>
      <c r="U113" s="264"/>
      <c r="V113" s="264"/>
      <c r="W113" s="3"/>
      <c r="X113" s="3"/>
      <c r="Y113" s="3"/>
      <c r="Z113" s="3"/>
      <c r="AA113" s="3"/>
      <c r="AB113" s="3"/>
      <c r="AC113" s="3"/>
    </row>
    <row r="114" ht="15.75" customHeight="1">
      <c r="A114" s="3"/>
      <c r="B114" s="3"/>
      <c r="C114" s="3"/>
      <c r="D114" s="3"/>
      <c r="E114" s="3"/>
      <c r="F114" s="3"/>
      <c r="G114" s="3"/>
      <c r="H114" s="3"/>
      <c r="I114" s="3"/>
      <c r="J114" s="3"/>
      <c r="K114" s="3"/>
      <c r="L114" s="3"/>
      <c r="M114" s="3"/>
      <c r="N114" s="3"/>
      <c r="O114" s="3"/>
      <c r="P114" s="264"/>
      <c r="Q114" s="264"/>
      <c r="R114" s="264"/>
      <c r="S114" s="264"/>
      <c r="T114" s="264"/>
      <c r="U114" s="264"/>
      <c r="V114" s="264"/>
      <c r="W114" s="3"/>
      <c r="X114" s="3"/>
      <c r="Y114" s="3"/>
      <c r="Z114" s="3"/>
      <c r="AA114" s="3"/>
      <c r="AB114" s="3"/>
      <c r="AC114" s="3"/>
    </row>
    <row r="115" ht="15.75" customHeight="1">
      <c r="A115" s="3"/>
      <c r="B115" s="3"/>
      <c r="C115" s="3"/>
      <c r="D115" s="3"/>
      <c r="E115" s="3"/>
      <c r="F115" s="3"/>
      <c r="G115" s="3"/>
      <c r="H115" s="3"/>
      <c r="I115" s="3"/>
      <c r="J115" s="3"/>
      <c r="K115" s="3"/>
      <c r="L115" s="3"/>
      <c r="M115" s="3"/>
      <c r="N115" s="3"/>
      <c r="O115" s="3"/>
      <c r="P115" s="264"/>
      <c r="Q115" s="264"/>
      <c r="R115" s="264"/>
      <c r="S115" s="264"/>
      <c r="T115" s="264"/>
      <c r="U115" s="264"/>
      <c r="V115" s="264"/>
      <c r="W115" s="3"/>
      <c r="X115" s="3"/>
      <c r="Y115" s="3"/>
      <c r="Z115" s="3"/>
      <c r="AA115" s="3"/>
      <c r="AB115" s="3"/>
      <c r="AC115" s="3"/>
    </row>
    <row r="116" ht="15.75" customHeight="1">
      <c r="A116" s="3"/>
      <c r="B116" s="3"/>
      <c r="C116" s="3"/>
      <c r="D116" s="3"/>
      <c r="E116" s="3"/>
      <c r="F116" s="3"/>
      <c r="G116" s="3"/>
      <c r="H116" s="3"/>
      <c r="I116" s="3"/>
      <c r="J116" s="3"/>
      <c r="K116" s="3"/>
      <c r="L116" s="3"/>
      <c r="M116" s="3"/>
      <c r="N116" s="3"/>
      <c r="O116" s="3"/>
      <c r="P116" s="264"/>
      <c r="Q116" s="264"/>
      <c r="R116" s="264"/>
      <c r="S116" s="264"/>
      <c r="T116" s="264"/>
      <c r="U116" s="264"/>
      <c r="V116" s="264"/>
      <c r="W116" s="3"/>
      <c r="X116" s="3"/>
      <c r="Y116" s="3"/>
      <c r="Z116" s="3"/>
      <c r="AA116" s="3"/>
      <c r="AB116" s="3"/>
      <c r="AC116" s="3"/>
    </row>
    <row r="117" ht="15.75" customHeight="1">
      <c r="A117" s="3"/>
      <c r="B117" s="3"/>
      <c r="C117" s="3"/>
      <c r="D117" s="3"/>
      <c r="E117" s="3"/>
      <c r="F117" s="3"/>
      <c r="G117" s="3"/>
      <c r="H117" s="3"/>
      <c r="I117" s="3"/>
      <c r="J117" s="3"/>
      <c r="K117" s="3"/>
      <c r="L117" s="3"/>
      <c r="M117" s="3"/>
      <c r="N117" s="3"/>
      <c r="O117" s="3"/>
      <c r="P117" s="264"/>
      <c r="Q117" s="264"/>
      <c r="R117" s="264"/>
      <c r="S117" s="264"/>
      <c r="T117" s="264"/>
      <c r="U117" s="264"/>
      <c r="V117" s="264"/>
      <c r="W117" s="3"/>
      <c r="X117" s="3"/>
      <c r="Y117" s="3"/>
      <c r="Z117" s="3"/>
      <c r="AA117" s="3"/>
      <c r="AB117" s="3"/>
      <c r="AC117" s="3"/>
    </row>
    <row r="118" ht="15.75" customHeight="1">
      <c r="A118" s="3"/>
      <c r="B118" s="3"/>
      <c r="C118" s="3"/>
      <c r="D118" s="3"/>
      <c r="E118" s="3"/>
      <c r="F118" s="3"/>
      <c r="G118" s="3"/>
      <c r="H118" s="3"/>
      <c r="I118" s="3"/>
      <c r="J118" s="3"/>
      <c r="K118" s="3"/>
      <c r="L118" s="3"/>
      <c r="M118" s="3"/>
      <c r="N118" s="3"/>
      <c r="O118" s="3"/>
      <c r="P118" s="264"/>
      <c r="Q118" s="264"/>
      <c r="R118" s="264"/>
      <c r="S118" s="264"/>
      <c r="T118" s="264"/>
      <c r="U118" s="264"/>
      <c r="V118" s="264"/>
      <c r="W118" s="3"/>
      <c r="X118" s="3"/>
      <c r="Y118" s="3"/>
      <c r="Z118" s="3"/>
      <c r="AA118" s="3"/>
      <c r="AB118" s="3"/>
      <c r="AC118" s="3"/>
    </row>
    <row r="119" ht="15.75" customHeight="1">
      <c r="A119" s="3"/>
      <c r="B119" s="3"/>
      <c r="C119" s="3"/>
      <c r="D119" s="3"/>
      <c r="E119" s="3"/>
      <c r="F119" s="3"/>
      <c r="G119" s="3"/>
      <c r="H119" s="3"/>
      <c r="I119" s="3"/>
      <c r="J119" s="3"/>
      <c r="K119" s="3"/>
      <c r="L119" s="3"/>
      <c r="M119" s="3"/>
      <c r="N119" s="3"/>
      <c r="O119" s="3"/>
      <c r="P119" s="264"/>
      <c r="Q119" s="264"/>
      <c r="R119" s="264"/>
      <c r="S119" s="264"/>
      <c r="T119" s="264"/>
      <c r="U119" s="264"/>
      <c r="V119" s="264"/>
      <c r="W119" s="3"/>
      <c r="X119" s="3"/>
      <c r="Y119" s="3"/>
      <c r="Z119" s="3"/>
      <c r="AA119" s="3"/>
      <c r="AB119" s="3"/>
      <c r="AC119" s="3"/>
    </row>
    <row r="120" ht="15.75" customHeight="1">
      <c r="A120" s="3"/>
      <c r="B120" s="3"/>
      <c r="C120" s="3"/>
      <c r="D120" s="3"/>
      <c r="E120" s="3"/>
      <c r="F120" s="3"/>
      <c r="G120" s="3"/>
      <c r="H120" s="3"/>
      <c r="I120" s="3"/>
      <c r="J120" s="3"/>
      <c r="K120" s="3"/>
      <c r="L120" s="3"/>
      <c r="M120" s="3"/>
      <c r="N120" s="3"/>
      <c r="O120" s="3"/>
      <c r="P120" s="264"/>
      <c r="Q120" s="264"/>
      <c r="R120" s="264"/>
      <c r="S120" s="264"/>
      <c r="T120" s="264"/>
      <c r="U120" s="264"/>
      <c r="V120" s="264"/>
      <c r="W120" s="3"/>
      <c r="X120" s="3"/>
      <c r="Y120" s="3"/>
      <c r="Z120" s="3"/>
      <c r="AA120" s="3"/>
      <c r="AB120" s="3"/>
      <c r="AC120" s="3"/>
    </row>
    <row r="121" ht="15.75" customHeight="1">
      <c r="A121" s="3"/>
      <c r="B121" s="3"/>
      <c r="C121" s="3"/>
      <c r="D121" s="3"/>
      <c r="E121" s="3"/>
      <c r="F121" s="3"/>
      <c r="G121" s="3"/>
      <c r="H121" s="3"/>
      <c r="I121" s="3"/>
      <c r="J121" s="3"/>
      <c r="K121" s="3"/>
      <c r="L121" s="3"/>
      <c r="M121" s="3"/>
      <c r="N121" s="3"/>
      <c r="O121" s="3"/>
      <c r="P121" s="264"/>
      <c r="Q121" s="264"/>
      <c r="R121" s="264"/>
      <c r="S121" s="264"/>
      <c r="T121" s="264"/>
      <c r="U121" s="264"/>
      <c r="V121" s="264"/>
      <c r="W121" s="3"/>
      <c r="X121" s="3"/>
      <c r="Y121" s="3"/>
      <c r="Z121" s="3"/>
      <c r="AA121" s="3"/>
      <c r="AB121" s="3"/>
      <c r="AC121" s="3"/>
    </row>
    <row r="122" ht="15.75" customHeight="1">
      <c r="A122" s="3"/>
      <c r="B122" s="3"/>
      <c r="C122" s="3"/>
      <c r="D122" s="3"/>
      <c r="E122" s="3"/>
      <c r="F122" s="3"/>
      <c r="G122" s="3"/>
      <c r="H122" s="3"/>
      <c r="I122" s="3"/>
      <c r="J122" s="3"/>
      <c r="K122" s="3"/>
      <c r="L122" s="3"/>
      <c r="M122" s="3"/>
      <c r="N122" s="3"/>
      <c r="O122" s="3"/>
      <c r="P122" s="264"/>
      <c r="Q122" s="264"/>
      <c r="R122" s="264"/>
      <c r="S122" s="264"/>
      <c r="T122" s="264"/>
      <c r="U122" s="264"/>
      <c r="V122" s="264"/>
      <c r="W122" s="3"/>
      <c r="X122" s="3"/>
      <c r="Y122" s="3"/>
      <c r="Z122" s="3"/>
      <c r="AA122" s="3"/>
      <c r="AB122" s="3"/>
      <c r="AC122" s="3"/>
    </row>
    <row r="123" ht="15.75" customHeight="1">
      <c r="A123" s="3"/>
      <c r="B123" s="3"/>
      <c r="C123" s="3"/>
      <c r="D123" s="3"/>
      <c r="E123" s="3"/>
      <c r="F123" s="3"/>
      <c r="G123" s="3"/>
      <c r="H123" s="3"/>
      <c r="I123" s="3"/>
      <c r="J123" s="3"/>
      <c r="K123" s="3"/>
      <c r="L123" s="3"/>
      <c r="M123" s="3"/>
      <c r="N123" s="3"/>
      <c r="O123" s="3"/>
      <c r="P123" s="264"/>
      <c r="Q123" s="264"/>
      <c r="R123" s="264"/>
      <c r="S123" s="264"/>
      <c r="T123" s="264"/>
      <c r="U123" s="264"/>
      <c r="V123" s="264"/>
      <c r="W123" s="3"/>
      <c r="X123" s="3"/>
      <c r="Y123" s="3"/>
      <c r="Z123" s="3"/>
      <c r="AA123" s="3"/>
      <c r="AB123" s="3"/>
      <c r="AC123" s="3"/>
    </row>
    <row r="124" ht="15.75" customHeight="1">
      <c r="A124" s="3"/>
      <c r="B124" s="3"/>
      <c r="C124" s="3"/>
      <c r="D124" s="3"/>
      <c r="E124" s="3"/>
      <c r="F124" s="3"/>
      <c r="G124" s="3"/>
      <c r="H124" s="3"/>
      <c r="I124" s="3"/>
      <c r="J124" s="3"/>
      <c r="K124" s="3"/>
      <c r="L124" s="3"/>
      <c r="M124" s="3"/>
      <c r="N124" s="3"/>
      <c r="O124" s="3"/>
      <c r="P124" s="264"/>
      <c r="Q124" s="264"/>
      <c r="R124" s="264"/>
      <c r="S124" s="264"/>
      <c r="T124" s="264"/>
      <c r="U124" s="264"/>
      <c r="V124" s="264"/>
      <c r="W124" s="3"/>
      <c r="X124" s="3"/>
      <c r="Y124" s="3"/>
      <c r="Z124" s="3"/>
      <c r="AA124" s="3"/>
      <c r="AB124" s="3"/>
      <c r="AC124" s="3"/>
    </row>
    <row r="125" ht="15.75" customHeight="1">
      <c r="A125" s="3"/>
      <c r="B125" s="3"/>
      <c r="C125" s="3"/>
      <c r="D125" s="3"/>
      <c r="E125" s="3"/>
      <c r="F125" s="3"/>
      <c r="G125" s="3"/>
      <c r="H125" s="3"/>
      <c r="I125" s="3"/>
      <c r="J125" s="3"/>
      <c r="K125" s="3"/>
      <c r="L125" s="3"/>
      <c r="M125" s="3"/>
      <c r="N125" s="3"/>
      <c r="O125" s="3"/>
      <c r="P125" s="264"/>
      <c r="Q125" s="264"/>
      <c r="R125" s="264"/>
      <c r="S125" s="264"/>
      <c r="T125" s="264"/>
      <c r="U125" s="264"/>
      <c r="V125" s="264"/>
      <c r="W125" s="3"/>
      <c r="X125" s="3"/>
      <c r="Y125" s="3"/>
      <c r="Z125" s="3"/>
      <c r="AA125" s="3"/>
      <c r="AB125" s="3"/>
      <c r="AC125" s="3"/>
    </row>
    <row r="126" ht="15.75" customHeight="1">
      <c r="A126" s="3"/>
      <c r="B126" s="3"/>
      <c r="C126" s="3"/>
      <c r="D126" s="3"/>
      <c r="E126" s="3"/>
      <c r="F126" s="3"/>
      <c r="G126" s="3"/>
      <c r="H126" s="3"/>
      <c r="I126" s="3"/>
      <c r="J126" s="3"/>
      <c r="K126" s="3"/>
      <c r="L126" s="3"/>
      <c r="M126" s="3"/>
      <c r="N126" s="3"/>
      <c r="O126" s="3"/>
      <c r="P126" s="264"/>
      <c r="Q126" s="264"/>
      <c r="R126" s="264"/>
      <c r="S126" s="264"/>
      <c r="T126" s="264"/>
      <c r="U126" s="264"/>
      <c r="V126" s="264"/>
      <c r="W126" s="3"/>
      <c r="X126" s="3"/>
      <c r="Y126" s="3"/>
      <c r="Z126" s="3"/>
      <c r="AA126" s="3"/>
      <c r="AB126" s="3"/>
      <c r="AC126" s="3"/>
    </row>
    <row r="127" ht="15.75" customHeight="1">
      <c r="A127" s="3"/>
      <c r="B127" s="3"/>
      <c r="C127" s="3"/>
      <c r="D127" s="3"/>
      <c r="E127" s="3"/>
      <c r="F127" s="3"/>
      <c r="G127" s="3"/>
      <c r="H127" s="3"/>
      <c r="I127" s="3"/>
      <c r="J127" s="3"/>
      <c r="K127" s="3"/>
      <c r="L127" s="3"/>
      <c r="M127" s="3"/>
      <c r="N127" s="3"/>
      <c r="O127" s="3"/>
      <c r="P127" s="264"/>
      <c r="Q127" s="264"/>
      <c r="R127" s="264"/>
      <c r="S127" s="264"/>
      <c r="T127" s="264"/>
      <c r="U127" s="264"/>
      <c r="V127" s="264"/>
      <c r="W127" s="3"/>
      <c r="X127" s="3"/>
      <c r="Y127" s="3"/>
      <c r="Z127" s="3"/>
      <c r="AA127" s="3"/>
      <c r="AB127" s="3"/>
      <c r="AC127" s="3"/>
    </row>
    <row r="128" ht="15.75" customHeight="1">
      <c r="A128" s="3"/>
      <c r="B128" s="3"/>
      <c r="C128" s="3"/>
      <c r="D128" s="3"/>
      <c r="E128" s="3"/>
      <c r="F128" s="3"/>
      <c r="G128" s="3"/>
      <c r="H128" s="3"/>
      <c r="I128" s="3"/>
      <c r="J128" s="3"/>
      <c r="K128" s="3"/>
      <c r="L128" s="3"/>
      <c r="M128" s="3"/>
      <c r="N128" s="3"/>
      <c r="O128" s="3"/>
      <c r="P128" s="264"/>
      <c r="Q128" s="264"/>
      <c r="R128" s="264"/>
      <c r="S128" s="264"/>
      <c r="T128" s="264"/>
      <c r="U128" s="264"/>
      <c r="V128" s="264"/>
      <c r="W128" s="3"/>
      <c r="X128" s="3"/>
      <c r="Y128" s="3"/>
      <c r="Z128" s="3"/>
      <c r="AA128" s="3"/>
      <c r="AB128" s="3"/>
      <c r="AC128" s="3"/>
    </row>
    <row r="129" ht="15.75" customHeight="1">
      <c r="A129" s="3"/>
      <c r="B129" s="3"/>
      <c r="C129" s="3"/>
      <c r="D129" s="3"/>
      <c r="E129" s="3"/>
      <c r="F129" s="3"/>
      <c r="G129" s="3"/>
      <c r="H129" s="3"/>
      <c r="I129" s="3"/>
      <c r="J129" s="3"/>
      <c r="K129" s="3"/>
      <c r="L129" s="3"/>
      <c r="M129" s="3"/>
      <c r="N129" s="3"/>
      <c r="O129" s="3"/>
      <c r="P129" s="264"/>
      <c r="Q129" s="264"/>
      <c r="R129" s="264"/>
      <c r="S129" s="264"/>
      <c r="T129" s="264"/>
      <c r="U129" s="264"/>
      <c r="V129" s="264"/>
      <c r="W129" s="3"/>
      <c r="X129" s="3"/>
      <c r="Y129" s="3"/>
      <c r="Z129" s="3"/>
      <c r="AA129" s="3"/>
      <c r="AB129" s="3"/>
      <c r="AC129" s="3"/>
    </row>
    <row r="130" ht="15.75" customHeight="1">
      <c r="A130" s="3"/>
      <c r="B130" s="3"/>
      <c r="C130" s="3"/>
      <c r="D130" s="3"/>
      <c r="E130" s="3"/>
      <c r="F130" s="3"/>
      <c r="G130" s="3"/>
      <c r="H130" s="3"/>
      <c r="I130" s="3"/>
      <c r="J130" s="3"/>
      <c r="K130" s="3"/>
      <c r="L130" s="3"/>
      <c r="M130" s="3"/>
      <c r="N130" s="3"/>
      <c r="O130" s="3"/>
      <c r="P130" s="264"/>
      <c r="Q130" s="264"/>
      <c r="R130" s="264"/>
      <c r="S130" s="264"/>
      <c r="T130" s="264"/>
      <c r="U130" s="264"/>
      <c r="V130" s="264"/>
      <c r="W130" s="3"/>
      <c r="X130" s="3"/>
      <c r="Y130" s="3"/>
      <c r="Z130" s="3"/>
      <c r="AA130" s="3"/>
      <c r="AB130" s="3"/>
      <c r="AC130" s="3"/>
    </row>
    <row r="131" ht="15.75" customHeight="1">
      <c r="A131" s="3"/>
      <c r="B131" s="3"/>
      <c r="C131" s="3"/>
      <c r="D131" s="3"/>
      <c r="E131" s="3"/>
      <c r="F131" s="3"/>
      <c r="G131" s="3"/>
      <c r="H131" s="3"/>
      <c r="I131" s="3"/>
      <c r="J131" s="3"/>
      <c r="K131" s="3"/>
      <c r="L131" s="3"/>
      <c r="M131" s="3"/>
      <c r="N131" s="3"/>
      <c r="O131" s="3"/>
      <c r="P131" s="264"/>
      <c r="Q131" s="264"/>
      <c r="R131" s="264"/>
      <c r="S131" s="264"/>
      <c r="T131" s="264"/>
      <c r="U131" s="264"/>
      <c r="V131" s="264"/>
      <c r="W131" s="3"/>
      <c r="X131" s="3"/>
      <c r="Y131" s="3"/>
      <c r="Z131" s="3"/>
      <c r="AA131" s="3"/>
      <c r="AB131" s="3"/>
      <c r="AC131" s="3"/>
    </row>
    <row r="132" ht="15.75" customHeight="1">
      <c r="A132" s="3"/>
      <c r="B132" s="3"/>
      <c r="C132" s="3"/>
      <c r="D132" s="3"/>
      <c r="E132" s="3"/>
      <c r="F132" s="3"/>
      <c r="G132" s="3"/>
      <c r="H132" s="3"/>
      <c r="I132" s="3"/>
      <c r="J132" s="3"/>
      <c r="K132" s="3"/>
      <c r="L132" s="3"/>
      <c r="M132" s="3"/>
      <c r="N132" s="3"/>
      <c r="O132" s="3"/>
      <c r="P132" s="264"/>
      <c r="Q132" s="264"/>
      <c r="R132" s="264"/>
      <c r="S132" s="264"/>
      <c r="T132" s="264"/>
      <c r="U132" s="264"/>
      <c r="V132" s="264"/>
      <c r="W132" s="3"/>
      <c r="X132" s="3"/>
      <c r="Y132" s="3"/>
      <c r="Z132" s="3"/>
      <c r="AA132" s="3"/>
      <c r="AB132" s="3"/>
      <c r="AC132" s="3"/>
    </row>
    <row r="133" ht="15.75" customHeight="1">
      <c r="A133" s="3"/>
      <c r="B133" s="3"/>
      <c r="C133" s="3"/>
      <c r="D133" s="3"/>
      <c r="E133" s="3"/>
      <c r="F133" s="3"/>
      <c r="G133" s="3"/>
      <c r="H133" s="3"/>
      <c r="I133" s="3"/>
      <c r="J133" s="3"/>
      <c r="K133" s="3"/>
      <c r="L133" s="3"/>
      <c r="M133" s="3"/>
      <c r="N133" s="3"/>
      <c r="O133" s="3"/>
      <c r="P133" s="264"/>
      <c r="Q133" s="264"/>
      <c r="R133" s="264"/>
      <c r="S133" s="264"/>
      <c r="T133" s="264"/>
      <c r="U133" s="264"/>
      <c r="V133" s="264"/>
      <c r="W133" s="3"/>
      <c r="X133" s="3"/>
      <c r="Y133" s="3"/>
      <c r="Z133" s="3"/>
      <c r="AA133" s="3"/>
      <c r="AB133" s="3"/>
      <c r="AC133" s="3"/>
    </row>
    <row r="134" ht="15.75" customHeight="1">
      <c r="A134" s="3"/>
      <c r="B134" s="3"/>
      <c r="C134" s="3"/>
      <c r="D134" s="3"/>
      <c r="E134" s="3"/>
      <c r="F134" s="3"/>
      <c r="G134" s="3"/>
      <c r="H134" s="3"/>
      <c r="I134" s="3"/>
      <c r="J134" s="3"/>
      <c r="K134" s="3"/>
      <c r="L134" s="3"/>
      <c r="M134" s="3"/>
      <c r="N134" s="3"/>
      <c r="O134" s="3"/>
      <c r="P134" s="264"/>
      <c r="Q134" s="264"/>
      <c r="R134" s="264"/>
      <c r="S134" s="264"/>
      <c r="T134" s="264"/>
      <c r="U134" s="264"/>
      <c r="V134" s="264"/>
      <c r="W134" s="3"/>
      <c r="X134" s="3"/>
      <c r="Y134" s="3"/>
      <c r="Z134" s="3"/>
      <c r="AA134" s="3"/>
      <c r="AB134" s="3"/>
      <c r="AC134" s="3"/>
    </row>
    <row r="135" ht="15.75" customHeight="1">
      <c r="A135" s="3"/>
      <c r="B135" s="3"/>
      <c r="C135" s="3"/>
      <c r="D135" s="3"/>
      <c r="E135" s="3"/>
      <c r="F135" s="3"/>
      <c r="G135" s="3"/>
      <c r="H135" s="3"/>
      <c r="I135" s="3"/>
      <c r="J135" s="3"/>
      <c r="K135" s="3"/>
      <c r="L135" s="3"/>
      <c r="M135" s="3"/>
      <c r="N135" s="3"/>
      <c r="O135" s="3"/>
      <c r="P135" s="264"/>
      <c r="Q135" s="264"/>
      <c r="R135" s="264"/>
      <c r="S135" s="264"/>
      <c r="T135" s="264"/>
      <c r="U135" s="264"/>
      <c r="V135" s="264"/>
      <c r="W135" s="3"/>
      <c r="X135" s="3"/>
      <c r="Y135" s="3"/>
      <c r="Z135" s="3"/>
      <c r="AA135" s="3"/>
      <c r="AB135" s="3"/>
      <c r="AC135" s="3"/>
    </row>
    <row r="136" ht="15.75" customHeight="1">
      <c r="A136" s="3"/>
      <c r="B136" s="3"/>
      <c r="C136" s="3"/>
      <c r="D136" s="3"/>
      <c r="E136" s="3"/>
      <c r="F136" s="3"/>
      <c r="G136" s="3"/>
      <c r="H136" s="3"/>
      <c r="I136" s="3"/>
      <c r="J136" s="3"/>
      <c r="K136" s="3"/>
      <c r="L136" s="3"/>
      <c r="M136" s="3"/>
      <c r="N136" s="3"/>
      <c r="O136" s="3"/>
      <c r="P136" s="264"/>
      <c r="Q136" s="264"/>
      <c r="R136" s="264"/>
      <c r="S136" s="264"/>
      <c r="T136" s="264"/>
      <c r="U136" s="264"/>
      <c r="V136" s="264"/>
      <c r="W136" s="3"/>
      <c r="X136" s="3"/>
      <c r="Y136" s="3"/>
      <c r="Z136" s="3"/>
      <c r="AA136" s="3"/>
      <c r="AB136" s="3"/>
      <c r="AC136" s="3"/>
    </row>
    <row r="137" ht="15.75" customHeight="1">
      <c r="A137" s="3"/>
      <c r="B137" s="3"/>
      <c r="C137" s="3"/>
      <c r="D137" s="3"/>
      <c r="E137" s="3"/>
      <c r="F137" s="3"/>
      <c r="G137" s="3"/>
      <c r="H137" s="3"/>
      <c r="I137" s="3"/>
      <c r="J137" s="3"/>
      <c r="K137" s="3"/>
      <c r="L137" s="3"/>
      <c r="M137" s="3"/>
      <c r="N137" s="3"/>
      <c r="O137" s="3"/>
      <c r="P137" s="264"/>
      <c r="Q137" s="264"/>
      <c r="R137" s="264"/>
      <c r="S137" s="264"/>
      <c r="T137" s="264"/>
      <c r="U137" s="264"/>
      <c r="V137" s="264"/>
      <c r="W137" s="3"/>
      <c r="X137" s="3"/>
      <c r="Y137" s="3"/>
      <c r="Z137" s="3"/>
      <c r="AA137" s="3"/>
      <c r="AB137" s="3"/>
      <c r="AC137" s="3"/>
    </row>
    <row r="138" ht="15.75" customHeight="1">
      <c r="A138" s="3"/>
      <c r="B138" s="3"/>
      <c r="C138" s="3"/>
      <c r="D138" s="3"/>
      <c r="E138" s="3"/>
      <c r="F138" s="3"/>
      <c r="G138" s="3"/>
      <c r="H138" s="3"/>
      <c r="I138" s="3"/>
      <c r="J138" s="3"/>
      <c r="K138" s="3"/>
      <c r="L138" s="3"/>
      <c r="M138" s="3"/>
      <c r="N138" s="3"/>
      <c r="O138" s="3"/>
      <c r="P138" s="264"/>
      <c r="Q138" s="264"/>
      <c r="R138" s="264"/>
      <c r="S138" s="264"/>
      <c r="T138" s="264"/>
      <c r="U138" s="264"/>
      <c r="V138" s="264"/>
      <c r="W138" s="3"/>
      <c r="X138" s="3"/>
      <c r="Y138" s="3"/>
      <c r="Z138" s="3"/>
      <c r="AA138" s="3"/>
      <c r="AB138" s="3"/>
      <c r="AC138" s="3"/>
    </row>
    <row r="139" ht="15.75" customHeight="1">
      <c r="A139" s="3"/>
      <c r="B139" s="3"/>
      <c r="C139" s="3"/>
      <c r="D139" s="3"/>
      <c r="E139" s="3"/>
      <c r="F139" s="3"/>
      <c r="G139" s="3"/>
      <c r="H139" s="3"/>
      <c r="I139" s="3"/>
      <c r="J139" s="3"/>
      <c r="K139" s="3"/>
      <c r="L139" s="3"/>
      <c r="M139" s="3"/>
      <c r="N139" s="3"/>
      <c r="O139" s="3"/>
      <c r="P139" s="264"/>
      <c r="Q139" s="264"/>
      <c r="R139" s="264"/>
      <c r="S139" s="264"/>
      <c r="T139" s="264"/>
      <c r="U139" s="264"/>
      <c r="V139" s="264"/>
      <c r="W139" s="3"/>
      <c r="X139" s="3"/>
      <c r="Y139" s="3"/>
      <c r="Z139" s="3"/>
      <c r="AA139" s="3"/>
      <c r="AB139" s="3"/>
      <c r="AC139" s="3"/>
    </row>
    <row r="140" ht="15.75" customHeight="1">
      <c r="A140" s="3"/>
      <c r="B140" s="3"/>
      <c r="C140" s="3"/>
      <c r="D140" s="3"/>
      <c r="E140" s="3"/>
      <c r="F140" s="3"/>
      <c r="G140" s="3"/>
      <c r="H140" s="3"/>
      <c r="I140" s="3"/>
      <c r="J140" s="3"/>
      <c r="K140" s="3"/>
      <c r="L140" s="3"/>
      <c r="M140" s="3"/>
      <c r="N140" s="3"/>
      <c r="O140" s="3"/>
      <c r="P140" s="264"/>
      <c r="Q140" s="264"/>
      <c r="R140" s="264"/>
      <c r="S140" s="264"/>
      <c r="T140" s="264"/>
      <c r="U140" s="264"/>
      <c r="V140" s="264"/>
      <c r="W140" s="3"/>
      <c r="X140" s="3"/>
      <c r="Y140" s="3"/>
      <c r="Z140" s="3"/>
      <c r="AA140" s="3"/>
      <c r="AB140" s="3"/>
      <c r="AC140" s="3"/>
    </row>
    <row r="141" ht="15.75" customHeight="1">
      <c r="A141" s="3"/>
      <c r="B141" s="3"/>
      <c r="C141" s="3"/>
      <c r="D141" s="3"/>
      <c r="E141" s="3"/>
      <c r="F141" s="3"/>
      <c r="G141" s="3"/>
      <c r="H141" s="3"/>
      <c r="I141" s="3"/>
      <c r="J141" s="3"/>
      <c r="K141" s="3"/>
      <c r="L141" s="3"/>
      <c r="M141" s="3"/>
      <c r="N141" s="3"/>
      <c r="O141" s="3"/>
      <c r="P141" s="264"/>
      <c r="Q141" s="264"/>
      <c r="R141" s="264"/>
      <c r="S141" s="264"/>
      <c r="T141" s="264"/>
      <c r="U141" s="264"/>
      <c r="V141" s="264"/>
      <c r="W141" s="3"/>
      <c r="X141" s="3"/>
      <c r="Y141" s="3"/>
      <c r="Z141" s="3"/>
      <c r="AA141" s="3"/>
      <c r="AB141" s="3"/>
      <c r="AC141" s="3"/>
    </row>
    <row r="142" ht="15.75" customHeight="1">
      <c r="A142" s="3"/>
      <c r="B142" s="3"/>
      <c r="C142" s="3"/>
      <c r="D142" s="3"/>
      <c r="E142" s="3"/>
      <c r="F142" s="3"/>
      <c r="G142" s="3"/>
      <c r="H142" s="3"/>
      <c r="I142" s="3"/>
      <c r="J142" s="3"/>
      <c r="K142" s="3"/>
      <c r="L142" s="3"/>
      <c r="M142" s="3"/>
      <c r="N142" s="3"/>
      <c r="O142" s="3"/>
      <c r="P142" s="264"/>
      <c r="Q142" s="264"/>
      <c r="R142" s="264"/>
      <c r="S142" s="264"/>
      <c r="T142" s="264"/>
      <c r="U142" s="264"/>
      <c r="V142" s="264"/>
      <c r="W142" s="3"/>
      <c r="X142" s="3"/>
      <c r="Y142" s="3"/>
      <c r="Z142" s="3"/>
      <c r="AA142" s="3"/>
      <c r="AB142" s="3"/>
      <c r="AC142" s="3"/>
    </row>
    <row r="143" ht="15.75" customHeight="1">
      <c r="A143" s="3"/>
      <c r="B143" s="3"/>
      <c r="C143" s="3"/>
      <c r="D143" s="3"/>
      <c r="E143" s="3"/>
      <c r="F143" s="3"/>
      <c r="G143" s="3"/>
      <c r="H143" s="3"/>
      <c r="I143" s="3"/>
      <c r="J143" s="3"/>
      <c r="K143" s="3"/>
      <c r="L143" s="3"/>
      <c r="M143" s="3"/>
      <c r="N143" s="3"/>
      <c r="O143" s="3"/>
      <c r="P143" s="264"/>
      <c r="Q143" s="264"/>
      <c r="R143" s="264"/>
      <c r="S143" s="264"/>
      <c r="T143" s="264"/>
      <c r="U143" s="264"/>
      <c r="V143" s="264"/>
      <c r="W143" s="3"/>
      <c r="X143" s="3"/>
      <c r="Y143" s="3"/>
      <c r="Z143" s="3"/>
      <c r="AA143" s="3"/>
      <c r="AB143" s="3"/>
      <c r="AC143" s="3"/>
    </row>
    <row r="144" ht="15.75" customHeight="1">
      <c r="A144" s="3"/>
      <c r="B144" s="3"/>
      <c r="C144" s="3"/>
      <c r="D144" s="3"/>
      <c r="E144" s="3"/>
      <c r="F144" s="3"/>
      <c r="G144" s="3"/>
      <c r="H144" s="3"/>
      <c r="I144" s="3"/>
      <c r="J144" s="3"/>
      <c r="K144" s="3"/>
      <c r="L144" s="3"/>
      <c r="M144" s="3"/>
      <c r="N144" s="3"/>
      <c r="O144" s="3"/>
      <c r="P144" s="264"/>
      <c r="Q144" s="264"/>
      <c r="R144" s="264"/>
      <c r="S144" s="264"/>
      <c r="T144" s="264"/>
      <c r="U144" s="264"/>
      <c r="V144" s="264"/>
      <c r="W144" s="3"/>
      <c r="X144" s="3"/>
      <c r="Y144" s="3"/>
      <c r="Z144" s="3"/>
      <c r="AA144" s="3"/>
      <c r="AB144" s="3"/>
      <c r="AC144" s="3"/>
    </row>
    <row r="145" ht="15.75" customHeight="1">
      <c r="A145" s="3"/>
      <c r="B145" s="3"/>
      <c r="C145" s="3"/>
      <c r="D145" s="3"/>
      <c r="E145" s="3"/>
      <c r="F145" s="3"/>
      <c r="G145" s="3"/>
      <c r="H145" s="3"/>
      <c r="I145" s="3"/>
      <c r="J145" s="3"/>
      <c r="K145" s="3"/>
      <c r="L145" s="3"/>
      <c r="M145" s="3"/>
      <c r="N145" s="3"/>
      <c r="O145" s="3"/>
      <c r="P145" s="264"/>
      <c r="Q145" s="264"/>
      <c r="R145" s="264"/>
      <c r="S145" s="264"/>
      <c r="T145" s="264"/>
      <c r="U145" s="264"/>
      <c r="V145" s="264"/>
      <c r="W145" s="3"/>
      <c r="X145" s="3"/>
      <c r="Y145" s="3"/>
      <c r="Z145" s="3"/>
      <c r="AA145" s="3"/>
      <c r="AB145" s="3"/>
      <c r="AC145" s="3"/>
    </row>
    <row r="146" ht="15.75" customHeight="1">
      <c r="A146" s="3"/>
      <c r="B146" s="3"/>
      <c r="C146" s="3"/>
      <c r="D146" s="3"/>
      <c r="E146" s="3"/>
      <c r="F146" s="3"/>
      <c r="G146" s="3"/>
      <c r="H146" s="3"/>
      <c r="I146" s="3"/>
      <c r="J146" s="3"/>
      <c r="K146" s="3"/>
      <c r="L146" s="3"/>
      <c r="M146" s="3"/>
      <c r="N146" s="3"/>
      <c r="O146" s="3"/>
      <c r="P146" s="264"/>
      <c r="Q146" s="264"/>
      <c r="R146" s="264"/>
      <c r="S146" s="264"/>
      <c r="T146" s="264"/>
      <c r="U146" s="264"/>
      <c r="V146" s="264"/>
      <c r="W146" s="3"/>
      <c r="X146" s="3"/>
      <c r="Y146" s="3"/>
      <c r="Z146" s="3"/>
      <c r="AA146" s="3"/>
      <c r="AB146" s="3"/>
      <c r="AC146" s="3"/>
    </row>
    <row r="147" ht="15.75" customHeight="1">
      <c r="A147" s="3"/>
      <c r="B147" s="3"/>
      <c r="C147" s="3"/>
      <c r="D147" s="3"/>
      <c r="E147" s="3"/>
      <c r="F147" s="3"/>
      <c r="G147" s="3"/>
      <c r="H147" s="3"/>
      <c r="I147" s="3"/>
      <c r="J147" s="3"/>
      <c r="K147" s="3"/>
      <c r="L147" s="3"/>
      <c r="M147" s="3"/>
      <c r="N147" s="3"/>
      <c r="O147" s="3"/>
      <c r="P147" s="264"/>
      <c r="Q147" s="264"/>
      <c r="R147" s="264"/>
      <c r="S147" s="264"/>
      <c r="T147" s="264"/>
      <c r="U147" s="264"/>
      <c r="V147" s="264"/>
      <c r="W147" s="3"/>
      <c r="X147" s="3"/>
      <c r="Y147" s="3"/>
      <c r="Z147" s="3"/>
      <c r="AA147" s="3"/>
      <c r="AB147" s="3"/>
      <c r="AC147" s="3"/>
    </row>
    <row r="148" ht="15.75" customHeight="1">
      <c r="A148" s="3"/>
      <c r="B148" s="3"/>
      <c r="C148" s="3"/>
      <c r="D148" s="3"/>
      <c r="E148" s="3"/>
      <c r="F148" s="3"/>
      <c r="G148" s="3"/>
      <c r="H148" s="3"/>
      <c r="I148" s="3"/>
      <c r="J148" s="3"/>
      <c r="K148" s="3"/>
      <c r="L148" s="3"/>
      <c r="M148" s="3"/>
      <c r="N148" s="3"/>
      <c r="O148" s="3"/>
      <c r="P148" s="264"/>
      <c r="Q148" s="264"/>
      <c r="R148" s="264"/>
      <c r="S148" s="264"/>
      <c r="T148" s="264"/>
      <c r="U148" s="264"/>
      <c r="V148" s="264"/>
      <c r="W148" s="3"/>
      <c r="X148" s="3"/>
      <c r="Y148" s="3"/>
      <c r="Z148" s="3"/>
      <c r="AA148" s="3"/>
      <c r="AB148" s="3"/>
      <c r="AC148" s="3"/>
    </row>
    <row r="149" ht="15.75" customHeight="1">
      <c r="A149" s="3"/>
      <c r="B149" s="3"/>
      <c r="C149" s="3"/>
      <c r="D149" s="3"/>
      <c r="E149" s="3"/>
      <c r="F149" s="3"/>
      <c r="G149" s="3"/>
      <c r="H149" s="3"/>
      <c r="I149" s="3"/>
      <c r="J149" s="3"/>
      <c r="K149" s="3"/>
      <c r="L149" s="3"/>
      <c r="M149" s="3"/>
      <c r="N149" s="3"/>
      <c r="O149" s="3"/>
      <c r="P149" s="264"/>
      <c r="Q149" s="264"/>
      <c r="R149" s="264"/>
      <c r="S149" s="264"/>
      <c r="T149" s="264"/>
      <c r="U149" s="264"/>
      <c r="V149" s="264"/>
      <c r="W149" s="3"/>
      <c r="X149" s="3"/>
      <c r="Y149" s="3"/>
      <c r="Z149" s="3"/>
      <c r="AA149" s="3"/>
      <c r="AB149" s="3"/>
      <c r="AC149" s="3"/>
    </row>
    <row r="150" ht="15.75" customHeight="1">
      <c r="A150" s="3"/>
      <c r="B150" s="3"/>
      <c r="C150" s="3"/>
      <c r="D150" s="3"/>
      <c r="E150" s="3"/>
      <c r="F150" s="3"/>
      <c r="G150" s="3"/>
      <c r="H150" s="3"/>
      <c r="I150" s="3"/>
      <c r="J150" s="3"/>
      <c r="K150" s="3"/>
      <c r="L150" s="3"/>
      <c r="M150" s="3"/>
      <c r="N150" s="3"/>
      <c r="O150" s="3"/>
      <c r="P150" s="264"/>
      <c r="Q150" s="264"/>
      <c r="R150" s="264"/>
      <c r="S150" s="264"/>
      <c r="T150" s="264"/>
      <c r="U150" s="264"/>
      <c r="V150" s="264"/>
      <c r="W150" s="3"/>
      <c r="X150" s="3"/>
      <c r="Y150" s="3"/>
      <c r="Z150" s="3"/>
      <c r="AA150" s="3"/>
      <c r="AB150" s="3"/>
      <c r="AC150" s="3"/>
    </row>
    <row r="151" ht="15.75" customHeight="1">
      <c r="A151" s="3"/>
      <c r="B151" s="3"/>
      <c r="C151" s="3"/>
      <c r="D151" s="3"/>
      <c r="E151" s="3"/>
      <c r="F151" s="3"/>
      <c r="G151" s="3"/>
      <c r="H151" s="3"/>
      <c r="I151" s="3"/>
      <c r="J151" s="3"/>
      <c r="K151" s="3"/>
      <c r="L151" s="3"/>
      <c r="M151" s="3"/>
      <c r="N151" s="3"/>
      <c r="O151" s="3"/>
      <c r="P151" s="264"/>
      <c r="Q151" s="264"/>
      <c r="R151" s="264"/>
      <c r="S151" s="264"/>
      <c r="T151" s="264"/>
      <c r="U151" s="264"/>
      <c r="V151" s="264"/>
      <c r="W151" s="3"/>
      <c r="X151" s="3"/>
      <c r="Y151" s="3"/>
      <c r="Z151" s="3"/>
      <c r="AA151" s="3"/>
      <c r="AB151" s="3"/>
      <c r="AC151" s="3"/>
    </row>
    <row r="152" ht="15.75" customHeight="1">
      <c r="A152" s="3"/>
      <c r="B152" s="3"/>
      <c r="C152" s="3"/>
      <c r="D152" s="3"/>
      <c r="E152" s="3"/>
      <c r="F152" s="3"/>
      <c r="G152" s="3"/>
      <c r="H152" s="3"/>
      <c r="I152" s="3"/>
      <c r="J152" s="3"/>
      <c r="K152" s="3"/>
      <c r="L152" s="3"/>
      <c r="M152" s="3"/>
      <c r="N152" s="3"/>
      <c r="O152" s="3"/>
      <c r="P152" s="264"/>
      <c r="Q152" s="264"/>
      <c r="R152" s="264"/>
      <c r="S152" s="264"/>
      <c r="T152" s="264"/>
      <c r="U152" s="264"/>
      <c r="V152" s="264"/>
      <c r="W152" s="3"/>
      <c r="X152" s="3"/>
      <c r="Y152" s="3"/>
      <c r="Z152" s="3"/>
      <c r="AA152" s="3"/>
      <c r="AB152" s="3"/>
      <c r="AC152" s="3"/>
    </row>
    <row r="153" ht="15.75" customHeight="1">
      <c r="A153" s="3"/>
      <c r="B153" s="3"/>
      <c r="C153" s="3"/>
      <c r="D153" s="3"/>
      <c r="E153" s="3"/>
      <c r="F153" s="3"/>
      <c r="G153" s="3"/>
      <c r="H153" s="3"/>
      <c r="I153" s="3"/>
      <c r="J153" s="3"/>
      <c r="K153" s="3"/>
      <c r="L153" s="3"/>
      <c r="M153" s="3"/>
      <c r="N153" s="3"/>
      <c r="O153" s="3"/>
      <c r="P153" s="264"/>
      <c r="Q153" s="264"/>
      <c r="R153" s="264"/>
      <c r="S153" s="264"/>
      <c r="T153" s="264"/>
      <c r="U153" s="264"/>
      <c r="V153" s="264"/>
      <c r="W153" s="3"/>
      <c r="X153" s="3"/>
      <c r="Y153" s="3"/>
      <c r="Z153" s="3"/>
      <c r="AA153" s="3"/>
      <c r="AB153" s="3"/>
      <c r="AC153" s="3"/>
    </row>
    <row r="154" ht="15.75" customHeight="1">
      <c r="A154" s="3"/>
      <c r="B154" s="3"/>
      <c r="C154" s="3"/>
      <c r="D154" s="3"/>
      <c r="E154" s="3"/>
      <c r="F154" s="3"/>
      <c r="G154" s="3"/>
      <c r="H154" s="3"/>
      <c r="I154" s="3"/>
      <c r="J154" s="3"/>
      <c r="K154" s="3"/>
      <c r="L154" s="3"/>
      <c r="M154" s="3"/>
      <c r="N154" s="3"/>
      <c r="O154" s="3"/>
      <c r="P154" s="264"/>
      <c r="Q154" s="264"/>
      <c r="R154" s="264"/>
      <c r="S154" s="264"/>
      <c r="T154" s="264"/>
      <c r="U154" s="264"/>
      <c r="V154" s="264"/>
      <c r="W154" s="3"/>
      <c r="X154" s="3"/>
      <c r="Y154" s="3"/>
      <c r="Z154" s="3"/>
      <c r="AA154" s="3"/>
      <c r="AB154" s="3"/>
      <c r="AC154" s="3"/>
    </row>
    <row r="155" ht="15.75" customHeight="1">
      <c r="A155" s="3"/>
      <c r="B155" s="3"/>
      <c r="C155" s="3"/>
      <c r="D155" s="3"/>
      <c r="E155" s="3"/>
      <c r="F155" s="3"/>
      <c r="G155" s="3"/>
      <c r="H155" s="3"/>
      <c r="I155" s="3"/>
      <c r="J155" s="3"/>
      <c r="K155" s="3"/>
      <c r="L155" s="3"/>
      <c r="M155" s="3"/>
      <c r="N155" s="3"/>
      <c r="O155" s="3"/>
      <c r="P155" s="264"/>
      <c r="Q155" s="264"/>
      <c r="R155" s="264"/>
      <c r="S155" s="264"/>
      <c r="T155" s="264"/>
      <c r="U155" s="264"/>
      <c r="V155" s="264"/>
      <c r="W155" s="3"/>
      <c r="X155" s="3"/>
      <c r="Y155" s="3"/>
      <c r="Z155" s="3"/>
      <c r="AA155" s="3"/>
      <c r="AB155" s="3"/>
      <c r="AC155" s="3"/>
    </row>
    <row r="156" ht="15.75" customHeight="1">
      <c r="A156" s="3"/>
      <c r="B156" s="3"/>
      <c r="C156" s="3"/>
      <c r="D156" s="3"/>
      <c r="E156" s="3"/>
      <c r="F156" s="3"/>
      <c r="G156" s="3"/>
      <c r="H156" s="3"/>
      <c r="I156" s="3"/>
      <c r="J156" s="3"/>
      <c r="K156" s="3"/>
      <c r="L156" s="3"/>
      <c r="M156" s="3"/>
      <c r="N156" s="3"/>
      <c r="O156" s="3"/>
      <c r="P156" s="264"/>
      <c r="Q156" s="264"/>
      <c r="R156" s="264"/>
      <c r="S156" s="264"/>
      <c r="T156" s="264"/>
      <c r="U156" s="264"/>
      <c r="V156" s="264"/>
      <c r="W156" s="3"/>
      <c r="X156" s="3"/>
      <c r="Y156" s="3"/>
      <c r="Z156" s="3"/>
      <c r="AA156" s="3"/>
      <c r="AB156" s="3"/>
      <c r="AC156" s="3"/>
    </row>
    <row r="157" ht="15.75" customHeight="1">
      <c r="A157" s="3"/>
      <c r="B157" s="3"/>
      <c r="C157" s="3"/>
      <c r="D157" s="3"/>
      <c r="E157" s="3"/>
      <c r="F157" s="3"/>
      <c r="G157" s="3"/>
      <c r="H157" s="3"/>
      <c r="I157" s="3"/>
      <c r="J157" s="3"/>
      <c r="K157" s="3"/>
      <c r="L157" s="3"/>
      <c r="M157" s="3"/>
      <c r="N157" s="3"/>
      <c r="O157" s="3"/>
      <c r="P157" s="264"/>
      <c r="Q157" s="264"/>
      <c r="R157" s="264"/>
      <c r="S157" s="264"/>
      <c r="T157" s="264"/>
      <c r="U157" s="264"/>
      <c r="V157" s="264"/>
      <c r="W157" s="3"/>
      <c r="X157" s="3"/>
      <c r="Y157" s="3"/>
      <c r="Z157" s="3"/>
      <c r="AA157" s="3"/>
      <c r="AB157" s="3"/>
      <c r="AC157" s="3"/>
    </row>
    <row r="158" ht="15.75" customHeight="1">
      <c r="A158" s="3"/>
      <c r="B158" s="3"/>
      <c r="C158" s="3"/>
      <c r="D158" s="3"/>
      <c r="E158" s="3"/>
      <c r="F158" s="3"/>
      <c r="G158" s="3"/>
      <c r="H158" s="3"/>
      <c r="I158" s="3"/>
      <c r="J158" s="3"/>
      <c r="K158" s="3"/>
      <c r="L158" s="3"/>
      <c r="M158" s="3"/>
      <c r="N158" s="3"/>
      <c r="O158" s="3"/>
      <c r="P158" s="264"/>
      <c r="Q158" s="264"/>
      <c r="R158" s="264"/>
      <c r="S158" s="264"/>
      <c r="T158" s="264"/>
      <c r="U158" s="264"/>
      <c r="V158" s="264"/>
      <c r="W158" s="3"/>
      <c r="X158" s="3"/>
      <c r="Y158" s="3"/>
      <c r="Z158" s="3"/>
      <c r="AA158" s="3"/>
      <c r="AB158" s="3"/>
      <c r="AC158" s="3"/>
    </row>
    <row r="159" ht="15.75" customHeight="1">
      <c r="A159" s="3"/>
      <c r="B159" s="3"/>
      <c r="C159" s="3"/>
      <c r="D159" s="3"/>
      <c r="E159" s="3"/>
      <c r="F159" s="3"/>
      <c r="G159" s="3"/>
      <c r="H159" s="3"/>
      <c r="I159" s="3"/>
      <c r="J159" s="3"/>
      <c r="K159" s="3"/>
      <c r="L159" s="3"/>
      <c r="M159" s="3"/>
      <c r="N159" s="3"/>
      <c r="O159" s="3"/>
      <c r="P159" s="264"/>
      <c r="Q159" s="264"/>
      <c r="R159" s="264"/>
      <c r="S159" s="264"/>
      <c r="T159" s="264"/>
      <c r="U159" s="264"/>
      <c r="V159" s="264"/>
      <c r="W159" s="3"/>
      <c r="X159" s="3"/>
      <c r="Y159" s="3"/>
      <c r="Z159" s="3"/>
      <c r="AA159" s="3"/>
      <c r="AB159" s="3"/>
      <c r="AC159" s="3"/>
    </row>
    <row r="160" ht="15.75" customHeight="1">
      <c r="A160" s="3"/>
      <c r="B160" s="3"/>
      <c r="C160" s="3"/>
      <c r="D160" s="3"/>
      <c r="E160" s="3"/>
      <c r="F160" s="3"/>
      <c r="G160" s="3"/>
      <c r="H160" s="3"/>
      <c r="I160" s="3"/>
      <c r="J160" s="3"/>
      <c r="K160" s="3"/>
      <c r="L160" s="3"/>
      <c r="M160" s="3"/>
      <c r="N160" s="3"/>
      <c r="O160" s="3"/>
      <c r="P160" s="264"/>
      <c r="Q160" s="264"/>
      <c r="R160" s="264"/>
      <c r="S160" s="264"/>
      <c r="T160" s="264"/>
      <c r="U160" s="264"/>
      <c r="V160" s="264"/>
      <c r="W160" s="3"/>
      <c r="X160" s="3"/>
      <c r="Y160" s="3"/>
      <c r="Z160" s="3"/>
      <c r="AA160" s="3"/>
      <c r="AB160" s="3"/>
      <c r="AC160" s="3"/>
    </row>
    <row r="161" ht="15.75" customHeight="1">
      <c r="A161" s="3"/>
      <c r="B161" s="3"/>
      <c r="C161" s="3"/>
      <c r="D161" s="3"/>
      <c r="E161" s="3"/>
      <c r="F161" s="3"/>
      <c r="G161" s="3"/>
      <c r="H161" s="3"/>
      <c r="I161" s="3"/>
      <c r="J161" s="3"/>
      <c r="K161" s="3"/>
      <c r="L161" s="3"/>
      <c r="M161" s="3"/>
      <c r="N161" s="3"/>
      <c r="O161" s="3"/>
      <c r="P161" s="264"/>
      <c r="Q161" s="264"/>
      <c r="R161" s="264"/>
      <c r="S161" s="264"/>
      <c r="T161" s="264"/>
      <c r="U161" s="264"/>
      <c r="V161" s="264"/>
      <c r="W161" s="3"/>
      <c r="X161" s="3"/>
      <c r="Y161" s="3"/>
      <c r="Z161" s="3"/>
      <c r="AA161" s="3"/>
      <c r="AB161" s="3"/>
      <c r="AC161" s="3"/>
    </row>
    <row r="162" ht="15.75" customHeight="1">
      <c r="A162" s="3"/>
      <c r="B162" s="3"/>
      <c r="C162" s="3"/>
      <c r="D162" s="3"/>
      <c r="E162" s="3"/>
      <c r="F162" s="3"/>
      <c r="G162" s="3"/>
      <c r="H162" s="3"/>
      <c r="I162" s="3"/>
      <c r="J162" s="3"/>
      <c r="K162" s="3"/>
      <c r="L162" s="3"/>
      <c r="M162" s="3"/>
      <c r="N162" s="3"/>
      <c r="O162" s="3"/>
      <c r="P162" s="264"/>
      <c r="Q162" s="264"/>
      <c r="R162" s="264"/>
      <c r="S162" s="264"/>
      <c r="T162" s="264"/>
      <c r="U162" s="264"/>
      <c r="V162" s="264"/>
      <c r="W162" s="3"/>
      <c r="X162" s="3"/>
      <c r="Y162" s="3"/>
      <c r="Z162" s="3"/>
      <c r="AA162" s="3"/>
      <c r="AB162" s="3"/>
      <c r="AC162" s="3"/>
    </row>
    <row r="163" ht="15.75" customHeight="1">
      <c r="A163" s="3"/>
      <c r="B163" s="3"/>
      <c r="C163" s="3"/>
      <c r="D163" s="3"/>
      <c r="E163" s="3"/>
      <c r="F163" s="3"/>
      <c r="G163" s="3"/>
      <c r="H163" s="3"/>
      <c r="I163" s="3"/>
      <c r="J163" s="3"/>
      <c r="K163" s="3"/>
      <c r="L163" s="3"/>
      <c r="M163" s="3"/>
      <c r="N163" s="3"/>
      <c r="O163" s="3"/>
      <c r="P163" s="264"/>
      <c r="Q163" s="264"/>
      <c r="R163" s="264"/>
      <c r="S163" s="264"/>
      <c r="T163" s="264"/>
      <c r="U163" s="264"/>
      <c r="V163" s="264"/>
      <c r="W163" s="3"/>
      <c r="X163" s="3"/>
      <c r="Y163" s="3"/>
      <c r="Z163" s="3"/>
      <c r="AA163" s="3"/>
      <c r="AB163" s="3"/>
      <c r="AC163" s="3"/>
    </row>
    <row r="164" ht="15.75" customHeight="1">
      <c r="A164" s="3"/>
      <c r="B164" s="3"/>
      <c r="C164" s="3"/>
      <c r="D164" s="3"/>
      <c r="E164" s="3"/>
      <c r="F164" s="3"/>
      <c r="G164" s="3"/>
      <c r="H164" s="3"/>
      <c r="I164" s="3"/>
      <c r="J164" s="3"/>
      <c r="K164" s="3"/>
      <c r="L164" s="3"/>
      <c r="M164" s="3"/>
      <c r="N164" s="3"/>
      <c r="O164" s="3"/>
      <c r="P164" s="264"/>
      <c r="Q164" s="264"/>
      <c r="R164" s="264"/>
      <c r="S164" s="264"/>
      <c r="T164" s="264"/>
      <c r="U164" s="264"/>
      <c r="V164" s="264"/>
      <c r="W164" s="3"/>
      <c r="X164" s="3"/>
      <c r="Y164" s="3"/>
      <c r="Z164" s="3"/>
      <c r="AA164" s="3"/>
      <c r="AB164" s="3"/>
      <c r="AC164" s="3"/>
    </row>
    <row r="165" ht="15.75" customHeight="1">
      <c r="A165" s="3"/>
      <c r="B165" s="3"/>
      <c r="C165" s="3"/>
      <c r="D165" s="3"/>
      <c r="E165" s="3"/>
      <c r="F165" s="3"/>
      <c r="G165" s="3"/>
      <c r="H165" s="3"/>
      <c r="I165" s="3"/>
      <c r="J165" s="3"/>
      <c r="K165" s="3"/>
      <c r="L165" s="3"/>
      <c r="M165" s="3"/>
      <c r="N165" s="3"/>
      <c r="O165" s="3"/>
      <c r="P165" s="264"/>
      <c r="Q165" s="264"/>
      <c r="R165" s="264"/>
      <c r="S165" s="264"/>
      <c r="T165" s="264"/>
      <c r="U165" s="264"/>
      <c r="V165" s="264"/>
      <c r="W165" s="3"/>
      <c r="X165" s="3"/>
      <c r="Y165" s="3"/>
      <c r="Z165" s="3"/>
      <c r="AA165" s="3"/>
      <c r="AB165" s="3"/>
      <c r="AC165" s="3"/>
    </row>
    <row r="166" ht="15.75" customHeight="1">
      <c r="A166" s="3"/>
      <c r="B166" s="3"/>
      <c r="C166" s="3"/>
      <c r="D166" s="3"/>
      <c r="E166" s="3"/>
      <c r="F166" s="3"/>
      <c r="G166" s="3"/>
      <c r="H166" s="3"/>
      <c r="I166" s="3"/>
      <c r="J166" s="3"/>
      <c r="K166" s="3"/>
      <c r="L166" s="3"/>
      <c r="M166" s="3"/>
      <c r="N166" s="3"/>
      <c r="O166" s="3"/>
      <c r="P166" s="264"/>
      <c r="Q166" s="264"/>
      <c r="R166" s="264"/>
      <c r="S166" s="264"/>
      <c r="T166" s="264"/>
      <c r="U166" s="264"/>
      <c r="V166" s="264"/>
      <c r="W166" s="3"/>
      <c r="X166" s="3"/>
      <c r="Y166" s="3"/>
      <c r="Z166" s="3"/>
      <c r="AA166" s="3"/>
      <c r="AB166" s="3"/>
      <c r="AC166" s="3"/>
    </row>
    <row r="167" ht="15.75" customHeight="1">
      <c r="A167" s="3"/>
      <c r="B167" s="3"/>
      <c r="C167" s="3"/>
      <c r="D167" s="3"/>
      <c r="E167" s="3"/>
      <c r="F167" s="3"/>
      <c r="G167" s="3"/>
      <c r="H167" s="3"/>
      <c r="I167" s="3"/>
      <c r="J167" s="3"/>
      <c r="K167" s="3"/>
      <c r="L167" s="3"/>
      <c r="M167" s="3"/>
      <c r="N167" s="3"/>
      <c r="O167" s="3"/>
      <c r="P167" s="264"/>
      <c r="Q167" s="264"/>
      <c r="R167" s="264"/>
      <c r="S167" s="264"/>
      <c r="T167" s="264"/>
      <c r="U167" s="264"/>
      <c r="V167" s="264"/>
      <c r="W167" s="3"/>
      <c r="X167" s="3"/>
      <c r="Y167" s="3"/>
      <c r="Z167" s="3"/>
      <c r="AA167" s="3"/>
      <c r="AB167" s="3"/>
      <c r="AC167" s="3"/>
    </row>
    <row r="168" ht="15.75" customHeight="1">
      <c r="A168" s="3"/>
      <c r="B168" s="3"/>
      <c r="C168" s="3"/>
      <c r="D168" s="3"/>
      <c r="E168" s="3"/>
      <c r="F168" s="3"/>
      <c r="G168" s="3"/>
      <c r="H168" s="3"/>
      <c r="I168" s="3"/>
      <c r="J168" s="3"/>
      <c r="K168" s="3"/>
      <c r="L168" s="3"/>
      <c r="M168" s="3"/>
      <c r="N168" s="3"/>
      <c r="O168" s="3"/>
      <c r="P168" s="264"/>
      <c r="Q168" s="264"/>
      <c r="R168" s="264"/>
      <c r="S168" s="264"/>
      <c r="T168" s="264"/>
      <c r="U168" s="264"/>
      <c r="V168" s="264"/>
      <c r="W168" s="3"/>
      <c r="X168" s="3"/>
      <c r="Y168" s="3"/>
      <c r="Z168" s="3"/>
      <c r="AA168" s="3"/>
      <c r="AB168" s="3"/>
      <c r="AC168" s="3"/>
    </row>
    <row r="169" ht="15.75" customHeight="1">
      <c r="A169" s="3"/>
      <c r="B169" s="3"/>
      <c r="C169" s="3"/>
      <c r="D169" s="3"/>
      <c r="E169" s="3"/>
      <c r="F169" s="3"/>
      <c r="G169" s="3"/>
      <c r="H169" s="3"/>
      <c r="I169" s="3"/>
      <c r="J169" s="3"/>
      <c r="K169" s="3"/>
      <c r="L169" s="3"/>
      <c r="M169" s="3"/>
      <c r="N169" s="3"/>
      <c r="O169" s="3"/>
      <c r="P169" s="264"/>
      <c r="Q169" s="264"/>
      <c r="R169" s="264"/>
      <c r="S169" s="264"/>
      <c r="T169" s="264"/>
      <c r="U169" s="264"/>
      <c r="V169" s="264"/>
      <c r="W169" s="3"/>
      <c r="X169" s="3"/>
      <c r="Y169" s="3"/>
      <c r="Z169" s="3"/>
      <c r="AA169" s="3"/>
      <c r="AB169" s="3"/>
      <c r="AC169" s="3"/>
    </row>
    <row r="170" ht="15.75" customHeight="1">
      <c r="A170" s="3"/>
      <c r="B170" s="3"/>
      <c r="C170" s="3"/>
      <c r="D170" s="3"/>
      <c r="E170" s="3"/>
      <c r="F170" s="3"/>
      <c r="G170" s="3"/>
      <c r="H170" s="3"/>
      <c r="I170" s="3"/>
      <c r="J170" s="3"/>
      <c r="K170" s="3"/>
      <c r="L170" s="3"/>
      <c r="M170" s="3"/>
      <c r="N170" s="3"/>
      <c r="O170" s="3"/>
      <c r="P170" s="264"/>
      <c r="Q170" s="264"/>
      <c r="R170" s="264"/>
      <c r="S170" s="264"/>
      <c r="T170" s="264"/>
      <c r="U170" s="264"/>
      <c r="V170" s="264"/>
      <c r="W170" s="3"/>
      <c r="X170" s="3"/>
      <c r="Y170" s="3"/>
      <c r="Z170" s="3"/>
      <c r="AA170" s="3"/>
      <c r="AB170" s="3"/>
      <c r="AC170" s="3"/>
    </row>
    <row r="171" ht="15.75" customHeight="1">
      <c r="A171" s="3"/>
      <c r="B171" s="3"/>
      <c r="C171" s="3"/>
      <c r="D171" s="3"/>
      <c r="E171" s="3"/>
      <c r="F171" s="3"/>
      <c r="G171" s="3"/>
      <c r="H171" s="3"/>
      <c r="I171" s="3"/>
      <c r="J171" s="3"/>
      <c r="K171" s="3"/>
      <c r="L171" s="3"/>
      <c r="M171" s="3"/>
      <c r="N171" s="3"/>
      <c r="O171" s="3"/>
      <c r="P171" s="264"/>
      <c r="Q171" s="264"/>
      <c r="R171" s="264"/>
      <c r="S171" s="264"/>
      <c r="T171" s="264"/>
      <c r="U171" s="264"/>
      <c r="V171" s="264"/>
      <c r="W171" s="3"/>
      <c r="X171" s="3"/>
      <c r="Y171" s="3"/>
      <c r="Z171" s="3"/>
      <c r="AA171" s="3"/>
      <c r="AB171" s="3"/>
      <c r="AC171" s="3"/>
    </row>
    <row r="172" ht="15.75" customHeight="1">
      <c r="A172" s="3"/>
      <c r="B172" s="3"/>
      <c r="C172" s="3"/>
      <c r="D172" s="3"/>
      <c r="E172" s="3"/>
      <c r="F172" s="3"/>
      <c r="G172" s="3"/>
      <c r="H172" s="3"/>
      <c r="I172" s="3"/>
      <c r="J172" s="3"/>
      <c r="K172" s="3"/>
      <c r="L172" s="3"/>
      <c r="M172" s="3"/>
      <c r="N172" s="3"/>
      <c r="O172" s="3"/>
      <c r="P172" s="264"/>
      <c r="Q172" s="264"/>
      <c r="R172" s="264"/>
      <c r="S172" s="264"/>
      <c r="T172" s="264"/>
      <c r="U172" s="264"/>
      <c r="V172" s="264"/>
      <c r="W172" s="3"/>
      <c r="X172" s="3"/>
      <c r="Y172" s="3"/>
      <c r="Z172" s="3"/>
      <c r="AA172" s="3"/>
      <c r="AB172" s="3"/>
      <c r="AC172" s="3"/>
    </row>
    <row r="173" ht="15.75" customHeight="1">
      <c r="A173" s="3"/>
      <c r="B173" s="3"/>
      <c r="C173" s="3"/>
      <c r="D173" s="3"/>
      <c r="E173" s="3"/>
      <c r="F173" s="3"/>
      <c r="G173" s="3"/>
      <c r="H173" s="3"/>
      <c r="I173" s="3"/>
      <c r="J173" s="3"/>
      <c r="K173" s="3"/>
      <c r="L173" s="3"/>
      <c r="M173" s="3"/>
      <c r="N173" s="3"/>
      <c r="O173" s="3"/>
      <c r="P173" s="264"/>
      <c r="Q173" s="264"/>
      <c r="R173" s="264"/>
      <c r="S173" s="264"/>
      <c r="T173" s="264"/>
      <c r="U173" s="264"/>
      <c r="V173" s="264"/>
      <c r="W173" s="3"/>
      <c r="X173" s="3"/>
      <c r="Y173" s="3"/>
      <c r="Z173" s="3"/>
      <c r="AA173" s="3"/>
      <c r="AB173" s="3"/>
      <c r="AC173" s="3"/>
    </row>
    <row r="174" ht="15.75" customHeight="1">
      <c r="A174" s="3"/>
      <c r="B174" s="3"/>
      <c r="C174" s="3"/>
      <c r="D174" s="3"/>
      <c r="E174" s="3"/>
      <c r="F174" s="3"/>
      <c r="G174" s="3"/>
      <c r="H174" s="3"/>
      <c r="I174" s="3"/>
      <c r="J174" s="3"/>
      <c r="K174" s="3"/>
      <c r="L174" s="3"/>
      <c r="M174" s="3"/>
      <c r="N174" s="3"/>
      <c r="O174" s="3"/>
      <c r="P174" s="264"/>
      <c r="Q174" s="264"/>
      <c r="R174" s="264"/>
      <c r="S174" s="264"/>
      <c r="T174" s="264"/>
      <c r="U174" s="264"/>
      <c r="V174" s="264"/>
      <c r="W174" s="3"/>
      <c r="X174" s="3"/>
      <c r="Y174" s="3"/>
      <c r="Z174" s="3"/>
      <c r="AA174" s="3"/>
      <c r="AB174" s="3"/>
      <c r="AC174" s="3"/>
    </row>
    <row r="175" ht="15.75" customHeight="1">
      <c r="A175" s="3"/>
      <c r="B175" s="3"/>
      <c r="C175" s="3"/>
      <c r="D175" s="3"/>
      <c r="E175" s="3"/>
      <c r="F175" s="3"/>
      <c r="G175" s="3"/>
      <c r="H175" s="3"/>
      <c r="I175" s="3"/>
      <c r="J175" s="3"/>
      <c r="K175" s="3"/>
      <c r="L175" s="3"/>
      <c r="M175" s="3"/>
      <c r="N175" s="3"/>
      <c r="O175" s="3"/>
      <c r="P175" s="264"/>
      <c r="Q175" s="264"/>
      <c r="R175" s="264"/>
      <c r="S175" s="264"/>
      <c r="T175" s="264"/>
      <c r="U175" s="264"/>
      <c r="V175" s="264"/>
      <c r="W175" s="3"/>
      <c r="X175" s="3"/>
      <c r="Y175" s="3"/>
      <c r="Z175" s="3"/>
      <c r="AA175" s="3"/>
      <c r="AB175" s="3"/>
      <c r="AC175" s="3"/>
    </row>
    <row r="176" ht="15.75" customHeight="1">
      <c r="A176" s="3"/>
      <c r="B176" s="3"/>
      <c r="C176" s="3"/>
      <c r="D176" s="3"/>
      <c r="E176" s="3"/>
      <c r="F176" s="3"/>
      <c r="G176" s="3"/>
      <c r="H176" s="3"/>
      <c r="I176" s="3"/>
      <c r="J176" s="3"/>
      <c r="K176" s="3"/>
      <c r="L176" s="3"/>
      <c r="M176" s="3"/>
      <c r="N176" s="3"/>
      <c r="O176" s="3"/>
      <c r="P176" s="264"/>
      <c r="Q176" s="264"/>
      <c r="R176" s="264"/>
      <c r="S176" s="264"/>
      <c r="T176" s="264"/>
      <c r="U176" s="264"/>
      <c r="V176" s="264"/>
      <c r="W176" s="3"/>
      <c r="X176" s="3"/>
      <c r="Y176" s="3"/>
      <c r="Z176" s="3"/>
      <c r="AA176" s="3"/>
      <c r="AB176" s="3"/>
      <c r="AC176" s="3"/>
    </row>
    <row r="177" ht="15.75" customHeight="1">
      <c r="A177" s="3"/>
      <c r="B177" s="3"/>
      <c r="C177" s="3"/>
      <c r="D177" s="3"/>
      <c r="E177" s="3"/>
      <c r="F177" s="3"/>
      <c r="G177" s="3"/>
      <c r="H177" s="3"/>
      <c r="I177" s="3"/>
      <c r="J177" s="3"/>
      <c r="K177" s="3"/>
      <c r="L177" s="3"/>
      <c r="M177" s="3"/>
      <c r="N177" s="3"/>
      <c r="O177" s="3"/>
      <c r="P177" s="264"/>
      <c r="Q177" s="264"/>
      <c r="R177" s="264"/>
      <c r="S177" s="264"/>
      <c r="T177" s="264"/>
      <c r="U177" s="264"/>
      <c r="V177" s="264"/>
      <c r="W177" s="3"/>
      <c r="X177" s="3"/>
      <c r="Y177" s="3"/>
      <c r="Z177" s="3"/>
      <c r="AA177" s="3"/>
      <c r="AB177" s="3"/>
      <c r="AC177" s="3"/>
    </row>
    <row r="178" ht="15.75" customHeight="1">
      <c r="A178" s="3"/>
      <c r="B178" s="3"/>
      <c r="C178" s="3"/>
      <c r="D178" s="3"/>
      <c r="E178" s="3"/>
      <c r="F178" s="3"/>
      <c r="G178" s="3"/>
      <c r="H178" s="3"/>
      <c r="I178" s="3"/>
      <c r="J178" s="3"/>
      <c r="K178" s="3"/>
      <c r="L178" s="3"/>
      <c r="M178" s="3"/>
      <c r="N178" s="3"/>
      <c r="O178" s="3"/>
      <c r="P178" s="264"/>
      <c r="Q178" s="264"/>
      <c r="R178" s="264"/>
      <c r="S178" s="264"/>
      <c r="T178" s="264"/>
      <c r="U178" s="264"/>
      <c r="V178" s="264"/>
      <c r="W178" s="3"/>
      <c r="X178" s="3"/>
      <c r="Y178" s="3"/>
      <c r="Z178" s="3"/>
      <c r="AA178" s="3"/>
      <c r="AB178" s="3"/>
      <c r="AC178" s="3"/>
    </row>
    <row r="179" ht="15.75" customHeight="1">
      <c r="A179" s="3"/>
      <c r="B179" s="3"/>
      <c r="C179" s="3"/>
      <c r="D179" s="3"/>
      <c r="E179" s="3"/>
      <c r="F179" s="3"/>
      <c r="G179" s="3"/>
      <c r="H179" s="3"/>
      <c r="I179" s="3"/>
      <c r="J179" s="3"/>
      <c r="K179" s="3"/>
      <c r="L179" s="3"/>
      <c r="M179" s="3"/>
      <c r="N179" s="3"/>
      <c r="O179" s="3"/>
      <c r="P179" s="264"/>
      <c r="Q179" s="264"/>
      <c r="R179" s="264"/>
      <c r="S179" s="264"/>
      <c r="T179" s="264"/>
      <c r="U179" s="264"/>
      <c r="V179" s="264"/>
      <c r="W179" s="3"/>
      <c r="X179" s="3"/>
      <c r="Y179" s="3"/>
      <c r="Z179" s="3"/>
      <c r="AA179" s="3"/>
      <c r="AB179" s="3"/>
      <c r="AC179" s="3"/>
    </row>
    <row r="180" ht="15.75" customHeight="1">
      <c r="A180" s="3"/>
      <c r="B180" s="3"/>
      <c r="C180" s="3"/>
      <c r="D180" s="3"/>
      <c r="E180" s="3"/>
      <c r="F180" s="3"/>
      <c r="G180" s="3"/>
      <c r="H180" s="3"/>
      <c r="I180" s="3"/>
      <c r="J180" s="3"/>
      <c r="K180" s="3"/>
      <c r="L180" s="3"/>
      <c r="M180" s="3"/>
      <c r="N180" s="3"/>
      <c r="O180" s="3"/>
      <c r="P180" s="264"/>
      <c r="Q180" s="264"/>
      <c r="R180" s="264"/>
      <c r="S180" s="264"/>
      <c r="T180" s="264"/>
      <c r="U180" s="264"/>
      <c r="V180" s="264"/>
      <c r="W180" s="3"/>
      <c r="X180" s="3"/>
      <c r="Y180" s="3"/>
      <c r="Z180" s="3"/>
      <c r="AA180" s="3"/>
      <c r="AB180" s="3"/>
      <c r="AC180" s="3"/>
    </row>
    <row r="181" ht="15.75" customHeight="1">
      <c r="A181" s="3"/>
      <c r="B181" s="3"/>
      <c r="C181" s="3"/>
      <c r="D181" s="3"/>
      <c r="E181" s="3"/>
      <c r="F181" s="3"/>
      <c r="G181" s="3"/>
      <c r="H181" s="3"/>
      <c r="I181" s="3"/>
      <c r="J181" s="3"/>
      <c r="K181" s="3"/>
      <c r="L181" s="3"/>
      <c r="M181" s="3"/>
      <c r="N181" s="3"/>
      <c r="O181" s="3"/>
      <c r="P181" s="264"/>
      <c r="Q181" s="264"/>
      <c r="R181" s="264"/>
      <c r="S181" s="264"/>
      <c r="T181" s="264"/>
      <c r="U181" s="264"/>
      <c r="V181" s="264"/>
      <c r="W181" s="3"/>
      <c r="X181" s="3"/>
      <c r="Y181" s="3"/>
      <c r="Z181" s="3"/>
      <c r="AA181" s="3"/>
      <c r="AB181" s="3"/>
      <c r="AC181" s="3"/>
    </row>
    <row r="182" ht="15.75" customHeight="1">
      <c r="A182" s="3"/>
      <c r="B182" s="3"/>
      <c r="C182" s="3"/>
      <c r="D182" s="3"/>
      <c r="E182" s="3"/>
      <c r="F182" s="3"/>
      <c r="G182" s="3"/>
      <c r="H182" s="3"/>
      <c r="I182" s="3"/>
      <c r="J182" s="3"/>
      <c r="K182" s="3"/>
      <c r="L182" s="3"/>
      <c r="M182" s="3"/>
      <c r="N182" s="3"/>
      <c r="O182" s="3"/>
      <c r="P182" s="264"/>
      <c r="Q182" s="264"/>
      <c r="R182" s="264"/>
      <c r="S182" s="264"/>
      <c r="T182" s="264"/>
      <c r="U182" s="264"/>
      <c r="V182" s="264"/>
      <c r="W182" s="3"/>
      <c r="X182" s="3"/>
      <c r="Y182" s="3"/>
      <c r="Z182" s="3"/>
      <c r="AA182" s="3"/>
      <c r="AB182" s="3"/>
      <c r="AC182" s="3"/>
    </row>
    <row r="183" ht="15.75" customHeight="1">
      <c r="A183" s="3"/>
      <c r="B183" s="3"/>
      <c r="C183" s="3"/>
      <c r="D183" s="3"/>
      <c r="E183" s="3"/>
      <c r="F183" s="3"/>
      <c r="G183" s="3"/>
      <c r="H183" s="3"/>
      <c r="I183" s="3"/>
      <c r="J183" s="3"/>
      <c r="K183" s="3"/>
      <c r="L183" s="3"/>
      <c r="M183" s="3"/>
      <c r="N183" s="3"/>
      <c r="O183" s="3"/>
      <c r="P183" s="264"/>
      <c r="Q183" s="264"/>
      <c r="R183" s="264"/>
      <c r="S183" s="264"/>
      <c r="T183" s="264"/>
      <c r="U183" s="264"/>
      <c r="V183" s="264"/>
      <c r="W183" s="3"/>
      <c r="X183" s="3"/>
      <c r="Y183" s="3"/>
      <c r="Z183" s="3"/>
      <c r="AA183" s="3"/>
      <c r="AB183" s="3"/>
      <c r="AC183" s="3"/>
    </row>
    <row r="184" ht="15.75" customHeight="1">
      <c r="A184" s="3"/>
      <c r="B184" s="3"/>
      <c r="C184" s="3"/>
      <c r="D184" s="3"/>
      <c r="E184" s="3"/>
      <c r="F184" s="3"/>
      <c r="G184" s="3"/>
      <c r="H184" s="3"/>
      <c r="I184" s="3"/>
      <c r="J184" s="3"/>
      <c r="K184" s="3"/>
      <c r="L184" s="3"/>
      <c r="M184" s="3"/>
      <c r="N184" s="3"/>
      <c r="O184" s="3"/>
      <c r="P184" s="264"/>
      <c r="Q184" s="264"/>
      <c r="R184" s="264"/>
      <c r="S184" s="264"/>
      <c r="T184" s="264"/>
      <c r="U184" s="264"/>
      <c r="V184" s="264"/>
      <c r="W184" s="3"/>
      <c r="X184" s="3"/>
      <c r="Y184" s="3"/>
      <c r="Z184" s="3"/>
      <c r="AA184" s="3"/>
      <c r="AB184" s="3"/>
      <c r="AC184" s="3"/>
    </row>
    <row r="185" ht="15.75" customHeight="1">
      <c r="A185" s="3"/>
      <c r="B185" s="3"/>
      <c r="C185" s="3"/>
      <c r="D185" s="3"/>
      <c r="E185" s="3"/>
      <c r="F185" s="3"/>
      <c r="G185" s="3"/>
      <c r="H185" s="3"/>
      <c r="I185" s="3"/>
      <c r="J185" s="3"/>
      <c r="K185" s="3"/>
      <c r="L185" s="3"/>
      <c r="M185" s="3"/>
      <c r="N185" s="3"/>
      <c r="O185" s="3"/>
      <c r="P185" s="264"/>
      <c r="Q185" s="264"/>
      <c r="R185" s="264"/>
      <c r="S185" s="264"/>
      <c r="T185" s="264"/>
      <c r="U185" s="264"/>
      <c r="V185" s="264"/>
      <c r="W185" s="3"/>
      <c r="X185" s="3"/>
      <c r="Y185" s="3"/>
      <c r="Z185" s="3"/>
      <c r="AA185" s="3"/>
      <c r="AB185" s="3"/>
      <c r="AC185" s="3"/>
    </row>
    <row r="186" ht="15.75" customHeight="1">
      <c r="A186" s="3"/>
      <c r="B186" s="3"/>
      <c r="C186" s="3"/>
      <c r="D186" s="3"/>
      <c r="E186" s="3"/>
      <c r="F186" s="3"/>
      <c r="G186" s="3"/>
      <c r="H186" s="3"/>
      <c r="I186" s="3"/>
      <c r="J186" s="3"/>
      <c r="K186" s="3"/>
      <c r="L186" s="3"/>
      <c r="M186" s="3"/>
      <c r="N186" s="3"/>
      <c r="O186" s="3"/>
      <c r="P186" s="264"/>
      <c r="Q186" s="264"/>
      <c r="R186" s="264"/>
      <c r="S186" s="264"/>
      <c r="T186" s="264"/>
      <c r="U186" s="264"/>
      <c r="V186" s="264"/>
      <c r="W186" s="3"/>
      <c r="X186" s="3"/>
      <c r="Y186" s="3"/>
      <c r="Z186" s="3"/>
      <c r="AA186" s="3"/>
      <c r="AB186" s="3"/>
      <c r="AC186" s="3"/>
    </row>
    <row r="187" ht="15.75" customHeight="1">
      <c r="A187" s="3"/>
      <c r="B187" s="3"/>
      <c r="C187" s="3"/>
      <c r="D187" s="3"/>
      <c r="E187" s="3"/>
      <c r="F187" s="3"/>
      <c r="G187" s="3"/>
      <c r="H187" s="3"/>
      <c r="I187" s="3"/>
      <c r="J187" s="3"/>
      <c r="K187" s="3"/>
      <c r="L187" s="3"/>
      <c r="M187" s="3"/>
      <c r="N187" s="3"/>
      <c r="O187" s="3"/>
      <c r="P187" s="264"/>
      <c r="Q187" s="264"/>
      <c r="R187" s="264"/>
      <c r="S187" s="264"/>
      <c r="T187" s="264"/>
      <c r="U187" s="264"/>
      <c r="V187" s="264"/>
      <c r="W187" s="3"/>
      <c r="X187" s="3"/>
      <c r="Y187" s="3"/>
      <c r="Z187" s="3"/>
      <c r="AA187" s="3"/>
      <c r="AB187" s="3"/>
      <c r="AC187" s="3"/>
    </row>
    <row r="188" ht="15.75" customHeight="1">
      <c r="A188" s="3"/>
      <c r="B188" s="3"/>
      <c r="C188" s="3"/>
      <c r="D188" s="3"/>
      <c r="E188" s="3"/>
      <c r="F188" s="3"/>
      <c r="G188" s="3"/>
      <c r="H188" s="3"/>
      <c r="I188" s="3"/>
      <c r="J188" s="3"/>
      <c r="K188" s="3"/>
      <c r="L188" s="3"/>
      <c r="M188" s="3"/>
      <c r="N188" s="3"/>
      <c r="O188" s="3"/>
      <c r="P188" s="264"/>
      <c r="Q188" s="264"/>
      <c r="R188" s="264"/>
      <c r="S188" s="264"/>
      <c r="T188" s="264"/>
      <c r="U188" s="264"/>
      <c r="V188" s="264"/>
      <c r="W188" s="3"/>
      <c r="X188" s="3"/>
      <c r="Y188" s="3"/>
      <c r="Z188" s="3"/>
      <c r="AA188" s="3"/>
      <c r="AB188" s="3"/>
      <c r="AC188" s="3"/>
    </row>
    <row r="189" ht="15.75" customHeight="1">
      <c r="A189" s="3"/>
      <c r="B189" s="3"/>
      <c r="C189" s="3"/>
      <c r="D189" s="3"/>
      <c r="E189" s="3"/>
      <c r="F189" s="3"/>
      <c r="G189" s="3"/>
      <c r="H189" s="3"/>
      <c r="I189" s="3"/>
      <c r="J189" s="3"/>
      <c r="K189" s="3"/>
      <c r="L189" s="3"/>
      <c r="M189" s="3"/>
      <c r="N189" s="3"/>
      <c r="O189" s="3"/>
      <c r="P189" s="264"/>
      <c r="Q189" s="264"/>
      <c r="R189" s="264"/>
      <c r="S189" s="264"/>
      <c r="T189" s="264"/>
      <c r="U189" s="264"/>
      <c r="V189" s="264"/>
      <c r="W189" s="3"/>
      <c r="X189" s="3"/>
      <c r="Y189" s="3"/>
      <c r="Z189" s="3"/>
      <c r="AA189" s="3"/>
      <c r="AB189" s="3"/>
      <c r="AC189" s="3"/>
    </row>
    <row r="190" ht="15.75" customHeight="1">
      <c r="A190" s="3"/>
      <c r="B190" s="3"/>
      <c r="C190" s="3"/>
      <c r="D190" s="3"/>
      <c r="E190" s="3"/>
      <c r="F190" s="3"/>
      <c r="G190" s="3"/>
      <c r="H190" s="3"/>
      <c r="I190" s="3"/>
      <c r="J190" s="3"/>
      <c r="K190" s="3"/>
      <c r="L190" s="3"/>
      <c r="M190" s="3"/>
      <c r="N190" s="3"/>
      <c r="O190" s="3"/>
      <c r="P190" s="264"/>
      <c r="Q190" s="264"/>
      <c r="R190" s="264"/>
      <c r="S190" s="264"/>
      <c r="T190" s="264"/>
      <c r="U190" s="264"/>
      <c r="V190" s="264"/>
      <c r="W190" s="3"/>
      <c r="X190" s="3"/>
      <c r="Y190" s="3"/>
      <c r="Z190" s="3"/>
      <c r="AA190" s="3"/>
      <c r="AB190" s="3"/>
      <c r="AC190" s="3"/>
    </row>
    <row r="191" ht="15.75" customHeight="1">
      <c r="A191" s="3"/>
      <c r="B191" s="3"/>
      <c r="C191" s="3"/>
      <c r="D191" s="3"/>
      <c r="E191" s="3"/>
      <c r="F191" s="3"/>
      <c r="G191" s="3"/>
      <c r="H191" s="3"/>
      <c r="I191" s="3"/>
      <c r="J191" s="3"/>
      <c r="K191" s="3"/>
      <c r="L191" s="3"/>
      <c r="M191" s="3"/>
      <c r="N191" s="3"/>
      <c r="O191" s="3"/>
      <c r="P191" s="264"/>
      <c r="Q191" s="264"/>
      <c r="R191" s="264"/>
      <c r="S191" s="264"/>
      <c r="T191" s="264"/>
      <c r="U191" s="264"/>
      <c r="V191" s="264"/>
      <c r="W191" s="3"/>
      <c r="X191" s="3"/>
      <c r="Y191" s="3"/>
      <c r="Z191" s="3"/>
      <c r="AA191" s="3"/>
      <c r="AB191" s="3"/>
      <c r="AC191" s="3"/>
    </row>
    <row r="192" ht="15.75" customHeight="1">
      <c r="A192" s="3"/>
      <c r="B192" s="3"/>
      <c r="C192" s="3"/>
      <c r="D192" s="3"/>
      <c r="E192" s="3"/>
      <c r="F192" s="3"/>
      <c r="G192" s="3"/>
      <c r="H192" s="3"/>
      <c r="I192" s="3"/>
      <c r="J192" s="3"/>
      <c r="K192" s="3"/>
      <c r="L192" s="3"/>
      <c r="M192" s="3"/>
      <c r="N192" s="3"/>
      <c r="O192" s="3"/>
      <c r="P192" s="264"/>
      <c r="Q192" s="264"/>
      <c r="R192" s="264"/>
      <c r="S192" s="264"/>
      <c r="T192" s="264"/>
      <c r="U192" s="264"/>
      <c r="V192" s="264"/>
      <c r="W192" s="3"/>
      <c r="X192" s="3"/>
      <c r="Y192" s="3"/>
      <c r="Z192" s="3"/>
      <c r="AA192" s="3"/>
      <c r="AB192" s="3"/>
      <c r="AC192" s="3"/>
    </row>
    <row r="193" ht="15.75" customHeight="1">
      <c r="A193" s="3"/>
      <c r="B193" s="3"/>
      <c r="C193" s="3"/>
      <c r="D193" s="3"/>
      <c r="E193" s="3"/>
      <c r="F193" s="3"/>
      <c r="G193" s="3"/>
      <c r="H193" s="3"/>
      <c r="I193" s="3"/>
      <c r="J193" s="3"/>
      <c r="K193" s="3"/>
      <c r="L193" s="3"/>
      <c r="M193" s="3"/>
      <c r="N193" s="3"/>
      <c r="O193" s="3"/>
      <c r="P193" s="264"/>
      <c r="Q193" s="264"/>
      <c r="R193" s="264"/>
      <c r="S193" s="264"/>
      <c r="T193" s="264"/>
      <c r="U193" s="264"/>
      <c r="V193" s="264"/>
      <c r="W193" s="3"/>
      <c r="X193" s="3"/>
      <c r="Y193" s="3"/>
      <c r="Z193" s="3"/>
      <c r="AA193" s="3"/>
      <c r="AB193" s="3"/>
      <c r="AC193" s="3"/>
    </row>
    <row r="194" ht="15.75" customHeight="1">
      <c r="A194" s="3"/>
      <c r="B194" s="3"/>
      <c r="C194" s="3"/>
      <c r="D194" s="3"/>
      <c r="E194" s="3"/>
      <c r="F194" s="3"/>
      <c r="G194" s="3"/>
      <c r="H194" s="3"/>
      <c r="I194" s="3"/>
      <c r="J194" s="3"/>
      <c r="K194" s="3"/>
      <c r="L194" s="3"/>
      <c r="M194" s="3"/>
      <c r="N194" s="3"/>
      <c r="O194" s="3"/>
      <c r="P194" s="264"/>
      <c r="Q194" s="264"/>
      <c r="R194" s="264"/>
      <c r="S194" s="264"/>
      <c r="T194" s="264"/>
      <c r="U194" s="264"/>
      <c r="V194" s="264"/>
      <c r="W194" s="3"/>
      <c r="X194" s="3"/>
      <c r="Y194" s="3"/>
      <c r="Z194" s="3"/>
      <c r="AA194" s="3"/>
      <c r="AB194" s="3"/>
      <c r="AC194" s="3"/>
    </row>
    <row r="195" ht="15.75" customHeight="1">
      <c r="A195" s="3"/>
      <c r="B195" s="3"/>
      <c r="C195" s="3"/>
      <c r="D195" s="3"/>
      <c r="E195" s="3"/>
      <c r="F195" s="3"/>
      <c r="G195" s="3"/>
      <c r="H195" s="3"/>
      <c r="I195" s="3"/>
      <c r="J195" s="3"/>
      <c r="K195" s="3"/>
      <c r="L195" s="3"/>
      <c r="M195" s="3"/>
      <c r="N195" s="3"/>
      <c r="O195" s="3"/>
      <c r="P195" s="264"/>
      <c r="Q195" s="264"/>
      <c r="R195" s="264"/>
      <c r="S195" s="264"/>
      <c r="T195" s="264"/>
      <c r="U195" s="264"/>
      <c r="V195" s="264"/>
      <c r="W195" s="3"/>
      <c r="X195" s="3"/>
      <c r="Y195" s="3"/>
      <c r="Z195" s="3"/>
      <c r="AA195" s="3"/>
      <c r="AB195" s="3"/>
      <c r="AC195" s="3"/>
    </row>
    <row r="196" ht="15.75" customHeight="1">
      <c r="A196" s="3"/>
      <c r="B196" s="3"/>
      <c r="C196" s="3"/>
      <c r="D196" s="3"/>
      <c r="E196" s="3"/>
      <c r="F196" s="3"/>
      <c r="G196" s="3"/>
      <c r="H196" s="3"/>
      <c r="I196" s="3"/>
      <c r="J196" s="3"/>
      <c r="K196" s="3"/>
      <c r="L196" s="3"/>
      <c r="M196" s="3"/>
      <c r="N196" s="3"/>
      <c r="O196" s="3"/>
      <c r="P196" s="264"/>
      <c r="Q196" s="264"/>
      <c r="R196" s="264"/>
      <c r="S196" s="264"/>
      <c r="T196" s="264"/>
      <c r="U196" s="264"/>
      <c r="V196" s="264"/>
      <c r="W196" s="3"/>
      <c r="X196" s="3"/>
      <c r="Y196" s="3"/>
      <c r="Z196" s="3"/>
      <c r="AA196" s="3"/>
      <c r="AB196" s="3"/>
      <c r="AC196" s="3"/>
    </row>
    <row r="197" ht="15.75" customHeight="1">
      <c r="A197" s="3"/>
      <c r="B197" s="3"/>
      <c r="C197" s="3"/>
      <c r="D197" s="3"/>
      <c r="E197" s="3"/>
      <c r="F197" s="3"/>
      <c r="G197" s="3"/>
      <c r="H197" s="3"/>
      <c r="I197" s="3"/>
      <c r="J197" s="3"/>
      <c r="K197" s="3"/>
      <c r="L197" s="3"/>
      <c r="M197" s="3"/>
      <c r="N197" s="3"/>
      <c r="O197" s="3"/>
      <c r="P197" s="264"/>
      <c r="Q197" s="264"/>
      <c r="R197" s="264"/>
      <c r="S197" s="264"/>
      <c r="T197" s="264"/>
      <c r="U197" s="264"/>
      <c r="V197" s="264"/>
      <c r="W197" s="3"/>
      <c r="X197" s="3"/>
      <c r="Y197" s="3"/>
      <c r="Z197" s="3"/>
      <c r="AA197" s="3"/>
      <c r="AB197" s="3"/>
      <c r="AC197" s="3"/>
    </row>
    <row r="198" ht="15.75" customHeight="1">
      <c r="A198" s="3"/>
      <c r="B198" s="3"/>
      <c r="C198" s="3"/>
      <c r="D198" s="3"/>
      <c r="E198" s="3"/>
      <c r="F198" s="3"/>
      <c r="G198" s="3"/>
      <c r="H198" s="3"/>
      <c r="I198" s="3"/>
      <c r="J198" s="3"/>
      <c r="K198" s="3"/>
      <c r="L198" s="3"/>
      <c r="M198" s="3"/>
      <c r="N198" s="3"/>
      <c r="O198" s="3"/>
      <c r="P198" s="264"/>
      <c r="Q198" s="264"/>
      <c r="R198" s="264"/>
      <c r="S198" s="264"/>
      <c r="T198" s="264"/>
      <c r="U198" s="264"/>
      <c r="V198" s="264"/>
      <c r="W198" s="3"/>
      <c r="X198" s="3"/>
      <c r="Y198" s="3"/>
      <c r="Z198" s="3"/>
      <c r="AA198" s="3"/>
      <c r="AB198" s="3"/>
      <c r="AC198" s="3"/>
    </row>
    <row r="199" ht="15.75" customHeight="1">
      <c r="A199" s="3"/>
      <c r="B199" s="3"/>
      <c r="C199" s="3"/>
      <c r="D199" s="3"/>
      <c r="E199" s="3"/>
      <c r="F199" s="3"/>
      <c r="G199" s="3"/>
      <c r="H199" s="3"/>
      <c r="I199" s="3"/>
      <c r="J199" s="3"/>
      <c r="K199" s="3"/>
      <c r="L199" s="3"/>
      <c r="M199" s="3"/>
      <c r="N199" s="3"/>
      <c r="O199" s="3"/>
      <c r="P199" s="264"/>
      <c r="Q199" s="264"/>
      <c r="R199" s="264"/>
      <c r="S199" s="264"/>
      <c r="T199" s="264"/>
      <c r="U199" s="264"/>
      <c r="V199" s="264"/>
      <c r="W199" s="3"/>
      <c r="X199" s="3"/>
      <c r="Y199" s="3"/>
      <c r="Z199" s="3"/>
      <c r="AA199" s="3"/>
      <c r="AB199" s="3"/>
      <c r="AC199" s="3"/>
    </row>
    <row r="200" ht="15.75" customHeight="1">
      <c r="A200" s="3"/>
      <c r="B200" s="3"/>
      <c r="C200" s="3"/>
      <c r="D200" s="3"/>
      <c r="E200" s="3"/>
      <c r="F200" s="3"/>
      <c r="G200" s="3"/>
      <c r="H200" s="3"/>
      <c r="I200" s="3"/>
      <c r="J200" s="3"/>
      <c r="K200" s="3"/>
      <c r="L200" s="3"/>
      <c r="M200" s="3"/>
      <c r="N200" s="3"/>
      <c r="O200" s="3"/>
      <c r="P200" s="264"/>
      <c r="Q200" s="264"/>
      <c r="R200" s="264"/>
      <c r="S200" s="264"/>
      <c r="T200" s="264"/>
      <c r="U200" s="264"/>
      <c r="V200" s="264"/>
      <c r="W200" s="3"/>
      <c r="X200" s="3"/>
      <c r="Y200" s="3"/>
      <c r="Z200" s="3"/>
      <c r="AA200" s="3"/>
      <c r="AB200" s="3"/>
      <c r="AC200" s="3"/>
    </row>
    <row r="201" ht="15.75" customHeight="1">
      <c r="A201" s="3"/>
      <c r="B201" s="3"/>
      <c r="C201" s="3"/>
      <c r="D201" s="3"/>
      <c r="E201" s="3"/>
      <c r="F201" s="3"/>
      <c r="G201" s="3"/>
      <c r="H201" s="3"/>
      <c r="I201" s="3"/>
      <c r="J201" s="3"/>
      <c r="K201" s="3"/>
      <c r="L201" s="3"/>
      <c r="M201" s="3"/>
      <c r="N201" s="3"/>
      <c r="O201" s="3"/>
      <c r="P201" s="264"/>
      <c r="Q201" s="264"/>
      <c r="R201" s="264"/>
      <c r="S201" s="264"/>
      <c r="T201" s="264"/>
      <c r="U201" s="264"/>
      <c r="V201" s="264"/>
      <c r="W201" s="3"/>
      <c r="X201" s="3"/>
      <c r="Y201" s="3"/>
      <c r="Z201" s="3"/>
      <c r="AA201" s="3"/>
      <c r="AB201" s="3"/>
      <c r="AC201" s="3"/>
    </row>
    <row r="202" ht="15.75" customHeight="1">
      <c r="A202" s="3"/>
      <c r="B202" s="3"/>
      <c r="C202" s="3"/>
      <c r="D202" s="3"/>
      <c r="E202" s="3"/>
      <c r="F202" s="3"/>
      <c r="G202" s="3"/>
      <c r="H202" s="3"/>
      <c r="I202" s="3"/>
      <c r="J202" s="3"/>
      <c r="K202" s="3"/>
      <c r="L202" s="3"/>
      <c r="M202" s="3"/>
      <c r="N202" s="3"/>
      <c r="O202" s="3"/>
      <c r="P202" s="264"/>
      <c r="Q202" s="264"/>
      <c r="R202" s="264"/>
      <c r="S202" s="264"/>
      <c r="T202" s="264"/>
      <c r="U202" s="264"/>
      <c r="V202" s="264"/>
      <c r="W202" s="3"/>
      <c r="X202" s="3"/>
      <c r="Y202" s="3"/>
      <c r="Z202" s="3"/>
      <c r="AA202" s="3"/>
      <c r="AB202" s="3"/>
      <c r="AC202" s="3"/>
    </row>
    <row r="203" ht="15.75" customHeight="1">
      <c r="A203" s="3"/>
      <c r="B203" s="3"/>
      <c r="C203" s="3"/>
      <c r="D203" s="3"/>
      <c r="E203" s="3"/>
      <c r="F203" s="3"/>
      <c r="G203" s="3"/>
      <c r="H203" s="3"/>
      <c r="I203" s="3"/>
      <c r="J203" s="3"/>
      <c r="K203" s="3"/>
      <c r="L203" s="3"/>
      <c r="M203" s="3"/>
      <c r="N203" s="3"/>
      <c r="O203" s="3"/>
      <c r="P203" s="264"/>
      <c r="Q203" s="264"/>
      <c r="R203" s="264"/>
      <c r="S203" s="264"/>
      <c r="T203" s="264"/>
      <c r="U203" s="264"/>
      <c r="V203" s="264"/>
      <c r="W203" s="3"/>
      <c r="X203" s="3"/>
      <c r="Y203" s="3"/>
      <c r="Z203" s="3"/>
      <c r="AA203" s="3"/>
      <c r="AB203" s="3"/>
      <c r="AC203" s="3"/>
    </row>
    <row r="204" ht="15.75" customHeight="1">
      <c r="A204" s="3"/>
      <c r="B204" s="3"/>
      <c r="C204" s="3"/>
      <c r="D204" s="3"/>
      <c r="E204" s="3"/>
      <c r="F204" s="3"/>
      <c r="G204" s="3"/>
      <c r="H204" s="3"/>
      <c r="I204" s="3"/>
      <c r="J204" s="3"/>
      <c r="K204" s="3"/>
      <c r="L204" s="3"/>
      <c r="M204" s="3"/>
      <c r="N204" s="3"/>
      <c r="O204" s="3"/>
      <c r="P204" s="264"/>
      <c r="Q204" s="264"/>
      <c r="R204" s="264"/>
      <c r="S204" s="264"/>
      <c r="T204" s="264"/>
      <c r="U204" s="264"/>
      <c r="V204" s="264"/>
      <c r="W204" s="3"/>
      <c r="X204" s="3"/>
      <c r="Y204" s="3"/>
      <c r="Z204" s="3"/>
      <c r="AA204" s="3"/>
      <c r="AB204" s="3"/>
      <c r="AC204" s="3"/>
    </row>
    <row r="205" ht="15.75" customHeight="1">
      <c r="A205" s="3"/>
      <c r="B205" s="3"/>
      <c r="C205" s="3"/>
      <c r="D205" s="3"/>
      <c r="E205" s="3"/>
      <c r="F205" s="3"/>
      <c r="G205" s="3"/>
      <c r="H205" s="3"/>
      <c r="I205" s="3"/>
      <c r="J205" s="3"/>
      <c r="K205" s="3"/>
      <c r="L205" s="3"/>
      <c r="M205" s="3"/>
      <c r="N205" s="3"/>
      <c r="O205" s="3"/>
      <c r="P205" s="264"/>
      <c r="Q205" s="264"/>
      <c r="R205" s="264"/>
      <c r="S205" s="264"/>
      <c r="T205" s="264"/>
      <c r="U205" s="264"/>
      <c r="V205" s="264"/>
      <c r="W205" s="3"/>
      <c r="X205" s="3"/>
      <c r="Y205" s="3"/>
      <c r="Z205" s="3"/>
      <c r="AA205" s="3"/>
      <c r="AB205" s="3"/>
      <c r="AC205" s="3"/>
    </row>
    <row r="206" ht="15.75" customHeight="1">
      <c r="A206" s="3"/>
      <c r="B206" s="3"/>
      <c r="C206" s="3"/>
      <c r="D206" s="3"/>
      <c r="E206" s="3"/>
      <c r="F206" s="3"/>
      <c r="G206" s="3"/>
      <c r="H206" s="3"/>
      <c r="I206" s="3"/>
      <c r="J206" s="3"/>
      <c r="K206" s="3"/>
      <c r="L206" s="3"/>
      <c r="M206" s="3"/>
      <c r="N206" s="3"/>
      <c r="O206" s="3"/>
      <c r="P206" s="264"/>
      <c r="Q206" s="264"/>
      <c r="R206" s="264"/>
      <c r="S206" s="264"/>
      <c r="T206" s="264"/>
      <c r="U206" s="264"/>
      <c r="V206" s="264"/>
      <c r="W206" s="3"/>
      <c r="X206" s="3"/>
      <c r="Y206" s="3"/>
      <c r="Z206" s="3"/>
      <c r="AA206" s="3"/>
      <c r="AB206" s="3"/>
      <c r="AC206" s="3"/>
    </row>
    <row r="207" ht="15.75" customHeight="1">
      <c r="A207" s="3"/>
      <c r="B207" s="3"/>
      <c r="C207" s="3"/>
      <c r="D207" s="3"/>
      <c r="E207" s="3"/>
      <c r="F207" s="3"/>
      <c r="G207" s="3"/>
      <c r="H207" s="3"/>
      <c r="I207" s="3"/>
      <c r="J207" s="3"/>
      <c r="K207" s="3"/>
      <c r="L207" s="3"/>
      <c r="M207" s="3"/>
      <c r="N207" s="3"/>
      <c r="O207" s="3"/>
      <c r="P207" s="264"/>
      <c r="Q207" s="264"/>
      <c r="R207" s="264"/>
      <c r="S207" s="264"/>
      <c r="T207" s="264"/>
      <c r="U207" s="264"/>
      <c r="V207" s="264"/>
      <c r="W207" s="3"/>
      <c r="X207" s="3"/>
      <c r="Y207" s="3"/>
      <c r="Z207" s="3"/>
      <c r="AA207" s="3"/>
      <c r="AB207" s="3"/>
      <c r="AC207" s="3"/>
    </row>
    <row r="208" ht="15.75" customHeight="1">
      <c r="A208" s="3"/>
      <c r="B208" s="3"/>
      <c r="C208" s="3"/>
      <c r="D208" s="3"/>
      <c r="E208" s="3"/>
      <c r="F208" s="3"/>
      <c r="G208" s="3"/>
      <c r="H208" s="3"/>
      <c r="I208" s="3"/>
      <c r="J208" s="3"/>
      <c r="K208" s="3"/>
      <c r="L208" s="3"/>
      <c r="M208" s="3"/>
      <c r="N208" s="3"/>
      <c r="O208" s="3"/>
      <c r="P208" s="264"/>
      <c r="Q208" s="264"/>
      <c r="R208" s="264"/>
      <c r="S208" s="264"/>
      <c r="T208" s="264"/>
      <c r="U208" s="264"/>
      <c r="V208" s="264"/>
      <c r="W208" s="3"/>
      <c r="X208" s="3"/>
      <c r="Y208" s="3"/>
      <c r="Z208" s="3"/>
      <c r="AA208" s="3"/>
      <c r="AB208" s="3"/>
      <c r="AC208" s="3"/>
    </row>
    <row r="209" ht="15.75" customHeight="1">
      <c r="A209" s="3"/>
      <c r="B209" s="3"/>
      <c r="C209" s="3"/>
      <c r="D209" s="3"/>
      <c r="E209" s="3"/>
      <c r="F209" s="3"/>
      <c r="G209" s="3"/>
      <c r="H209" s="3"/>
      <c r="I209" s="3"/>
      <c r="J209" s="3"/>
      <c r="K209" s="3"/>
      <c r="L209" s="3"/>
      <c r="M209" s="3"/>
      <c r="N209" s="3"/>
      <c r="O209" s="3"/>
      <c r="P209" s="264"/>
      <c r="Q209" s="264"/>
      <c r="R209" s="264"/>
      <c r="S209" s="264"/>
      <c r="T209" s="264"/>
      <c r="U209" s="264"/>
      <c r="V209" s="264"/>
      <c r="W209" s="3"/>
      <c r="X209" s="3"/>
      <c r="Y209" s="3"/>
      <c r="Z209" s="3"/>
      <c r="AA209" s="3"/>
      <c r="AB209" s="3"/>
      <c r="AC209" s="3"/>
    </row>
    <row r="210" ht="15.75" customHeight="1">
      <c r="A210" s="3"/>
      <c r="B210" s="3"/>
      <c r="C210" s="3"/>
      <c r="D210" s="3"/>
      <c r="E210" s="3"/>
      <c r="F210" s="3"/>
      <c r="G210" s="3"/>
      <c r="H210" s="3"/>
      <c r="I210" s="3"/>
      <c r="J210" s="3"/>
      <c r="K210" s="3"/>
      <c r="L210" s="3"/>
      <c r="M210" s="3"/>
      <c r="N210" s="3"/>
      <c r="O210" s="3"/>
      <c r="P210" s="264"/>
      <c r="Q210" s="264"/>
      <c r="R210" s="264"/>
      <c r="S210" s="264"/>
      <c r="T210" s="264"/>
      <c r="U210" s="264"/>
      <c r="V210" s="264"/>
      <c r="W210" s="3"/>
      <c r="X210" s="3"/>
      <c r="Y210" s="3"/>
      <c r="Z210" s="3"/>
      <c r="AA210" s="3"/>
      <c r="AB210" s="3"/>
      <c r="AC210" s="3"/>
    </row>
    <row r="211" ht="15.75" customHeight="1">
      <c r="A211" s="3"/>
      <c r="B211" s="3"/>
      <c r="C211" s="3"/>
      <c r="D211" s="3"/>
      <c r="E211" s="3"/>
      <c r="F211" s="3"/>
      <c r="G211" s="3"/>
      <c r="H211" s="3"/>
      <c r="I211" s="3"/>
      <c r="J211" s="3"/>
      <c r="K211" s="3"/>
      <c r="L211" s="3"/>
      <c r="M211" s="3"/>
      <c r="N211" s="3"/>
      <c r="O211" s="3"/>
      <c r="P211" s="264"/>
      <c r="Q211" s="264"/>
      <c r="R211" s="264"/>
      <c r="S211" s="264"/>
      <c r="T211" s="264"/>
      <c r="U211" s="264"/>
      <c r="V211" s="264"/>
      <c r="W211" s="3"/>
      <c r="X211" s="3"/>
      <c r="Y211" s="3"/>
      <c r="Z211" s="3"/>
      <c r="AA211" s="3"/>
      <c r="AB211" s="3"/>
      <c r="AC211" s="3"/>
    </row>
    <row r="212" ht="15.75" customHeight="1">
      <c r="A212" s="3"/>
      <c r="B212" s="3"/>
      <c r="C212" s="3"/>
      <c r="D212" s="3"/>
      <c r="E212" s="3"/>
      <c r="F212" s="3"/>
      <c r="G212" s="3"/>
      <c r="H212" s="3"/>
      <c r="I212" s="3"/>
      <c r="J212" s="3"/>
      <c r="K212" s="3"/>
      <c r="L212" s="3"/>
      <c r="M212" s="3"/>
      <c r="N212" s="3"/>
      <c r="O212" s="3"/>
      <c r="P212" s="264"/>
      <c r="Q212" s="264"/>
      <c r="R212" s="264"/>
      <c r="S212" s="264"/>
      <c r="T212" s="264"/>
      <c r="U212" s="264"/>
      <c r="V212" s="264"/>
      <c r="W212" s="3"/>
      <c r="X212" s="3"/>
      <c r="Y212" s="3"/>
      <c r="Z212" s="3"/>
      <c r="AA212" s="3"/>
      <c r="AB212" s="3"/>
      <c r="AC212" s="3"/>
    </row>
    <row r="213" ht="15.75" customHeight="1">
      <c r="A213" s="3"/>
      <c r="B213" s="3"/>
      <c r="C213" s="3"/>
      <c r="D213" s="3"/>
      <c r="E213" s="3"/>
      <c r="F213" s="3"/>
      <c r="G213" s="3"/>
      <c r="H213" s="3"/>
      <c r="I213" s="3"/>
      <c r="J213" s="3"/>
      <c r="K213" s="3"/>
      <c r="L213" s="3"/>
      <c r="M213" s="3"/>
      <c r="N213" s="3"/>
      <c r="O213" s="3"/>
      <c r="P213" s="264"/>
      <c r="Q213" s="264"/>
      <c r="R213" s="264"/>
      <c r="S213" s="264"/>
      <c r="T213" s="264"/>
      <c r="U213" s="264"/>
      <c r="V213" s="264"/>
      <c r="W213" s="3"/>
      <c r="X213" s="3"/>
      <c r="Y213" s="3"/>
      <c r="Z213" s="3"/>
      <c r="AA213" s="3"/>
      <c r="AB213" s="3"/>
      <c r="AC213" s="3"/>
    </row>
    <row r="214" ht="15.75" customHeight="1">
      <c r="A214" s="3"/>
      <c r="B214" s="3"/>
      <c r="C214" s="3"/>
      <c r="D214" s="3"/>
      <c r="E214" s="3"/>
      <c r="F214" s="3"/>
      <c r="G214" s="3"/>
      <c r="H214" s="3"/>
      <c r="I214" s="3"/>
      <c r="J214" s="3"/>
      <c r="K214" s="3"/>
      <c r="L214" s="3"/>
      <c r="M214" s="3"/>
      <c r="N214" s="3"/>
      <c r="O214" s="3"/>
      <c r="P214" s="264"/>
      <c r="Q214" s="264"/>
      <c r="R214" s="264"/>
      <c r="S214" s="264"/>
      <c r="T214" s="264"/>
      <c r="U214" s="264"/>
      <c r="V214" s="264"/>
      <c r="W214" s="3"/>
      <c r="X214" s="3"/>
      <c r="Y214" s="3"/>
      <c r="Z214" s="3"/>
      <c r="AA214" s="3"/>
      <c r="AB214" s="3"/>
      <c r="AC214" s="3"/>
    </row>
    <row r="215" ht="15.75" customHeight="1">
      <c r="A215" s="3"/>
      <c r="B215" s="3"/>
      <c r="C215" s="3"/>
      <c r="D215" s="3"/>
      <c r="E215" s="3"/>
      <c r="F215" s="3"/>
      <c r="G215" s="3"/>
      <c r="H215" s="3"/>
      <c r="I215" s="3"/>
      <c r="J215" s="3"/>
      <c r="K215" s="3"/>
      <c r="L215" s="3"/>
      <c r="M215" s="3"/>
      <c r="N215" s="3"/>
      <c r="O215" s="3"/>
      <c r="P215" s="264"/>
      <c r="Q215" s="264"/>
      <c r="R215" s="264"/>
      <c r="S215" s="264"/>
      <c r="T215" s="264"/>
      <c r="U215" s="264"/>
      <c r="V215" s="264"/>
      <c r="W215" s="3"/>
      <c r="X215" s="3"/>
      <c r="Y215" s="3"/>
      <c r="Z215" s="3"/>
      <c r="AA215" s="3"/>
      <c r="AB215" s="3"/>
      <c r="AC215" s="3"/>
    </row>
    <row r="216" ht="15.75" customHeight="1">
      <c r="A216" s="3"/>
      <c r="B216" s="3"/>
      <c r="C216" s="3"/>
      <c r="D216" s="3"/>
      <c r="E216" s="3"/>
      <c r="F216" s="3"/>
      <c r="G216" s="3"/>
      <c r="H216" s="3"/>
      <c r="I216" s="3"/>
      <c r="J216" s="3"/>
      <c r="K216" s="3"/>
      <c r="L216" s="3"/>
      <c r="M216" s="3"/>
      <c r="N216" s="3"/>
      <c r="O216" s="3"/>
      <c r="P216" s="264"/>
      <c r="Q216" s="264"/>
      <c r="R216" s="264"/>
      <c r="S216" s="264"/>
      <c r="T216" s="264"/>
      <c r="U216" s="264"/>
      <c r="V216" s="264"/>
      <c r="W216" s="3"/>
      <c r="X216" s="3"/>
      <c r="Y216" s="3"/>
      <c r="Z216" s="3"/>
      <c r="AA216" s="3"/>
      <c r="AB216" s="3"/>
      <c r="AC216" s="3"/>
    </row>
    <row r="217" ht="15.75" customHeight="1">
      <c r="A217" s="3"/>
      <c r="B217" s="3"/>
      <c r="C217" s="3"/>
      <c r="D217" s="3"/>
      <c r="E217" s="3"/>
      <c r="F217" s="3"/>
      <c r="G217" s="3"/>
      <c r="H217" s="3"/>
      <c r="I217" s="3"/>
      <c r="J217" s="3"/>
      <c r="K217" s="3"/>
      <c r="L217" s="3"/>
      <c r="M217" s="3"/>
      <c r="N217" s="3"/>
      <c r="O217" s="3"/>
      <c r="P217" s="264"/>
      <c r="Q217" s="264"/>
      <c r="R217" s="264"/>
      <c r="S217" s="264"/>
      <c r="T217" s="264"/>
      <c r="U217" s="264"/>
      <c r="V217" s="264"/>
      <c r="W217" s="3"/>
      <c r="X217" s="3"/>
      <c r="Y217" s="3"/>
      <c r="Z217" s="3"/>
      <c r="AA217" s="3"/>
      <c r="AB217" s="3"/>
      <c r="AC217" s="3"/>
    </row>
    <row r="218" ht="15.75" customHeight="1">
      <c r="A218" s="3"/>
      <c r="B218" s="3"/>
      <c r="C218" s="3"/>
      <c r="D218" s="3"/>
      <c r="E218" s="3"/>
      <c r="F218" s="3"/>
      <c r="G218" s="3"/>
      <c r="H218" s="3"/>
      <c r="I218" s="3"/>
      <c r="J218" s="3"/>
      <c r="K218" s="3"/>
      <c r="L218" s="3"/>
      <c r="M218" s="3"/>
      <c r="N218" s="3"/>
      <c r="O218" s="3"/>
      <c r="P218" s="264"/>
      <c r="Q218" s="264"/>
      <c r="R218" s="264"/>
      <c r="S218" s="264"/>
      <c r="T218" s="264"/>
      <c r="U218" s="264"/>
      <c r="V218" s="264"/>
      <c r="W218" s="3"/>
      <c r="X218" s="3"/>
      <c r="Y218" s="3"/>
      <c r="Z218" s="3"/>
      <c r="AA218" s="3"/>
      <c r="AB218" s="3"/>
      <c r="AC218" s="3"/>
    </row>
    <row r="219" ht="15.75" customHeight="1">
      <c r="A219" s="3"/>
      <c r="B219" s="3"/>
      <c r="C219" s="3"/>
      <c r="D219" s="3"/>
      <c r="E219" s="3"/>
      <c r="F219" s="3"/>
      <c r="G219" s="3"/>
      <c r="H219" s="3"/>
      <c r="I219" s="3"/>
      <c r="J219" s="3"/>
      <c r="K219" s="3"/>
      <c r="L219" s="3"/>
      <c r="M219" s="3"/>
      <c r="N219" s="3"/>
      <c r="O219" s="3"/>
      <c r="P219" s="264"/>
      <c r="Q219" s="264"/>
      <c r="R219" s="264"/>
      <c r="S219" s="264"/>
      <c r="T219" s="264"/>
      <c r="U219" s="264"/>
      <c r="V219" s="264"/>
      <c r="W219" s="3"/>
      <c r="X219" s="3"/>
      <c r="Y219" s="3"/>
      <c r="Z219" s="3"/>
      <c r="AA219" s="3"/>
      <c r="AB219" s="3"/>
      <c r="AC219" s="3"/>
    </row>
    <row r="220" ht="15.75" customHeight="1">
      <c r="A220" s="3"/>
      <c r="B220" s="3"/>
      <c r="C220" s="3"/>
      <c r="D220" s="3"/>
      <c r="E220" s="3"/>
      <c r="F220" s="3"/>
      <c r="G220" s="3"/>
      <c r="H220" s="3"/>
      <c r="I220" s="3"/>
      <c r="J220" s="3"/>
      <c r="K220" s="3"/>
      <c r="L220" s="3"/>
      <c r="M220" s="3"/>
      <c r="N220" s="3"/>
      <c r="O220" s="3"/>
      <c r="P220" s="264"/>
      <c r="Q220" s="264"/>
      <c r="R220" s="264"/>
      <c r="S220" s="264"/>
      <c r="T220" s="264"/>
      <c r="U220" s="264"/>
      <c r="V220" s="264"/>
      <c r="W220" s="3"/>
      <c r="X220" s="3"/>
      <c r="Y220" s="3"/>
      <c r="Z220" s="3"/>
      <c r="AA220" s="3"/>
      <c r="AB220" s="3"/>
      <c r="AC220" s="3"/>
    </row>
    <row r="221" ht="15.75" customHeight="1">
      <c r="A221" s="3"/>
      <c r="B221" s="3"/>
      <c r="C221" s="3"/>
      <c r="D221" s="3"/>
      <c r="E221" s="3"/>
      <c r="F221" s="3"/>
      <c r="G221" s="3"/>
      <c r="H221" s="3"/>
      <c r="I221" s="3"/>
      <c r="J221" s="3"/>
      <c r="K221" s="3"/>
      <c r="L221" s="3"/>
      <c r="M221" s="3"/>
      <c r="N221" s="3"/>
      <c r="O221" s="3"/>
      <c r="P221" s="264"/>
      <c r="Q221" s="264"/>
      <c r="R221" s="264"/>
      <c r="S221" s="264"/>
      <c r="T221" s="264"/>
      <c r="U221" s="264"/>
      <c r="V221" s="264"/>
      <c r="W221" s="3"/>
      <c r="X221" s="3"/>
      <c r="Y221" s="3"/>
      <c r="Z221" s="3"/>
      <c r="AA221" s="3"/>
      <c r="AB221" s="3"/>
      <c r="AC221" s="3"/>
    </row>
    <row r="222" ht="15.75" customHeight="1">
      <c r="A222" s="3"/>
      <c r="B222" s="3"/>
      <c r="C222" s="3"/>
      <c r="D222" s="3"/>
      <c r="E222" s="3"/>
      <c r="F222" s="3"/>
      <c r="G222" s="3"/>
      <c r="H222" s="3"/>
      <c r="I222" s="3"/>
      <c r="J222" s="3"/>
      <c r="K222" s="3"/>
      <c r="L222" s="3"/>
      <c r="M222" s="3"/>
      <c r="N222" s="3"/>
      <c r="O222" s="3"/>
      <c r="P222" s="264"/>
      <c r="Q222" s="264"/>
      <c r="R222" s="264"/>
      <c r="S222" s="264"/>
      <c r="T222" s="264"/>
      <c r="U222" s="264"/>
      <c r="V222" s="264"/>
      <c r="W222" s="3"/>
      <c r="X222" s="3"/>
      <c r="Y222" s="3"/>
      <c r="Z222" s="3"/>
      <c r="AA222" s="3"/>
      <c r="AB222" s="3"/>
      <c r="AC222" s="3"/>
    </row>
    <row r="223" ht="15.75" customHeight="1">
      <c r="A223" s="3"/>
      <c r="B223" s="3"/>
      <c r="C223" s="3"/>
      <c r="D223" s="3"/>
      <c r="E223" s="3"/>
      <c r="F223" s="3"/>
      <c r="G223" s="3"/>
      <c r="H223" s="3"/>
      <c r="I223" s="3"/>
      <c r="J223" s="3"/>
      <c r="K223" s="3"/>
      <c r="L223" s="3"/>
      <c r="M223" s="3"/>
      <c r="N223" s="3"/>
      <c r="O223" s="3"/>
      <c r="P223" s="264"/>
      <c r="Q223" s="264"/>
      <c r="R223" s="264"/>
      <c r="S223" s="264"/>
      <c r="T223" s="264"/>
      <c r="U223" s="264"/>
      <c r="V223" s="264"/>
      <c r="W223" s="3"/>
      <c r="X223" s="3"/>
      <c r="Y223" s="3"/>
      <c r="Z223" s="3"/>
      <c r="AA223" s="3"/>
      <c r="AB223" s="3"/>
      <c r="AC223" s="3"/>
    </row>
    <row r="224" ht="15.75" customHeight="1">
      <c r="A224" s="3"/>
      <c r="B224" s="3"/>
      <c r="C224" s="3"/>
      <c r="D224" s="3"/>
      <c r="E224" s="3"/>
      <c r="F224" s="3"/>
      <c r="G224" s="3"/>
      <c r="H224" s="3"/>
      <c r="I224" s="3"/>
      <c r="J224" s="3"/>
      <c r="K224" s="3"/>
      <c r="L224" s="3"/>
      <c r="M224" s="3"/>
      <c r="N224" s="3"/>
      <c r="O224" s="3"/>
      <c r="P224" s="264"/>
      <c r="Q224" s="264"/>
      <c r="R224" s="264"/>
      <c r="S224" s="264"/>
      <c r="T224" s="264"/>
      <c r="U224" s="264"/>
      <c r="V224" s="264"/>
      <c r="W224" s="3"/>
      <c r="X224" s="3"/>
      <c r="Y224" s="3"/>
      <c r="Z224" s="3"/>
      <c r="AA224" s="3"/>
      <c r="AB224" s="3"/>
      <c r="AC224" s="3"/>
    </row>
    <row r="225" ht="15.75" customHeight="1">
      <c r="A225" s="3"/>
      <c r="B225" s="3"/>
      <c r="C225" s="3"/>
      <c r="D225" s="3"/>
      <c r="E225" s="3"/>
      <c r="F225" s="3"/>
      <c r="G225" s="3"/>
      <c r="H225" s="3"/>
      <c r="I225" s="3"/>
      <c r="J225" s="3"/>
      <c r="K225" s="3"/>
      <c r="L225" s="3"/>
      <c r="M225" s="3"/>
      <c r="N225" s="3"/>
      <c r="O225" s="3"/>
      <c r="P225" s="264"/>
      <c r="Q225" s="264"/>
      <c r="R225" s="264"/>
      <c r="S225" s="264"/>
      <c r="T225" s="264"/>
      <c r="U225" s="264"/>
      <c r="V225" s="264"/>
      <c r="W225" s="3"/>
      <c r="X225" s="3"/>
      <c r="Y225" s="3"/>
      <c r="Z225" s="3"/>
      <c r="AA225" s="3"/>
      <c r="AB225" s="3"/>
      <c r="AC225" s="3"/>
    </row>
    <row r="226" ht="15.75" customHeight="1">
      <c r="A226" s="3"/>
      <c r="B226" s="3"/>
      <c r="C226" s="3"/>
      <c r="D226" s="3"/>
      <c r="E226" s="3"/>
      <c r="F226" s="3"/>
      <c r="G226" s="3"/>
      <c r="H226" s="3"/>
      <c r="I226" s="3"/>
      <c r="J226" s="3"/>
      <c r="K226" s="3"/>
      <c r="L226" s="3"/>
      <c r="M226" s="3"/>
      <c r="N226" s="3"/>
      <c r="O226" s="3"/>
      <c r="P226" s="264"/>
      <c r="Q226" s="264"/>
      <c r="R226" s="264"/>
      <c r="S226" s="264"/>
      <c r="T226" s="264"/>
      <c r="U226" s="264"/>
      <c r="V226" s="264"/>
      <c r="W226" s="3"/>
      <c r="X226" s="3"/>
      <c r="Y226" s="3"/>
      <c r="Z226" s="3"/>
      <c r="AA226" s="3"/>
      <c r="AB226" s="3"/>
      <c r="AC226" s="3"/>
    </row>
    <row r="227" ht="15.75" customHeight="1">
      <c r="A227" s="3"/>
      <c r="B227" s="3"/>
      <c r="C227" s="3"/>
      <c r="D227" s="3"/>
      <c r="E227" s="3"/>
      <c r="F227" s="3"/>
      <c r="G227" s="3"/>
      <c r="H227" s="3"/>
      <c r="I227" s="3"/>
      <c r="J227" s="3"/>
      <c r="K227" s="3"/>
      <c r="L227" s="3"/>
      <c r="M227" s="3"/>
      <c r="N227" s="3"/>
      <c r="O227" s="3"/>
      <c r="P227" s="264"/>
      <c r="Q227" s="264"/>
      <c r="R227" s="264"/>
      <c r="S227" s="264"/>
      <c r="T227" s="264"/>
      <c r="U227" s="264"/>
      <c r="V227" s="264"/>
      <c r="W227" s="3"/>
      <c r="X227" s="3"/>
      <c r="Y227" s="3"/>
      <c r="Z227" s="3"/>
      <c r="AA227" s="3"/>
      <c r="AB227" s="3"/>
      <c r="AC227" s="3"/>
    </row>
    <row r="228" ht="15.75" customHeight="1">
      <c r="A228" s="3"/>
      <c r="B228" s="3"/>
      <c r="C228" s="3"/>
      <c r="D228" s="3"/>
      <c r="E228" s="3"/>
      <c r="F228" s="3"/>
      <c r="G228" s="3"/>
      <c r="H228" s="3"/>
      <c r="I228" s="3"/>
      <c r="J228" s="3"/>
      <c r="K228" s="3"/>
      <c r="L228" s="3"/>
      <c r="M228" s="3"/>
      <c r="N228" s="3"/>
      <c r="O228" s="3"/>
      <c r="P228" s="264"/>
      <c r="Q228" s="264"/>
      <c r="R228" s="264"/>
      <c r="S228" s="264"/>
      <c r="T228" s="264"/>
      <c r="U228" s="264"/>
      <c r="V228" s="264"/>
      <c r="W228" s="3"/>
      <c r="X228" s="3"/>
      <c r="Y228" s="3"/>
      <c r="Z228" s="3"/>
      <c r="AA228" s="3"/>
      <c r="AB228" s="3"/>
      <c r="AC228" s="3"/>
    </row>
    <row r="229" ht="15.75" customHeight="1">
      <c r="A229" s="3"/>
      <c r="B229" s="3"/>
      <c r="C229" s="3"/>
      <c r="D229" s="3"/>
      <c r="E229" s="3"/>
      <c r="F229" s="3"/>
      <c r="G229" s="3"/>
      <c r="H229" s="3"/>
      <c r="I229" s="3"/>
      <c r="J229" s="3"/>
      <c r="K229" s="3"/>
      <c r="L229" s="3"/>
      <c r="M229" s="3"/>
      <c r="N229" s="3"/>
      <c r="O229" s="3"/>
      <c r="P229" s="264"/>
      <c r="Q229" s="264"/>
      <c r="R229" s="264"/>
      <c r="S229" s="264"/>
      <c r="T229" s="264"/>
      <c r="U229" s="264"/>
      <c r="V229" s="264"/>
      <c r="W229" s="3"/>
      <c r="X229" s="3"/>
      <c r="Y229" s="3"/>
      <c r="Z229" s="3"/>
      <c r="AA229" s="3"/>
      <c r="AB229" s="3"/>
      <c r="AC229" s="3"/>
    </row>
    <row r="230" ht="15.75" customHeight="1">
      <c r="A230" s="3"/>
      <c r="B230" s="3"/>
      <c r="C230" s="3"/>
      <c r="D230" s="3"/>
      <c r="E230" s="3"/>
      <c r="F230" s="3"/>
      <c r="G230" s="3"/>
      <c r="H230" s="3"/>
      <c r="I230" s="3"/>
      <c r="J230" s="3"/>
      <c r="K230" s="3"/>
      <c r="L230" s="3"/>
      <c r="M230" s="3"/>
      <c r="N230" s="3"/>
      <c r="O230" s="3"/>
      <c r="P230" s="264"/>
      <c r="Q230" s="264"/>
      <c r="R230" s="264"/>
      <c r="S230" s="264"/>
      <c r="T230" s="264"/>
      <c r="U230" s="264"/>
      <c r="V230" s="264"/>
      <c r="W230" s="3"/>
      <c r="X230" s="3"/>
      <c r="Y230" s="3"/>
      <c r="Z230" s="3"/>
      <c r="AA230" s="3"/>
      <c r="AB230" s="3"/>
      <c r="AC230" s="3"/>
    </row>
    <row r="231" ht="15.75" customHeight="1">
      <c r="A231" s="3"/>
      <c r="B231" s="3"/>
      <c r="C231" s="3"/>
      <c r="D231" s="3"/>
      <c r="E231" s="3"/>
      <c r="F231" s="3"/>
      <c r="G231" s="3"/>
      <c r="H231" s="3"/>
      <c r="I231" s="3"/>
      <c r="J231" s="3"/>
      <c r="K231" s="3"/>
      <c r="L231" s="3"/>
      <c r="M231" s="3"/>
      <c r="N231" s="3"/>
      <c r="O231" s="3"/>
      <c r="P231" s="264"/>
      <c r="Q231" s="264"/>
      <c r="R231" s="264"/>
      <c r="S231" s="264"/>
      <c r="T231" s="264"/>
      <c r="U231" s="264"/>
      <c r="V231" s="264"/>
      <c r="W231" s="3"/>
      <c r="X231" s="3"/>
      <c r="Y231" s="3"/>
      <c r="Z231" s="3"/>
      <c r="AA231" s="3"/>
      <c r="AB231" s="3"/>
      <c r="AC231" s="3"/>
    </row>
    <row r="232" ht="15.75" customHeight="1">
      <c r="A232" s="3"/>
      <c r="B232" s="3"/>
      <c r="C232" s="3"/>
      <c r="D232" s="3"/>
      <c r="E232" s="3"/>
      <c r="F232" s="3"/>
      <c r="G232" s="3"/>
      <c r="H232" s="3"/>
      <c r="I232" s="3"/>
      <c r="J232" s="3"/>
      <c r="K232" s="3"/>
      <c r="L232" s="3"/>
      <c r="M232" s="3"/>
      <c r="N232" s="3"/>
      <c r="O232" s="3"/>
      <c r="P232" s="264"/>
      <c r="Q232" s="264"/>
      <c r="R232" s="264"/>
      <c r="S232" s="264"/>
      <c r="T232" s="264"/>
      <c r="U232" s="264"/>
      <c r="V232" s="264"/>
      <c r="W232" s="3"/>
      <c r="X232" s="3"/>
      <c r="Y232" s="3"/>
      <c r="Z232" s="3"/>
      <c r="AA232" s="3"/>
      <c r="AB232" s="3"/>
      <c r="AC232" s="3"/>
    </row>
    <row r="233" ht="15.75" customHeight="1">
      <c r="A233" s="3"/>
      <c r="B233" s="3"/>
      <c r="C233" s="3"/>
      <c r="D233" s="3"/>
      <c r="E233" s="3"/>
      <c r="F233" s="3"/>
      <c r="G233" s="3"/>
      <c r="H233" s="3"/>
      <c r="I233" s="3"/>
      <c r="J233" s="3"/>
      <c r="K233" s="3"/>
      <c r="L233" s="3"/>
      <c r="M233" s="3"/>
      <c r="N233" s="3"/>
      <c r="O233" s="3"/>
      <c r="P233" s="264"/>
      <c r="Q233" s="264"/>
      <c r="R233" s="264"/>
      <c r="S233" s="264"/>
      <c r="T233" s="264"/>
      <c r="U233" s="264"/>
      <c r="V233" s="264"/>
      <c r="W233" s="3"/>
      <c r="X233" s="3"/>
      <c r="Y233" s="3"/>
      <c r="Z233" s="3"/>
      <c r="AA233" s="3"/>
      <c r="AB233" s="3"/>
      <c r="AC233" s="3"/>
    </row>
    <row r="234" ht="15.75" customHeight="1">
      <c r="A234" s="3"/>
      <c r="B234" s="3"/>
      <c r="C234" s="3"/>
      <c r="D234" s="3"/>
      <c r="E234" s="3"/>
      <c r="F234" s="3"/>
      <c r="G234" s="3"/>
      <c r="H234" s="3"/>
      <c r="I234" s="3"/>
      <c r="J234" s="3"/>
      <c r="K234" s="3"/>
      <c r="L234" s="3"/>
      <c r="M234" s="3"/>
      <c r="N234" s="3"/>
      <c r="O234" s="3"/>
      <c r="P234" s="264"/>
      <c r="Q234" s="264"/>
      <c r="R234" s="264"/>
      <c r="S234" s="264"/>
      <c r="T234" s="264"/>
      <c r="U234" s="264"/>
      <c r="V234" s="264"/>
      <c r="W234" s="3"/>
      <c r="X234" s="3"/>
      <c r="Y234" s="3"/>
      <c r="Z234" s="3"/>
      <c r="AA234" s="3"/>
      <c r="AB234" s="3"/>
      <c r="AC234" s="3"/>
    </row>
    <row r="235" ht="15.75" customHeight="1">
      <c r="A235" s="3"/>
      <c r="B235" s="3"/>
      <c r="C235" s="3"/>
      <c r="D235" s="3"/>
      <c r="E235" s="3"/>
      <c r="F235" s="3"/>
      <c r="G235" s="3"/>
      <c r="H235" s="3"/>
      <c r="I235" s="3"/>
      <c r="J235" s="3"/>
      <c r="K235" s="3"/>
      <c r="L235" s="3"/>
      <c r="M235" s="3"/>
      <c r="N235" s="3"/>
      <c r="O235" s="3"/>
      <c r="P235" s="264"/>
      <c r="Q235" s="264"/>
      <c r="R235" s="264"/>
      <c r="S235" s="264"/>
      <c r="T235" s="264"/>
      <c r="U235" s="264"/>
      <c r="V235" s="264"/>
      <c r="W235" s="3"/>
      <c r="X235" s="3"/>
      <c r="Y235" s="3"/>
      <c r="Z235" s="3"/>
      <c r="AA235" s="3"/>
      <c r="AB235" s="3"/>
      <c r="AC235" s="3"/>
    </row>
    <row r="236" ht="15.75" customHeight="1">
      <c r="A236" s="3"/>
      <c r="B236" s="3"/>
      <c r="C236" s="3"/>
      <c r="D236" s="3"/>
      <c r="E236" s="3"/>
      <c r="F236" s="3"/>
      <c r="G236" s="3"/>
      <c r="H236" s="3"/>
      <c r="I236" s="3"/>
      <c r="J236" s="3"/>
      <c r="K236" s="3"/>
      <c r="L236" s="3"/>
      <c r="M236" s="3"/>
      <c r="N236" s="3"/>
      <c r="O236" s="3"/>
      <c r="P236" s="264"/>
      <c r="Q236" s="264"/>
      <c r="R236" s="264"/>
      <c r="S236" s="264"/>
      <c r="T236" s="264"/>
      <c r="U236" s="264"/>
      <c r="V236" s="264"/>
      <c r="W236" s="3"/>
      <c r="X236" s="3"/>
      <c r="Y236" s="3"/>
      <c r="Z236" s="3"/>
      <c r="AA236" s="3"/>
      <c r="AB236" s="3"/>
      <c r="AC236" s="3"/>
    </row>
    <row r="237" ht="15.75" customHeight="1">
      <c r="A237" s="3"/>
      <c r="B237" s="3"/>
      <c r="C237" s="3"/>
      <c r="D237" s="3"/>
      <c r="E237" s="3"/>
      <c r="F237" s="3"/>
      <c r="G237" s="3"/>
      <c r="H237" s="3"/>
      <c r="I237" s="3"/>
      <c r="J237" s="3"/>
      <c r="K237" s="3"/>
      <c r="L237" s="3"/>
      <c r="M237" s="3"/>
      <c r="N237" s="3"/>
      <c r="O237" s="3"/>
      <c r="P237" s="264"/>
      <c r="Q237" s="264"/>
      <c r="R237" s="264"/>
      <c r="S237" s="264"/>
      <c r="T237" s="264"/>
      <c r="U237" s="264"/>
      <c r="V237" s="264"/>
      <c r="W237" s="3"/>
      <c r="X237" s="3"/>
      <c r="Y237" s="3"/>
      <c r="Z237" s="3"/>
      <c r="AA237" s="3"/>
      <c r="AB237" s="3"/>
      <c r="AC237" s="3"/>
    </row>
    <row r="238" ht="15.75" customHeight="1">
      <c r="A238" s="3"/>
      <c r="B238" s="3"/>
      <c r="C238" s="3"/>
      <c r="D238" s="3"/>
      <c r="E238" s="3"/>
      <c r="F238" s="3"/>
      <c r="G238" s="3"/>
      <c r="H238" s="3"/>
      <c r="I238" s="3"/>
      <c r="J238" s="3"/>
      <c r="K238" s="3"/>
      <c r="L238" s="3"/>
      <c r="M238" s="3"/>
      <c r="N238" s="3"/>
      <c r="O238" s="3"/>
      <c r="P238" s="264"/>
      <c r="Q238" s="264"/>
      <c r="R238" s="264"/>
      <c r="S238" s="264"/>
      <c r="T238" s="264"/>
      <c r="U238" s="264"/>
      <c r="V238" s="264"/>
      <c r="W238" s="3"/>
      <c r="X238" s="3"/>
      <c r="Y238" s="3"/>
      <c r="Z238" s="3"/>
      <c r="AA238" s="3"/>
      <c r="AB238" s="3"/>
      <c r="AC238" s="3"/>
    </row>
    <row r="239" ht="15.75" customHeight="1">
      <c r="A239" s="3"/>
      <c r="B239" s="3"/>
      <c r="C239" s="3"/>
      <c r="D239" s="3"/>
      <c r="E239" s="3"/>
      <c r="F239" s="3"/>
      <c r="G239" s="3"/>
      <c r="H239" s="3"/>
      <c r="I239" s="3"/>
      <c r="J239" s="3"/>
      <c r="K239" s="3"/>
      <c r="L239" s="3"/>
      <c r="M239" s="3"/>
      <c r="N239" s="3"/>
      <c r="O239" s="3"/>
      <c r="P239" s="264"/>
      <c r="Q239" s="264"/>
      <c r="R239" s="264"/>
      <c r="S239" s="264"/>
      <c r="T239" s="264"/>
      <c r="U239" s="264"/>
      <c r="V239" s="264"/>
      <c r="W239" s="3"/>
      <c r="X239" s="3"/>
      <c r="Y239" s="3"/>
      <c r="Z239" s="3"/>
      <c r="AA239" s="3"/>
      <c r="AB239" s="3"/>
      <c r="AC239" s="3"/>
    </row>
    <row r="240" ht="15.75" customHeight="1">
      <c r="A240" s="3"/>
      <c r="B240" s="3"/>
      <c r="C240" s="3"/>
      <c r="D240" s="3"/>
      <c r="E240" s="3"/>
      <c r="F240" s="3"/>
      <c r="G240" s="3"/>
      <c r="H240" s="3"/>
      <c r="I240" s="3"/>
      <c r="J240" s="3"/>
      <c r="K240" s="3"/>
      <c r="L240" s="3"/>
      <c r="M240" s="3"/>
      <c r="N240" s="3"/>
      <c r="O240" s="3"/>
      <c r="P240" s="264"/>
      <c r="Q240" s="264"/>
      <c r="R240" s="264"/>
      <c r="S240" s="264"/>
      <c r="T240" s="264"/>
      <c r="U240" s="264"/>
      <c r="V240" s="264"/>
      <c r="W240" s="3"/>
      <c r="X240" s="3"/>
      <c r="Y240" s="3"/>
      <c r="Z240" s="3"/>
      <c r="AA240" s="3"/>
      <c r="AB240" s="3"/>
      <c r="AC240" s="3"/>
    </row>
    <row r="241" ht="15.75" customHeight="1">
      <c r="A241" s="3"/>
      <c r="B241" s="3"/>
      <c r="C241" s="3"/>
      <c r="D241" s="3"/>
      <c r="E241" s="3"/>
      <c r="F241" s="3"/>
      <c r="G241" s="3"/>
      <c r="H241" s="3"/>
      <c r="I241" s="3"/>
      <c r="J241" s="3"/>
      <c r="K241" s="3"/>
      <c r="L241" s="3"/>
      <c r="M241" s="3"/>
      <c r="N241" s="3"/>
      <c r="O241" s="3"/>
      <c r="P241" s="264"/>
      <c r="Q241" s="264"/>
      <c r="R241" s="264"/>
      <c r="S241" s="264"/>
      <c r="T241" s="264"/>
      <c r="U241" s="264"/>
      <c r="V241" s="264"/>
      <c r="W241" s="3"/>
      <c r="X241" s="3"/>
      <c r="Y241" s="3"/>
      <c r="Z241" s="3"/>
      <c r="AA241" s="3"/>
      <c r="AB241" s="3"/>
      <c r="AC241" s="3"/>
    </row>
    <row r="242" ht="15.75" customHeight="1">
      <c r="A242" s="3"/>
      <c r="B242" s="3"/>
      <c r="C242" s="3"/>
      <c r="D242" s="3"/>
      <c r="E242" s="3"/>
      <c r="F242" s="3"/>
      <c r="G242" s="3"/>
      <c r="H242" s="3"/>
      <c r="I242" s="3"/>
      <c r="J242" s="3"/>
      <c r="K242" s="3"/>
      <c r="L242" s="3"/>
      <c r="M242" s="3"/>
      <c r="N242" s="3"/>
      <c r="O242" s="3"/>
      <c r="P242" s="264"/>
      <c r="Q242" s="264"/>
      <c r="R242" s="264"/>
      <c r="S242" s="264"/>
      <c r="T242" s="264"/>
      <c r="U242" s="264"/>
      <c r="V242" s="264"/>
      <c r="W242" s="3"/>
      <c r="X242" s="3"/>
      <c r="Y242" s="3"/>
      <c r="Z242" s="3"/>
      <c r="AA242" s="3"/>
      <c r="AB242" s="3"/>
      <c r="AC242" s="3"/>
    </row>
    <row r="243" ht="15.75" customHeight="1">
      <c r="A243" s="3"/>
      <c r="B243" s="3"/>
      <c r="C243" s="3"/>
      <c r="D243" s="3"/>
      <c r="E243" s="3"/>
      <c r="F243" s="3"/>
      <c r="G243" s="3"/>
      <c r="H243" s="3"/>
      <c r="I243" s="3"/>
      <c r="J243" s="3"/>
      <c r="K243" s="3"/>
      <c r="L243" s="3"/>
      <c r="M243" s="3"/>
      <c r="N243" s="3"/>
      <c r="O243" s="3"/>
      <c r="P243" s="264"/>
      <c r="Q243" s="264"/>
      <c r="R243" s="264"/>
      <c r="S243" s="264"/>
      <c r="T243" s="264"/>
      <c r="U243" s="264"/>
      <c r="V243" s="264"/>
      <c r="W243" s="3"/>
      <c r="X243" s="3"/>
      <c r="Y243" s="3"/>
      <c r="Z243" s="3"/>
      <c r="AA243" s="3"/>
      <c r="AB243" s="3"/>
      <c r="AC243" s="3"/>
    </row>
    <row r="244" ht="15.75" customHeight="1">
      <c r="A244" s="3"/>
      <c r="B244" s="3"/>
      <c r="C244" s="3"/>
      <c r="D244" s="3"/>
      <c r="E244" s="3"/>
      <c r="F244" s="3"/>
      <c r="G244" s="3"/>
      <c r="H244" s="3"/>
      <c r="I244" s="3"/>
      <c r="J244" s="3"/>
      <c r="K244" s="3"/>
      <c r="L244" s="3"/>
      <c r="M244" s="3"/>
      <c r="N244" s="3"/>
      <c r="O244" s="3"/>
      <c r="P244" s="264"/>
      <c r="Q244" s="264"/>
      <c r="R244" s="264"/>
      <c r="S244" s="264"/>
      <c r="T244" s="264"/>
      <c r="U244" s="264"/>
      <c r="V244" s="264"/>
      <c r="W244" s="3"/>
      <c r="X244" s="3"/>
      <c r="Y244" s="3"/>
      <c r="Z244" s="3"/>
      <c r="AA244" s="3"/>
      <c r="AB244" s="3"/>
      <c r="AC244" s="3"/>
    </row>
    <row r="245" ht="15.75" customHeight="1">
      <c r="A245" s="3"/>
      <c r="B245" s="3"/>
      <c r="C245" s="3"/>
      <c r="D245" s="3"/>
      <c r="E245" s="3"/>
      <c r="F245" s="3"/>
      <c r="G245" s="3"/>
      <c r="H245" s="3"/>
      <c r="I245" s="3"/>
      <c r="J245" s="3"/>
      <c r="K245" s="3"/>
      <c r="L245" s="3"/>
      <c r="M245" s="3"/>
      <c r="N245" s="3"/>
      <c r="O245" s="3"/>
      <c r="P245" s="264"/>
      <c r="Q245" s="264"/>
      <c r="R245" s="264"/>
      <c r="S245" s="264"/>
      <c r="T245" s="264"/>
      <c r="U245" s="264"/>
      <c r="V245" s="264"/>
      <c r="W245" s="3"/>
      <c r="X245" s="3"/>
      <c r="Y245" s="3"/>
      <c r="Z245" s="3"/>
      <c r="AA245" s="3"/>
      <c r="AB245" s="3"/>
      <c r="AC245" s="3"/>
    </row>
    <row r="246" ht="15.75" customHeight="1">
      <c r="A246" s="3"/>
      <c r="B246" s="3"/>
      <c r="C246" s="3"/>
      <c r="D246" s="3"/>
      <c r="E246" s="3"/>
      <c r="F246" s="3"/>
      <c r="G246" s="3"/>
      <c r="H246" s="3"/>
      <c r="I246" s="3"/>
      <c r="J246" s="3"/>
      <c r="K246" s="3"/>
      <c r="L246" s="3"/>
      <c r="M246" s="3"/>
      <c r="N246" s="3"/>
      <c r="O246" s="3"/>
      <c r="P246" s="264"/>
      <c r="Q246" s="264"/>
      <c r="R246" s="264"/>
      <c r="S246" s="264"/>
      <c r="T246" s="264"/>
      <c r="U246" s="264"/>
      <c r="V246" s="264"/>
      <c r="W246" s="3"/>
      <c r="X246" s="3"/>
      <c r="Y246" s="3"/>
      <c r="Z246" s="3"/>
      <c r="AA246" s="3"/>
      <c r="AB246" s="3"/>
      <c r="AC246" s="3"/>
    </row>
    <row r="247" ht="15.75" customHeight="1">
      <c r="A247" s="3"/>
      <c r="B247" s="3"/>
      <c r="C247" s="3"/>
      <c r="D247" s="3"/>
      <c r="E247" s="3"/>
      <c r="F247" s="3"/>
      <c r="G247" s="3"/>
      <c r="H247" s="3"/>
      <c r="I247" s="3"/>
      <c r="J247" s="3"/>
      <c r="K247" s="3"/>
      <c r="L247" s="3"/>
      <c r="M247" s="3"/>
      <c r="N247" s="3"/>
      <c r="O247" s="3"/>
      <c r="P247" s="264"/>
      <c r="Q247" s="264"/>
      <c r="R247" s="264"/>
      <c r="S247" s="264"/>
      <c r="T247" s="264"/>
      <c r="U247" s="264"/>
      <c r="V247" s="264"/>
      <c r="W247" s="3"/>
      <c r="X247" s="3"/>
      <c r="Y247" s="3"/>
      <c r="Z247" s="3"/>
      <c r="AA247" s="3"/>
      <c r="AB247" s="3"/>
      <c r="AC247" s="3"/>
    </row>
    <row r="248" ht="15.75" customHeight="1">
      <c r="A248" s="3"/>
      <c r="B248" s="3"/>
      <c r="C248" s="3"/>
      <c r="D248" s="3"/>
      <c r="E248" s="3"/>
      <c r="F248" s="3"/>
      <c r="G248" s="3"/>
      <c r="H248" s="3"/>
      <c r="I248" s="3"/>
      <c r="J248" s="3"/>
      <c r="K248" s="3"/>
      <c r="L248" s="3"/>
      <c r="M248" s="3"/>
      <c r="N248" s="3"/>
      <c r="O248" s="3"/>
      <c r="P248" s="264"/>
      <c r="Q248" s="264"/>
      <c r="R248" s="264"/>
      <c r="S248" s="264"/>
      <c r="T248" s="264"/>
      <c r="U248" s="264"/>
      <c r="V248" s="264"/>
      <c r="W248" s="3"/>
      <c r="X248" s="3"/>
      <c r="Y248" s="3"/>
      <c r="Z248" s="3"/>
      <c r="AA248" s="3"/>
      <c r="AB248" s="3"/>
      <c r="AC248" s="3"/>
    </row>
    <row r="249" ht="15.75" customHeight="1">
      <c r="A249" s="3"/>
      <c r="B249" s="3"/>
      <c r="C249" s="3"/>
      <c r="D249" s="3"/>
      <c r="E249" s="3"/>
      <c r="F249" s="3"/>
      <c r="G249" s="3"/>
      <c r="H249" s="3"/>
      <c r="I249" s="3"/>
      <c r="J249" s="3"/>
      <c r="K249" s="3"/>
      <c r="L249" s="3"/>
      <c r="M249" s="3"/>
      <c r="N249" s="3"/>
      <c r="O249" s="3"/>
      <c r="P249" s="264"/>
      <c r="Q249" s="264"/>
      <c r="R249" s="264"/>
      <c r="S249" s="264"/>
      <c r="T249" s="264"/>
      <c r="U249" s="264"/>
      <c r="V249" s="264"/>
      <c r="W249" s="3"/>
      <c r="X249" s="3"/>
      <c r="Y249" s="3"/>
      <c r="Z249" s="3"/>
      <c r="AA249" s="3"/>
      <c r="AB249" s="3"/>
      <c r="AC249" s="3"/>
    </row>
    <row r="250" ht="15.75" customHeight="1">
      <c r="A250" s="3"/>
      <c r="B250" s="3"/>
      <c r="C250" s="3"/>
      <c r="D250" s="3"/>
      <c r="E250" s="3"/>
      <c r="F250" s="3"/>
      <c r="G250" s="3"/>
      <c r="H250" s="3"/>
      <c r="I250" s="3"/>
      <c r="J250" s="3"/>
      <c r="K250" s="3"/>
      <c r="L250" s="3"/>
      <c r="M250" s="3"/>
      <c r="N250" s="3"/>
      <c r="O250" s="3"/>
      <c r="P250" s="264"/>
      <c r="Q250" s="264"/>
      <c r="R250" s="264"/>
      <c r="S250" s="264"/>
      <c r="T250" s="264"/>
      <c r="U250" s="264"/>
      <c r="V250" s="264"/>
      <c r="W250" s="3"/>
      <c r="X250" s="3"/>
      <c r="Y250" s="3"/>
      <c r="Z250" s="3"/>
      <c r="AA250" s="3"/>
      <c r="AB250" s="3"/>
      <c r="AC250" s="3"/>
    </row>
    <row r="251" ht="15.75" customHeight="1">
      <c r="A251" s="3"/>
      <c r="B251" s="3"/>
      <c r="C251" s="3"/>
      <c r="D251" s="3"/>
      <c r="E251" s="3"/>
      <c r="F251" s="3"/>
      <c r="G251" s="3"/>
      <c r="H251" s="3"/>
      <c r="I251" s="3"/>
      <c r="J251" s="3"/>
      <c r="K251" s="3"/>
      <c r="L251" s="3"/>
      <c r="M251" s="3"/>
      <c r="N251" s="3"/>
      <c r="O251" s="3"/>
      <c r="P251" s="264"/>
      <c r="Q251" s="264"/>
      <c r="R251" s="264"/>
      <c r="S251" s="264"/>
      <c r="T251" s="264"/>
      <c r="U251" s="264"/>
      <c r="V251" s="264"/>
      <c r="W251" s="3"/>
      <c r="X251" s="3"/>
      <c r="Y251" s="3"/>
      <c r="Z251" s="3"/>
      <c r="AA251" s="3"/>
      <c r="AB251" s="3"/>
      <c r="AC251" s="3"/>
    </row>
    <row r="252" ht="15.75" customHeight="1">
      <c r="A252" s="3"/>
      <c r="B252" s="3"/>
      <c r="C252" s="3"/>
      <c r="D252" s="3"/>
      <c r="E252" s="3"/>
      <c r="F252" s="3"/>
      <c r="G252" s="3"/>
      <c r="H252" s="3"/>
      <c r="I252" s="3"/>
      <c r="J252" s="3"/>
      <c r="K252" s="3"/>
      <c r="L252" s="3"/>
      <c r="M252" s="3"/>
      <c r="N252" s="3"/>
      <c r="O252" s="3"/>
      <c r="P252" s="264"/>
      <c r="Q252" s="264"/>
      <c r="R252" s="264"/>
      <c r="S252" s="264"/>
      <c r="T252" s="264"/>
      <c r="U252" s="264"/>
      <c r="V252" s="264"/>
      <c r="W252" s="3"/>
      <c r="X252" s="3"/>
      <c r="Y252" s="3"/>
      <c r="Z252" s="3"/>
      <c r="AA252" s="3"/>
      <c r="AB252" s="3"/>
      <c r="AC252" s="3"/>
    </row>
    <row r="253" ht="15.75" customHeight="1">
      <c r="A253" s="3"/>
      <c r="B253" s="3"/>
      <c r="C253" s="3"/>
      <c r="D253" s="3"/>
      <c r="E253" s="3"/>
      <c r="F253" s="3"/>
      <c r="G253" s="3"/>
      <c r="H253" s="3"/>
      <c r="I253" s="3"/>
      <c r="J253" s="3"/>
      <c r="K253" s="3"/>
      <c r="L253" s="3"/>
      <c r="M253" s="3"/>
      <c r="N253" s="3"/>
      <c r="O253" s="3"/>
      <c r="P253" s="264"/>
      <c r="Q253" s="264"/>
      <c r="R253" s="264"/>
      <c r="S253" s="264"/>
      <c r="T253" s="264"/>
      <c r="U253" s="264"/>
      <c r="V253" s="264"/>
      <c r="W253" s="3"/>
      <c r="X253" s="3"/>
      <c r="Y253" s="3"/>
      <c r="Z253" s="3"/>
      <c r="AA253" s="3"/>
      <c r="AB253" s="3"/>
      <c r="AC253" s="3"/>
    </row>
    <row r="254" ht="15.75" customHeight="1">
      <c r="A254" s="3"/>
      <c r="B254" s="3"/>
      <c r="C254" s="3"/>
      <c r="D254" s="3"/>
      <c r="E254" s="3"/>
      <c r="F254" s="3"/>
      <c r="G254" s="3"/>
      <c r="H254" s="3"/>
      <c r="I254" s="3"/>
      <c r="J254" s="3"/>
      <c r="K254" s="3"/>
      <c r="L254" s="3"/>
      <c r="M254" s="3"/>
      <c r="N254" s="3"/>
      <c r="O254" s="3"/>
      <c r="P254" s="264"/>
      <c r="Q254" s="264"/>
      <c r="R254" s="264"/>
      <c r="S254" s="264"/>
      <c r="T254" s="264"/>
      <c r="U254" s="264"/>
      <c r="V254" s="264"/>
      <c r="W254" s="3"/>
      <c r="X254" s="3"/>
      <c r="Y254" s="3"/>
      <c r="Z254" s="3"/>
      <c r="AA254" s="3"/>
      <c r="AB254" s="3"/>
      <c r="AC254" s="3"/>
    </row>
    <row r="255" ht="15.75" customHeight="1">
      <c r="A255" s="3"/>
      <c r="B255" s="3"/>
      <c r="C255" s="3"/>
      <c r="D255" s="3"/>
      <c r="E255" s="3"/>
      <c r="F255" s="3"/>
      <c r="G255" s="3"/>
      <c r="H255" s="3"/>
      <c r="I255" s="3"/>
      <c r="J255" s="3"/>
      <c r="K255" s="3"/>
      <c r="L255" s="3"/>
      <c r="M255" s="3"/>
      <c r="N255" s="3"/>
      <c r="O255" s="3"/>
      <c r="P255" s="264"/>
      <c r="Q255" s="264"/>
      <c r="R255" s="264"/>
      <c r="S255" s="264"/>
      <c r="T255" s="264"/>
      <c r="U255" s="264"/>
      <c r="V255" s="264"/>
      <c r="W255" s="3"/>
      <c r="X255" s="3"/>
      <c r="Y255" s="3"/>
      <c r="Z255" s="3"/>
      <c r="AA255" s="3"/>
      <c r="AB255" s="3"/>
      <c r="AC255" s="3"/>
    </row>
    <row r="256" ht="15.75" customHeight="1">
      <c r="A256" s="3"/>
      <c r="B256" s="3"/>
      <c r="C256" s="3"/>
      <c r="D256" s="3"/>
      <c r="E256" s="3"/>
      <c r="F256" s="3"/>
      <c r="G256" s="3"/>
      <c r="H256" s="3"/>
      <c r="I256" s="3"/>
      <c r="J256" s="3"/>
      <c r="K256" s="3"/>
      <c r="L256" s="3"/>
      <c r="M256" s="3"/>
      <c r="N256" s="3"/>
      <c r="O256" s="3"/>
      <c r="P256" s="264"/>
      <c r="Q256" s="264"/>
      <c r="R256" s="264"/>
      <c r="S256" s="264"/>
      <c r="T256" s="264"/>
      <c r="U256" s="264"/>
      <c r="V256" s="264"/>
      <c r="W256" s="3"/>
      <c r="X256" s="3"/>
      <c r="Y256" s="3"/>
      <c r="Z256" s="3"/>
      <c r="AA256" s="3"/>
      <c r="AB256" s="3"/>
      <c r="AC256" s="3"/>
    </row>
    <row r="257" ht="15.75" customHeight="1">
      <c r="A257" s="3"/>
      <c r="B257" s="3"/>
      <c r="C257" s="3"/>
      <c r="D257" s="3"/>
      <c r="E257" s="3"/>
      <c r="F257" s="3"/>
      <c r="G257" s="3"/>
      <c r="H257" s="3"/>
      <c r="I257" s="3"/>
      <c r="J257" s="3"/>
      <c r="K257" s="3"/>
      <c r="L257" s="3"/>
      <c r="M257" s="3"/>
      <c r="N257" s="3"/>
      <c r="O257" s="3"/>
      <c r="P257" s="264"/>
      <c r="Q257" s="264"/>
      <c r="R257" s="264"/>
      <c r="S257" s="264"/>
      <c r="T257" s="264"/>
      <c r="U257" s="264"/>
      <c r="V257" s="264"/>
      <c r="W257" s="3"/>
      <c r="X257" s="3"/>
      <c r="Y257" s="3"/>
      <c r="Z257" s="3"/>
      <c r="AA257" s="3"/>
      <c r="AB257" s="3"/>
      <c r="AC257" s="3"/>
    </row>
    <row r="258" ht="15.75" customHeight="1">
      <c r="A258" s="3"/>
      <c r="B258" s="3"/>
      <c r="C258" s="3"/>
      <c r="D258" s="3"/>
      <c r="E258" s="3"/>
      <c r="F258" s="3"/>
      <c r="G258" s="3"/>
      <c r="H258" s="3"/>
      <c r="I258" s="3"/>
      <c r="J258" s="3"/>
      <c r="K258" s="3"/>
      <c r="L258" s="3"/>
      <c r="M258" s="3"/>
      <c r="N258" s="3"/>
      <c r="O258" s="3"/>
      <c r="P258" s="264"/>
      <c r="Q258" s="264"/>
      <c r="R258" s="264"/>
      <c r="S258" s="264"/>
      <c r="T258" s="264"/>
      <c r="U258" s="264"/>
      <c r="V258" s="264"/>
      <c r="W258" s="3"/>
      <c r="X258" s="3"/>
      <c r="Y258" s="3"/>
      <c r="Z258" s="3"/>
      <c r="AA258" s="3"/>
      <c r="AB258" s="3"/>
      <c r="AC258" s="3"/>
    </row>
    <row r="259" ht="15.75" customHeight="1">
      <c r="A259" s="3"/>
      <c r="B259" s="3"/>
      <c r="C259" s="3"/>
      <c r="D259" s="3"/>
      <c r="E259" s="3"/>
      <c r="F259" s="3"/>
      <c r="G259" s="3"/>
      <c r="H259" s="3"/>
      <c r="I259" s="3"/>
      <c r="J259" s="3"/>
      <c r="K259" s="3"/>
      <c r="L259" s="3"/>
      <c r="M259" s="3"/>
      <c r="N259" s="3"/>
      <c r="O259" s="3"/>
      <c r="P259" s="264"/>
      <c r="Q259" s="264"/>
      <c r="R259" s="264"/>
      <c r="S259" s="264"/>
      <c r="T259" s="264"/>
      <c r="U259" s="264"/>
      <c r="V259" s="264"/>
      <c r="W259" s="3"/>
      <c r="X259" s="3"/>
      <c r="Y259" s="3"/>
      <c r="Z259" s="3"/>
      <c r="AA259" s="3"/>
      <c r="AB259" s="3"/>
      <c r="AC259" s="3"/>
    </row>
    <row r="260" ht="15.75" customHeight="1">
      <c r="A260" s="3"/>
      <c r="B260" s="3"/>
      <c r="C260" s="3"/>
      <c r="D260" s="3"/>
      <c r="E260" s="3"/>
      <c r="F260" s="3"/>
      <c r="G260" s="3"/>
      <c r="H260" s="3"/>
      <c r="I260" s="3"/>
      <c r="J260" s="3"/>
      <c r="K260" s="3"/>
      <c r="L260" s="3"/>
      <c r="M260" s="3"/>
      <c r="N260" s="3"/>
      <c r="O260" s="3"/>
      <c r="P260" s="264"/>
      <c r="Q260" s="264"/>
      <c r="R260" s="264"/>
      <c r="S260" s="264"/>
      <c r="T260" s="264"/>
      <c r="U260" s="264"/>
      <c r="V260" s="264"/>
      <c r="W260" s="3"/>
      <c r="X260" s="3"/>
      <c r="Y260" s="3"/>
      <c r="Z260" s="3"/>
      <c r="AA260" s="3"/>
      <c r="AB260" s="3"/>
      <c r="AC260" s="3"/>
    </row>
    <row r="261" ht="15.75" customHeight="1">
      <c r="A261" s="3"/>
      <c r="B261" s="3"/>
      <c r="C261" s="3"/>
      <c r="D261" s="3"/>
      <c r="E261" s="3"/>
      <c r="F261" s="3"/>
      <c r="G261" s="3"/>
      <c r="H261" s="3"/>
      <c r="I261" s="3"/>
      <c r="J261" s="3"/>
      <c r="K261" s="3"/>
      <c r="L261" s="3"/>
      <c r="M261" s="3"/>
      <c r="N261" s="3"/>
      <c r="O261" s="3"/>
      <c r="P261" s="264"/>
      <c r="Q261" s="264"/>
      <c r="R261" s="264"/>
      <c r="S261" s="264"/>
      <c r="T261" s="264"/>
      <c r="U261" s="264"/>
      <c r="V261" s="264"/>
      <c r="W261" s="3"/>
      <c r="X261" s="3"/>
      <c r="Y261" s="3"/>
      <c r="Z261" s="3"/>
      <c r="AA261" s="3"/>
      <c r="AB261" s="3"/>
      <c r="AC261" s="3"/>
    </row>
    <row r="262" ht="15.75" customHeight="1">
      <c r="A262" s="3"/>
      <c r="B262" s="3"/>
      <c r="C262" s="3"/>
      <c r="D262" s="3"/>
      <c r="E262" s="3"/>
      <c r="F262" s="3"/>
      <c r="G262" s="3"/>
      <c r="H262" s="3"/>
      <c r="I262" s="3"/>
      <c r="J262" s="3"/>
      <c r="K262" s="3"/>
      <c r="L262" s="3"/>
      <c r="M262" s="3"/>
      <c r="N262" s="3"/>
      <c r="O262" s="3"/>
      <c r="P262" s="264"/>
      <c r="Q262" s="264"/>
      <c r="R262" s="264"/>
      <c r="S262" s="264"/>
      <c r="T262" s="264"/>
      <c r="U262" s="264"/>
      <c r="V262" s="264"/>
      <c r="W262" s="3"/>
      <c r="X262" s="3"/>
      <c r="Y262" s="3"/>
      <c r="Z262" s="3"/>
      <c r="AA262" s="3"/>
      <c r="AB262" s="3"/>
      <c r="AC262" s="3"/>
    </row>
    <row r="263" ht="15.75" customHeight="1">
      <c r="A263" s="3"/>
      <c r="B263" s="3"/>
      <c r="C263" s="3"/>
      <c r="D263" s="3"/>
      <c r="E263" s="3"/>
      <c r="F263" s="3"/>
      <c r="G263" s="3"/>
      <c r="H263" s="3"/>
      <c r="I263" s="3"/>
      <c r="J263" s="3"/>
      <c r="K263" s="3"/>
      <c r="L263" s="3"/>
      <c r="M263" s="3"/>
      <c r="N263" s="3"/>
      <c r="O263" s="3"/>
      <c r="P263" s="264"/>
      <c r="Q263" s="264"/>
      <c r="R263" s="264"/>
      <c r="S263" s="264"/>
      <c r="T263" s="264"/>
      <c r="U263" s="264"/>
      <c r="V263" s="264"/>
      <c r="W263" s="3"/>
      <c r="X263" s="3"/>
      <c r="Y263" s="3"/>
      <c r="Z263" s="3"/>
      <c r="AA263" s="3"/>
      <c r="AB263" s="3"/>
      <c r="AC263" s="3"/>
    </row>
    <row r="264" ht="15.75" customHeight="1">
      <c r="A264" s="3"/>
      <c r="B264" s="3"/>
      <c r="C264" s="3"/>
      <c r="D264" s="3"/>
      <c r="E264" s="3"/>
      <c r="F264" s="3"/>
      <c r="G264" s="3"/>
      <c r="H264" s="3"/>
      <c r="I264" s="3"/>
      <c r="J264" s="3"/>
      <c r="K264" s="3"/>
      <c r="L264" s="3"/>
      <c r="M264" s="3"/>
      <c r="N264" s="3"/>
      <c r="O264" s="3"/>
      <c r="P264" s="264"/>
      <c r="Q264" s="264"/>
      <c r="R264" s="264"/>
      <c r="S264" s="264"/>
      <c r="T264" s="264"/>
      <c r="U264" s="264"/>
      <c r="V264" s="264"/>
      <c r="W264" s="3"/>
      <c r="X264" s="3"/>
      <c r="Y264" s="3"/>
      <c r="Z264" s="3"/>
      <c r="AA264" s="3"/>
      <c r="AB264" s="3"/>
      <c r="AC264" s="3"/>
    </row>
    <row r="265" ht="15.75" customHeight="1">
      <c r="A265" s="3"/>
      <c r="B265" s="3"/>
      <c r="C265" s="3"/>
      <c r="D265" s="3"/>
      <c r="E265" s="3"/>
      <c r="F265" s="3"/>
      <c r="G265" s="3"/>
      <c r="H265" s="3"/>
      <c r="I265" s="3"/>
      <c r="J265" s="3"/>
      <c r="K265" s="3"/>
      <c r="L265" s="3"/>
      <c r="M265" s="3"/>
      <c r="N265" s="3"/>
      <c r="O265" s="3"/>
      <c r="P265" s="264"/>
      <c r="Q265" s="264"/>
      <c r="R265" s="264"/>
      <c r="S265" s="264"/>
      <c r="T265" s="264"/>
      <c r="U265" s="264"/>
      <c r="V265" s="264"/>
      <c r="W265" s="3"/>
      <c r="X265" s="3"/>
      <c r="Y265" s="3"/>
      <c r="Z265" s="3"/>
      <c r="AA265" s="3"/>
      <c r="AB265" s="3"/>
      <c r="AC265" s="3"/>
    </row>
    <row r="266" ht="15.75" customHeight="1">
      <c r="A266" s="3"/>
      <c r="B266" s="3"/>
      <c r="C266" s="3"/>
      <c r="D266" s="3"/>
      <c r="E266" s="3"/>
      <c r="F266" s="3"/>
      <c r="G266" s="3"/>
      <c r="H266" s="3"/>
      <c r="I266" s="3"/>
      <c r="J266" s="3"/>
      <c r="K266" s="3"/>
      <c r="L266" s="3"/>
      <c r="M266" s="3"/>
      <c r="N266" s="3"/>
      <c r="O266" s="3"/>
      <c r="P266" s="264"/>
      <c r="Q266" s="264"/>
      <c r="R266" s="264"/>
      <c r="S266" s="264"/>
      <c r="T266" s="264"/>
      <c r="U266" s="264"/>
      <c r="V266" s="264"/>
      <c r="W266" s="3"/>
      <c r="X266" s="3"/>
      <c r="Y266" s="3"/>
      <c r="Z266" s="3"/>
      <c r="AA266" s="3"/>
      <c r="AB266" s="3"/>
      <c r="AC266" s="3"/>
    </row>
    <row r="267" ht="15.75" customHeight="1">
      <c r="A267" s="3"/>
      <c r="B267" s="3"/>
      <c r="C267" s="3"/>
      <c r="D267" s="3"/>
      <c r="E267" s="3"/>
      <c r="F267" s="3"/>
      <c r="G267" s="3"/>
      <c r="H267" s="3"/>
      <c r="I267" s="3"/>
      <c r="J267" s="3"/>
      <c r="K267" s="3"/>
      <c r="L267" s="3"/>
      <c r="M267" s="3"/>
      <c r="N267" s="3"/>
      <c r="O267" s="3"/>
      <c r="P267" s="264"/>
      <c r="Q267" s="264"/>
      <c r="R267" s="264"/>
      <c r="S267" s="264"/>
      <c r="T267" s="264"/>
      <c r="U267" s="264"/>
      <c r="V267" s="264"/>
      <c r="W267" s="3"/>
      <c r="X267" s="3"/>
      <c r="Y267" s="3"/>
      <c r="Z267" s="3"/>
      <c r="AA267" s="3"/>
      <c r="AB267" s="3"/>
      <c r="AC267" s="3"/>
    </row>
    <row r="268" ht="15.75" customHeight="1">
      <c r="A268" s="3"/>
      <c r="B268" s="3"/>
      <c r="C268" s="3"/>
      <c r="D268" s="3"/>
      <c r="E268" s="3"/>
      <c r="F268" s="3"/>
      <c r="G268" s="3"/>
      <c r="H268" s="3"/>
      <c r="I268" s="3"/>
      <c r="J268" s="3"/>
      <c r="K268" s="3"/>
      <c r="L268" s="3"/>
      <c r="M268" s="3"/>
      <c r="N268" s="3"/>
      <c r="O268" s="3"/>
      <c r="P268" s="264"/>
      <c r="Q268" s="264"/>
      <c r="R268" s="264"/>
      <c r="S268" s="264"/>
      <c r="T268" s="264"/>
      <c r="U268" s="264"/>
      <c r="V268" s="264"/>
      <c r="W268" s="3"/>
      <c r="X268" s="3"/>
      <c r="Y268" s="3"/>
      <c r="Z268" s="3"/>
      <c r="AA268" s="3"/>
      <c r="AB268" s="3"/>
      <c r="AC268" s="3"/>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E4:K4"/>
    <mergeCell ref="E5:K5"/>
    <mergeCell ref="A1:K1"/>
    <mergeCell ref="A2:C2"/>
    <mergeCell ref="E2:K2"/>
    <mergeCell ref="A3:C3"/>
    <mergeCell ref="E3:K3"/>
    <mergeCell ref="A4:C4"/>
    <mergeCell ref="A5:C5"/>
    <mergeCell ref="A9:C9"/>
    <mergeCell ref="A10:C10"/>
    <mergeCell ref="A11:C11"/>
    <mergeCell ref="A12:C12"/>
    <mergeCell ref="A13:C13"/>
    <mergeCell ref="A6:C6"/>
    <mergeCell ref="E6:K6"/>
    <mergeCell ref="A7:C7"/>
    <mergeCell ref="D7:K7"/>
    <mergeCell ref="A8:C8"/>
    <mergeCell ref="D8:K8"/>
    <mergeCell ref="D9:K9"/>
    <mergeCell ref="D10:K10"/>
    <mergeCell ref="D11:K11"/>
    <mergeCell ref="D12:K12"/>
    <mergeCell ref="D13:K13"/>
    <mergeCell ref="A14:K14"/>
    <mergeCell ref="A15:L15"/>
    <mergeCell ref="B16:E16"/>
    <mergeCell ref="B17:E17"/>
    <mergeCell ref="B18:E18"/>
    <mergeCell ref="B19:E19"/>
    <mergeCell ref="B20:E20"/>
    <mergeCell ref="B21:E21"/>
    <mergeCell ref="B22:E22"/>
    <mergeCell ref="B23:E23"/>
    <mergeCell ref="C29:E29"/>
    <mergeCell ref="C30:E30"/>
    <mergeCell ref="C41:E41"/>
    <mergeCell ref="C42:E42"/>
    <mergeCell ref="A43:I43"/>
    <mergeCell ref="C44:E44"/>
    <mergeCell ref="H44:I44"/>
    <mergeCell ref="C45:E45"/>
    <mergeCell ref="C46:E46"/>
    <mergeCell ref="B71:D71"/>
    <mergeCell ref="E71:K71"/>
    <mergeCell ref="B72:D72"/>
    <mergeCell ref="E72:K72"/>
    <mergeCell ref="C47:E47"/>
    <mergeCell ref="H47:I47"/>
    <mergeCell ref="C48:E48"/>
    <mergeCell ref="H48:I48"/>
    <mergeCell ref="C49:E49"/>
    <mergeCell ref="A50:I50"/>
    <mergeCell ref="G51:H51"/>
    <mergeCell ref="C31:E31"/>
    <mergeCell ref="C32:E32"/>
    <mergeCell ref="C33:E33"/>
    <mergeCell ref="C34:E34"/>
    <mergeCell ref="K37:L37"/>
    <mergeCell ref="K38:L38"/>
    <mergeCell ref="K40:L40"/>
    <mergeCell ref="K41:L41"/>
    <mergeCell ref="A24:E24"/>
    <mergeCell ref="A25:F25"/>
    <mergeCell ref="B26:E26"/>
    <mergeCell ref="A27:I27"/>
    <mergeCell ref="J27:J36"/>
    <mergeCell ref="K27:L27"/>
    <mergeCell ref="C28:E28"/>
    <mergeCell ref="C35:E35"/>
    <mergeCell ref="C36:E36"/>
    <mergeCell ref="C37:E37"/>
    <mergeCell ref="J37:J40"/>
    <mergeCell ref="C38:E38"/>
    <mergeCell ref="C39:E39"/>
    <mergeCell ref="C40:E40"/>
    <mergeCell ref="H45:I45"/>
    <mergeCell ref="H46:I46"/>
    <mergeCell ref="C51:F51"/>
    <mergeCell ref="C52:F52"/>
    <mergeCell ref="G52:H52"/>
    <mergeCell ref="C53:F53"/>
    <mergeCell ref="G53:H53"/>
  </mergeCells>
  <hyperlinks>
    <hyperlink display="Mapping of 339" location="'Status Report'!A1" ref="Y2"/>
  </hyperlinks>
  <printOptions/>
  <pageMargins bottom="0.0" footer="0.0" header="0.0" left="0.0" right="0.0" top="0.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0"/>
    <col customWidth="1" min="2" max="2" width="17.13"/>
    <col customWidth="1" min="3" max="7" width="12.0"/>
    <col customWidth="1" min="8" max="8" width="17.0"/>
    <col customWidth="1" min="9" max="9" width="16.38"/>
    <col customWidth="1" min="10" max="10" width="23.0"/>
    <col customWidth="1" min="11" max="11" width="12.5"/>
    <col customWidth="1" min="12" max="12" width="16.0"/>
    <col customWidth="1" min="13" max="13" width="12.5"/>
    <col customWidth="1" min="14" max="14" width="25.0"/>
    <col customWidth="1" min="15" max="26" width="12.5"/>
  </cols>
  <sheetData>
    <row r="1" ht="15.75" customHeight="1">
      <c r="A1" s="369" t="s">
        <v>3123</v>
      </c>
      <c r="B1" s="15"/>
      <c r="C1" s="15"/>
      <c r="D1" s="15"/>
      <c r="E1" s="15"/>
      <c r="F1" s="15"/>
      <c r="G1" s="16"/>
      <c r="H1" s="2"/>
      <c r="I1" s="2"/>
      <c r="J1" s="2"/>
      <c r="K1" s="2"/>
      <c r="L1" s="2"/>
      <c r="M1" s="2"/>
      <c r="N1" s="2"/>
      <c r="O1" s="3"/>
      <c r="P1" s="3"/>
      <c r="Q1" s="3"/>
      <c r="R1" s="3"/>
      <c r="S1" s="3"/>
      <c r="T1" s="3"/>
    </row>
    <row r="2" ht="15.75" customHeight="1">
      <c r="A2" s="370" t="s">
        <v>3124</v>
      </c>
      <c r="B2" s="15"/>
      <c r="C2" s="15"/>
      <c r="D2" s="15"/>
      <c r="E2" s="15"/>
      <c r="F2" s="15"/>
      <c r="G2" s="16"/>
      <c r="H2" s="2"/>
      <c r="I2" s="2"/>
      <c r="J2" s="2"/>
      <c r="K2" s="2"/>
      <c r="L2" s="2"/>
      <c r="M2" s="2"/>
      <c r="N2" s="2"/>
      <c r="O2" s="3"/>
      <c r="P2" s="3"/>
      <c r="Q2" s="3"/>
      <c r="R2" s="3"/>
      <c r="S2" s="3"/>
      <c r="T2" s="3"/>
    </row>
    <row r="3" ht="15.75" customHeight="1">
      <c r="A3" s="371" t="s">
        <v>3125</v>
      </c>
      <c r="B3" s="15"/>
      <c r="C3" s="15"/>
      <c r="D3" s="15"/>
      <c r="E3" s="15"/>
      <c r="F3" s="15"/>
      <c r="G3" s="16"/>
      <c r="H3" s="2"/>
      <c r="I3" s="2"/>
      <c r="J3" s="2"/>
      <c r="K3" s="2"/>
      <c r="L3" s="2" t="s">
        <v>3050</v>
      </c>
      <c r="M3" s="2" t="str">
        <f>C14</f>
        <v>#REF!</v>
      </c>
      <c r="N3" s="2"/>
      <c r="O3" s="3"/>
      <c r="P3" s="3"/>
      <c r="Q3" s="3"/>
      <c r="R3" s="3"/>
      <c r="S3" s="3"/>
      <c r="T3" s="3"/>
    </row>
    <row r="4" ht="15.75" customHeight="1">
      <c r="A4" s="372"/>
      <c r="B4" s="2"/>
      <c r="C4" s="2"/>
      <c r="D4" s="2"/>
      <c r="E4" s="2"/>
      <c r="F4" s="2"/>
      <c r="G4" s="2"/>
      <c r="H4" s="2"/>
      <c r="I4" s="2"/>
      <c r="J4" s="2"/>
      <c r="K4" s="2"/>
      <c r="L4" s="2" t="s">
        <v>36</v>
      </c>
      <c r="M4" s="2" t="str">
        <f>D14</f>
        <v>#REF!</v>
      </c>
      <c r="N4" s="2"/>
      <c r="O4" s="3"/>
      <c r="P4" s="3"/>
      <c r="Q4" s="3"/>
      <c r="R4" s="3"/>
      <c r="S4" s="3"/>
      <c r="T4" s="3"/>
    </row>
    <row r="5" ht="15.75" customHeight="1">
      <c r="A5" s="372"/>
      <c r="B5" s="2"/>
      <c r="C5" s="2"/>
      <c r="D5" s="2"/>
      <c r="E5" s="2"/>
      <c r="F5" s="2"/>
      <c r="G5" s="2"/>
      <c r="H5" s="2"/>
      <c r="I5" s="2"/>
      <c r="J5" s="2"/>
      <c r="K5" s="2"/>
      <c r="L5" s="2" t="s">
        <v>111</v>
      </c>
      <c r="M5" s="2" t="str">
        <f>E14</f>
        <v>#REF!</v>
      </c>
      <c r="N5" s="2"/>
      <c r="O5" s="3"/>
      <c r="P5" s="3"/>
      <c r="Q5" s="3"/>
      <c r="R5" s="3"/>
      <c r="S5" s="3"/>
      <c r="T5" s="3"/>
    </row>
    <row r="6" ht="15.75" customHeight="1">
      <c r="A6" s="373" t="s">
        <v>3126</v>
      </c>
      <c r="B6" s="335"/>
      <c r="C6" s="335"/>
      <c r="D6" s="335"/>
      <c r="E6" s="335"/>
      <c r="F6" s="335"/>
      <c r="G6" s="335"/>
      <c r="H6" s="374"/>
      <c r="I6" s="375"/>
      <c r="J6" s="375"/>
      <c r="K6" s="2"/>
      <c r="L6" s="2" t="s">
        <v>3127</v>
      </c>
      <c r="M6" s="2" t="str">
        <f>F14</f>
        <v>#REF!</v>
      </c>
      <c r="N6" s="2"/>
      <c r="O6" s="3"/>
      <c r="P6" s="3"/>
      <c r="Q6" s="3"/>
      <c r="R6" s="3"/>
      <c r="S6" s="3"/>
      <c r="T6" s="3"/>
    </row>
    <row r="7" ht="15.75" customHeight="1">
      <c r="A7" s="376" t="s">
        <v>3128</v>
      </c>
      <c r="B7" s="377" t="s">
        <v>3129</v>
      </c>
      <c r="C7" s="377" t="s">
        <v>3050</v>
      </c>
      <c r="D7" s="377" t="s">
        <v>36</v>
      </c>
      <c r="E7" s="377" t="s">
        <v>111</v>
      </c>
      <c r="F7" s="377" t="s">
        <v>3127</v>
      </c>
      <c r="G7" s="377" t="s">
        <v>3130</v>
      </c>
      <c r="H7" s="377" t="s">
        <v>3131</v>
      </c>
      <c r="I7" s="377" t="s">
        <v>3132</v>
      </c>
      <c r="J7" s="378" t="s">
        <v>3133</v>
      </c>
      <c r="K7" s="2"/>
      <c r="L7" s="2" t="s">
        <v>3130</v>
      </c>
      <c r="M7" s="2" t="str">
        <f>G14</f>
        <v>#REF!</v>
      </c>
      <c r="N7" s="2"/>
      <c r="O7" s="3"/>
      <c r="P7" s="3"/>
      <c r="Q7" s="3"/>
      <c r="R7" s="3"/>
      <c r="S7" s="3"/>
      <c r="T7" s="3"/>
    </row>
    <row r="8" ht="15.75" customHeight="1">
      <c r="A8" s="379"/>
      <c r="B8" s="380">
        <f t="shared" ref="B8:B13" si="1">C8+D8+E8+F8+G8</f>
        <v>118</v>
      </c>
      <c r="C8" s="381">
        <f>COUNTIF('Login Functionality - US TC'!I1:I130,"NOT STARTED")</f>
        <v>0</v>
      </c>
      <c r="D8" s="381">
        <f>COUNTIF('Login Functionality - US TC'!I1:I130,"PASSED")</f>
        <v>102</v>
      </c>
      <c r="E8" s="381">
        <f>COUNTIF('Login Functionality - US TC'!I1:I130,"FAILED")</f>
        <v>16</v>
      </c>
      <c r="F8" s="381">
        <f>COUNTIF('Login Functionality - US TC'!I1:I130,"BLOCKED")</f>
        <v>0</v>
      </c>
      <c r="G8" s="381">
        <f>COUNTIF('Login Functionality - US TC'!I1:I130,"OUT OF SCOPE")</f>
        <v>0</v>
      </c>
      <c r="H8" s="382">
        <f t="shared" ref="H8:H14" si="2">(D8+G8)/B8</f>
        <v>0.8644067797</v>
      </c>
      <c r="I8" s="383">
        <f>COUNTIF('Defect Summary'!B3:B123,"UNI-297B")</f>
        <v>0</v>
      </c>
      <c r="J8" s="384"/>
      <c r="K8" s="2"/>
      <c r="L8" s="276" t="s">
        <v>3134</v>
      </c>
      <c r="M8" s="385">
        <f>I14</f>
        <v>0</v>
      </c>
      <c r="N8" s="2"/>
      <c r="O8" s="3"/>
      <c r="P8" s="3"/>
      <c r="Q8" s="3"/>
      <c r="R8" s="3"/>
      <c r="S8" s="3"/>
      <c r="T8" s="3"/>
    </row>
    <row r="9" ht="15.75" customHeight="1">
      <c r="A9" s="379"/>
      <c r="B9" s="380" t="str">
        <f t="shared" si="1"/>
        <v>#REF!</v>
      </c>
      <c r="C9" s="381" t="str">
        <f t="shared" ref="C9:C11" si="3">COUNTIF(#REF!,"NOT STARTED")</f>
        <v>#REF!</v>
      </c>
      <c r="D9" s="381" t="str">
        <f t="shared" ref="D9:D11" si="4">COUNTIF(#REF!,"PASSED")</f>
        <v>#REF!</v>
      </c>
      <c r="E9" s="381" t="str">
        <f t="shared" ref="E9:E11" si="5">COUNTIF(#REF!,"FAILED")</f>
        <v>#REF!</v>
      </c>
      <c r="F9" s="381" t="str">
        <f t="shared" ref="F9:F11" si="6">COUNTIF(#REF!,"BLOCKED")</f>
        <v>#REF!</v>
      </c>
      <c r="G9" s="381" t="str">
        <f t="shared" ref="G9:G10" si="7">COUNTIF(#REF!,"OUT OF SCOPE")</f>
        <v>#REF!</v>
      </c>
      <c r="H9" s="382" t="str">
        <f t="shared" si="2"/>
        <v>#REF!</v>
      </c>
      <c r="I9" s="383">
        <f>COUNTIF('Defect Summary'!B3:B153,"UNI-350")</f>
        <v>0</v>
      </c>
      <c r="J9" s="384"/>
      <c r="L9" s="276" t="s">
        <v>3135</v>
      </c>
      <c r="M9" s="385">
        <f>ROWS(A8:A13)</f>
        <v>6</v>
      </c>
      <c r="N9" s="2"/>
      <c r="O9" s="3"/>
      <c r="P9" s="3"/>
      <c r="Q9" s="3"/>
      <c r="R9" s="3"/>
      <c r="S9" s="3"/>
      <c r="T9" s="3"/>
    </row>
    <row r="10" ht="15.75" customHeight="1">
      <c r="A10" s="379"/>
      <c r="B10" s="380" t="str">
        <f t="shared" si="1"/>
        <v>#REF!</v>
      </c>
      <c r="C10" s="381" t="str">
        <f t="shared" si="3"/>
        <v>#REF!</v>
      </c>
      <c r="D10" s="381" t="str">
        <f t="shared" si="4"/>
        <v>#REF!</v>
      </c>
      <c r="E10" s="381" t="str">
        <f t="shared" si="5"/>
        <v>#REF!</v>
      </c>
      <c r="F10" s="381" t="str">
        <f t="shared" si="6"/>
        <v>#REF!</v>
      </c>
      <c r="G10" s="381" t="str">
        <f t="shared" si="7"/>
        <v>#REF!</v>
      </c>
      <c r="H10" s="382" t="str">
        <f t="shared" si="2"/>
        <v>#REF!</v>
      </c>
      <c r="I10" s="383">
        <f>COUNTIF('Defect Summary'!B5:B153,"UNI-354")</f>
        <v>0</v>
      </c>
      <c r="J10" s="386"/>
      <c r="L10" s="276" t="s">
        <v>3136</v>
      </c>
      <c r="M10" s="385">
        <v>48.0</v>
      </c>
      <c r="N10" s="2"/>
      <c r="O10" s="3"/>
      <c r="P10" s="3"/>
      <c r="Q10" s="3"/>
      <c r="R10" s="3"/>
      <c r="S10" s="3"/>
      <c r="T10" s="3"/>
    </row>
    <row r="11" ht="15.75" customHeight="1">
      <c r="A11" s="379"/>
      <c r="B11" s="380" t="str">
        <f t="shared" si="1"/>
        <v>#REF!</v>
      </c>
      <c r="C11" s="381" t="str">
        <f t="shared" si="3"/>
        <v>#REF!</v>
      </c>
      <c r="D11" s="381" t="str">
        <f t="shared" si="4"/>
        <v>#REF!</v>
      </c>
      <c r="E11" s="381" t="str">
        <f t="shared" si="5"/>
        <v>#REF!</v>
      </c>
      <c r="F11" s="381" t="str">
        <f t="shared" si="6"/>
        <v>#REF!</v>
      </c>
      <c r="G11" s="381" t="str">
        <f>COUNTIF('[1]UNI-355'!H483:H985,"OUT OF SCOPE")</f>
        <v>#REF!</v>
      </c>
      <c r="H11" s="382" t="str">
        <f t="shared" si="2"/>
        <v>#REF!</v>
      </c>
      <c r="I11" s="383">
        <f>COUNTIF('Defect Summary'!B6:B154,"UNI-355")</f>
        <v>0</v>
      </c>
      <c r="J11" s="387"/>
      <c r="L11" s="276"/>
      <c r="M11" s="385"/>
      <c r="N11" s="2"/>
      <c r="O11" s="3"/>
      <c r="P11" s="3"/>
      <c r="Q11" s="3"/>
      <c r="R11" s="3"/>
      <c r="S11" s="3"/>
      <c r="T11" s="3"/>
    </row>
    <row r="12" ht="15.75" customHeight="1">
      <c r="A12" s="379"/>
      <c r="B12" s="380" t="str">
        <f t="shared" si="1"/>
        <v>#REF!</v>
      </c>
      <c r="C12" s="381" t="str">
        <f>COUNTIF('[2]UNI-059C-1H'!H1:H479,"NOT STARTED")</f>
        <v>#REF!</v>
      </c>
      <c r="D12" s="381" t="str">
        <f>COUNTIF('[2]UNI-059C-1H'!H1:H479,"PASSED")</f>
        <v>#REF!</v>
      </c>
      <c r="E12" s="381" t="str">
        <f>COUNTIF('[2]UNI-059C-1H'!H1:H425,"FAILED")</f>
        <v>#REF!</v>
      </c>
      <c r="F12" s="381" t="str">
        <f>COUNTIF('[2]UNI-059C-1H'!H1:H479,"BLOCKED")</f>
        <v>#REF!</v>
      </c>
      <c r="G12" s="381" t="str">
        <f>COUNTIF('[2]UNI-059C-1H'!H484:H985,"OUT OF SCOPE")</f>
        <v>#REF!</v>
      </c>
      <c r="H12" s="382" t="str">
        <f t="shared" si="2"/>
        <v>#REF!</v>
      </c>
      <c r="I12" s="383">
        <f>COUNTIF('Defect Summary'!B7:B155,"UNI-059C-1H")</f>
        <v>0</v>
      </c>
      <c r="J12" s="386"/>
      <c r="L12" s="276"/>
      <c r="M12" s="385"/>
      <c r="N12" s="2"/>
      <c r="O12" s="3"/>
      <c r="P12" s="3"/>
      <c r="Q12" s="3"/>
      <c r="R12" s="3"/>
      <c r="S12" s="3"/>
      <c r="T12" s="3"/>
    </row>
    <row r="13" ht="15.75" customHeight="1">
      <c r="A13" s="379"/>
      <c r="B13" s="380" t="str">
        <f t="shared" si="1"/>
        <v>#REF!</v>
      </c>
      <c r="C13" s="381" t="str">
        <f>COUNTIF(#REF!,"NOT STARTED")</f>
        <v>#REF!</v>
      </c>
      <c r="D13" s="381" t="str">
        <f>COUNTIF(#REF!,"PASSED")</f>
        <v>#REF!</v>
      </c>
      <c r="E13" s="381" t="str">
        <f>COUNTIF(#REF!,"FAILED")</f>
        <v>#REF!</v>
      </c>
      <c r="F13" s="381" t="str">
        <f>COUNTIF(#REF!,"BLOCKED")</f>
        <v>#REF!</v>
      </c>
      <c r="G13" s="381" t="str">
        <f>COUNTIF('[3]UNI-353'!H486:H985,"OUT OF SCOPE")</f>
        <v>#REF!</v>
      </c>
      <c r="H13" s="382" t="str">
        <f t="shared" si="2"/>
        <v>#REF!</v>
      </c>
      <c r="I13" s="383">
        <f>COUNTIF('Defect Summary'!B7:B355,"UNI-353")</f>
        <v>0</v>
      </c>
      <c r="J13" s="387"/>
      <c r="L13" s="276"/>
      <c r="M13" s="385"/>
      <c r="N13" s="2"/>
      <c r="O13" s="3"/>
      <c r="P13" s="3"/>
      <c r="Q13" s="3"/>
      <c r="R13" s="3"/>
      <c r="S13" s="3"/>
      <c r="T13" s="3"/>
    </row>
    <row r="14" ht="15.75" customHeight="1">
      <c r="A14" s="388" t="s">
        <v>3137</v>
      </c>
      <c r="B14" s="389" t="str">
        <f t="shared" ref="B14:G14" si="8">SUM(B8:B13)</f>
        <v>#REF!</v>
      </c>
      <c r="C14" s="389" t="str">
        <f t="shared" si="8"/>
        <v>#REF!</v>
      </c>
      <c r="D14" s="389" t="str">
        <f t="shared" si="8"/>
        <v>#REF!</v>
      </c>
      <c r="E14" s="389" t="str">
        <f t="shared" si="8"/>
        <v>#REF!</v>
      </c>
      <c r="F14" s="389" t="str">
        <f t="shared" si="8"/>
        <v>#REF!</v>
      </c>
      <c r="G14" s="389" t="str">
        <f t="shared" si="8"/>
        <v>#REF!</v>
      </c>
      <c r="H14" s="390" t="str">
        <f t="shared" si="2"/>
        <v>#REF!</v>
      </c>
      <c r="I14" s="391">
        <f>SUM(I8:I13)</f>
        <v>0</v>
      </c>
      <c r="J14" s="392"/>
      <c r="K14" s="2"/>
      <c r="L14" s="393" t="s">
        <v>3138</v>
      </c>
      <c r="M14" s="385" t="str">
        <f>M9/I14</f>
        <v>#DIV/0!</v>
      </c>
      <c r="N14" s="393" t="s">
        <v>3139</v>
      </c>
      <c r="O14" s="3"/>
      <c r="P14" s="3"/>
      <c r="Q14" s="3"/>
      <c r="R14" s="3"/>
      <c r="S14" s="3"/>
      <c r="T14" s="3"/>
    </row>
    <row r="15" ht="15.75" customHeight="1">
      <c r="A15" s="34"/>
      <c r="B15" s="394"/>
      <c r="C15" s="395" t="str">
        <f t="shared" ref="C15:G15" si="9">IF(AND((C14&gt;0),($B$14&gt;0)),SUM((C14/$B$14)),0)</f>
        <v>#REF!</v>
      </c>
      <c r="D15" s="395" t="str">
        <f t="shared" si="9"/>
        <v>#REF!</v>
      </c>
      <c r="E15" s="395" t="str">
        <f t="shared" si="9"/>
        <v>#REF!</v>
      </c>
      <c r="F15" s="395" t="str">
        <f t="shared" si="9"/>
        <v>#REF!</v>
      </c>
      <c r="G15" s="395" t="str">
        <f t="shared" si="9"/>
        <v>#REF!</v>
      </c>
      <c r="H15" s="396"/>
      <c r="I15" s="397"/>
      <c r="J15" s="397"/>
      <c r="K15" s="2"/>
      <c r="L15" s="2" t="s">
        <v>3140</v>
      </c>
      <c r="M15" s="385">
        <f>I14/M10</f>
        <v>0</v>
      </c>
      <c r="N15" s="398" t="s">
        <v>3141</v>
      </c>
      <c r="O15" s="3"/>
      <c r="P15" s="3"/>
      <c r="Q15" s="3"/>
      <c r="R15" s="3"/>
      <c r="S15" s="3"/>
      <c r="T15" s="3"/>
    </row>
    <row r="16" ht="15.75" customHeight="1">
      <c r="A16" s="372"/>
      <c r="B16" s="2"/>
      <c r="C16" s="2"/>
      <c r="D16" s="2"/>
      <c r="E16" s="2"/>
      <c r="F16" s="2"/>
      <c r="G16" s="2"/>
      <c r="H16" s="2"/>
      <c r="I16" s="2"/>
      <c r="J16" s="2"/>
      <c r="K16" s="2"/>
      <c r="L16" s="2"/>
      <c r="M16" s="2"/>
      <c r="N16" s="399"/>
      <c r="O16" s="3"/>
      <c r="P16" s="3"/>
      <c r="Q16" s="3"/>
      <c r="R16" s="3"/>
      <c r="S16" s="3"/>
      <c r="T16" s="3"/>
    </row>
    <row r="17" ht="15.75" customHeight="1">
      <c r="A17" s="372"/>
      <c r="B17" s="2"/>
      <c r="C17" s="2"/>
      <c r="D17" s="2"/>
      <c r="E17" s="2"/>
      <c r="F17" s="2"/>
      <c r="G17" s="2"/>
      <c r="H17" s="2"/>
      <c r="I17" s="2"/>
      <c r="J17" s="2"/>
      <c r="K17" s="2"/>
      <c r="L17" s="2"/>
      <c r="M17" s="2"/>
      <c r="N17" s="399"/>
      <c r="O17" s="3"/>
      <c r="P17" s="3"/>
      <c r="Q17" s="3"/>
      <c r="R17" s="3"/>
      <c r="S17" s="3"/>
      <c r="T17" s="3"/>
    </row>
    <row r="18" ht="15.75" customHeight="1">
      <c r="A18" s="372"/>
      <c r="B18" s="2"/>
      <c r="C18" s="2"/>
      <c r="D18" s="2"/>
      <c r="E18" s="2"/>
      <c r="F18" s="2"/>
      <c r="G18" s="2"/>
      <c r="H18" s="2"/>
      <c r="I18" s="2"/>
      <c r="J18" s="2"/>
      <c r="K18" s="2"/>
      <c r="L18" s="2"/>
      <c r="M18" s="2"/>
      <c r="N18" s="399"/>
      <c r="O18" s="3"/>
      <c r="P18" s="3"/>
      <c r="Q18" s="3"/>
      <c r="R18" s="3"/>
      <c r="S18" s="3"/>
      <c r="T18" s="3"/>
    </row>
    <row r="19" ht="15.75" customHeight="1">
      <c r="A19" s="372"/>
      <c r="B19" s="2"/>
      <c r="C19" s="2"/>
      <c r="D19" s="2"/>
      <c r="E19" s="2"/>
      <c r="F19" s="2"/>
      <c r="G19" s="2"/>
      <c r="H19" s="2"/>
      <c r="I19" s="2"/>
      <c r="J19" s="2"/>
      <c r="K19" s="2"/>
      <c r="L19" s="2"/>
      <c r="M19" s="2"/>
      <c r="N19" s="2"/>
      <c r="O19" s="3"/>
      <c r="P19" s="3"/>
      <c r="Q19" s="3"/>
      <c r="R19" s="3"/>
      <c r="S19" s="3"/>
      <c r="T19" s="3"/>
    </row>
    <row r="20" ht="15.75" customHeight="1">
      <c r="A20" s="400"/>
      <c r="B20" s="2"/>
      <c r="C20" s="2"/>
      <c r="D20" s="2"/>
      <c r="E20" s="2"/>
      <c r="F20" s="2"/>
      <c r="G20" s="2"/>
      <c r="H20" s="2"/>
      <c r="I20" s="2"/>
      <c r="J20" s="2"/>
      <c r="K20" s="2"/>
      <c r="L20" s="2"/>
      <c r="M20" s="2"/>
      <c r="N20" s="2"/>
      <c r="O20" s="3"/>
      <c r="P20" s="3"/>
      <c r="Q20" s="3"/>
      <c r="R20" s="3"/>
      <c r="S20" s="3"/>
      <c r="T20" s="3"/>
    </row>
    <row r="21" ht="15.75" customHeight="1">
      <c r="A21" s="400"/>
      <c r="B21" s="2"/>
      <c r="C21" s="2"/>
      <c r="D21" s="2"/>
      <c r="E21" s="2"/>
      <c r="F21" s="2"/>
      <c r="G21" s="2"/>
      <c r="H21" s="2"/>
      <c r="I21" s="2"/>
      <c r="J21" s="2"/>
      <c r="K21" s="2"/>
      <c r="L21" s="2"/>
      <c r="M21" s="2"/>
      <c r="N21" s="2"/>
      <c r="O21" s="3"/>
      <c r="P21" s="3"/>
      <c r="Q21" s="3"/>
      <c r="R21" s="3"/>
      <c r="S21" s="3"/>
      <c r="T21" s="3"/>
    </row>
    <row r="22" ht="15.75" customHeight="1">
      <c r="A22" s="400"/>
      <c r="B22" s="2"/>
      <c r="C22" s="2"/>
      <c r="D22" s="2"/>
      <c r="E22" s="2"/>
      <c r="F22" s="2"/>
      <c r="G22" s="2"/>
      <c r="H22" s="2"/>
      <c r="I22" s="2"/>
      <c r="J22" s="2"/>
      <c r="K22" s="2"/>
      <c r="L22" s="2"/>
      <c r="M22" s="2"/>
      <c r="N22" s="2"/>
      <c r="O22" s="3"/>
      <c r="P22" s="3"/>
      <c r="Q22" s="3"/>
      <c r="R22" s="3"/>
      <c r="S22" s="3"/>
      <c r="T22" s="3"/>
    </row>
    <row r="23" ht="15.75" customHeight="1">
      <c r="A23" s="372"/>
      <c r="B23" s="2"/>
      <c r="C23" s="2"/>
      <c r="D23" s="2"/>
      <c r="E23" s="2"/>
      <c r="F23" s="2"/>
      <c r="G23" s="2"/>
      <c r="H23" s="2"/>
      <c r="I23" s="2"/>
      <c r="J23" s="2"/>
      <c r="K23" s="2"/>
      <c r="L23" s="2"/>
      <c r="M23" s="2"/>
      <c r="N23" s="2"/>
      <c r="O23" s="3"/>
      <c r="P23" s="3"/>
      <c r="Q23" s="3"/>
      <c r="R23" s="3"/>
      <c r="S23" s="3"/>
      <c r="T23" s="3"/>
    </row>
    <row r="24" ht="15.75" customHeight="1">
      <c r="A24" s="372"/>
      <c r="B24" s="2"/>
      <c r="C24" s="2"/>
      <c r="D24" s="2"/>
      <c r="E24" s="2"/>
      <c r="F24" s="2"/>
      <c r="G24" s="2"/>
      <c r="H24" s="2"/>
      <c r="I24" s="2"/>
      <c r="J24" s="2"/>
      <c r="K24" s="2"/>
      <c r="L24" s="2"/>
      <c r="M24" s="2"/>
      <c r="N24" s="2"/>
      <c r="O24" s="3"/>
      <c r="P24" s="3"/>
      <c r="Q24" s="3"/>
      <c r="R24" s="3"/>
      <c r="S24" s="3"/>
      <c r="T24" s="3"/>
    </row>
    <row r="25" ht="15.75" customHeight="1">
      <c r="A25" s="372"/>
      <c r="B25" s="2"/>
      <c r="C25" s="2"/>
      <c r="D25" s="2"/>
      <c r="E25" s="2"/>
      <c r="F25" s="2"/>
      <c r="G25" s="2"/>
      <c r="H25" s="2"/>
      <c r="I25" s="2"/>
      <c r="J25" s="2"/>
      <c r="K25" s="2"/>
      <c r="L25" s="2"/>
      <c r="M25" s="2"/>
      <c r="N25" s="2"/>
      <c r="O25" s="3"/>
      <c r="P25" s="3"/>
      <c r="Q25" s="3"/>
      <c r="R25" s="3"/>
      <c r="S25" s="3"/>
      <c r="T25" s="3"/>
    </row>
    <row r="26" ht="15.75" customHeight="1">
      <c r="A26" s="372"/>
      <c r="B26" s="2"/>
      <c r="C26" s="2"/>
      <c r="D26" s="2"/>
      <c r="E26" s="2"/>
      <c r="F26" s="2"/>
      <c r="G26" s="2"/>
      <c r="H26" s="2"/>
      <c r="I26" s="2"/>
      <c r="J26" s="2"/>
      <c r="K26" s="2"/>
      <c r="L26" s="2"/>
      <c r="M26" s="2"/>
      <c r="N26" s="2"/>
      <c r="O26" s="3"/>
      <c r="P26" s="3"/>
      <c r="Q26" s="3"/>
      <c r="R26" s="3"/>
      <c r="S26" s="3"/>
      <c r="T26" s="3"/>
    </row>
    <row r="27" ht="15.75" customHeight="1">
      <c r="A27" s="372"/>
      <c r="B27" s="2"/>
      <c r="C27" s="2"/>
      <c r="D27" s="2"/>
      <c r="E27" s="2"/>
      <c r="F27" s="2"/>
      <c r="G27" s="2"/>
      <c r="H27" s="2"/>
      <c r="I27" s="2"/>
      <c r="J27" s="2"/>
      <c r="K27" s="2"/>
      <c r="L27" s="2"/>
      <c r="M27" s="2"/>
      <c r="N27" s="2"/>
      <c r="O27" s="3"/>
      <c r="P27" s="3"/>
      <c r="Q27" s="3"/>
      <c r="R27" s="3"/>
      <c r="S27" s="3"/>
      <c r="T27" s="3"/>
    </row>
    <row r="28" ht="15.75" customHeight="1">
      <c r="A28" s="372"/>
      <c r="B28" s="2"/>
      <c r="C28" s="2"/>
      <c r="D28" s="2"/>
      <c r="E28" s="2"/>
      <c r="F28" s="2"/>
      <c r="G28" s="2"/>
      <c r="H28" s="2"/>
      <c r="I28" s="2"/>
      <c r="J28" s="2"/>
      <c r="K28" s="2"/>
      <c r="L28" s="2"/>
      <c r="M28" s="2"/>
      <c r="N28" s="2"/>
      <c r="O28" s="3"/>
      <c r="P28" s="3"/>
      <c r="Q28" s="3"/>
      <c r="R28" s="3"/>
      <c r="S28" s="3"/>
      <c r="T28" s="3"/>
    </row>
    <row r="29" ht="15.75" customHeight="1">
      <c r="A29" s="34"/>
      <c r="B29" s="3"/>
      <c r="C29" s="3"/>
      <c r="D29" s="3"/>
      <c r="E29" s="3"/>
      <c r="F29" s="3"/>
      <c r="G29" s="3"/>
      <c r="H29" s="3"/>
      <c r="I29" s="3"/>
      <c r="J29" s="3"/>
      <c r="K29" s="3"/>
      <c r="L29" s="3"/>
      <c r="M29" s="3"/>
      <c r="N29" s="3"/>
      <c r="O29" s="3"/>
      <c r="P29" s="3"/>
      <c r="Q29" s="3"/>
      <c r="R29" s="3"/>
      <c r="S29" s="3"/>
      <c r="T29" s="3"/>
    </row>
    <row r="30" ht="15.75" customHeight="1">
      <c r="A30" s="34"/>
      <c r="B30" s="3"/>
      <c r="C30" s="3"/>
      <c r="D30" s="3"/>
      <c r="E30" s="3"/>
      <c r="F30" s="3"/>
      <c r="G30" s="3"/>
      <c r="H30" s="3"/>
      <c r="I30" s="3"/>
      <c r="J30" s="3"/>
      <c r="K30" s="3"/>
      <c r="L30" s="3"/>
      <c r="M30" s="3"/>
      <c r="N30" s="3"/>
      <c r="O30" s="3"/>
      <c r="P30" s="3"/>
      <c r="Q30" s="3"/>
      <c r="R30" s="3"/>
      <c r="S30" s="3"/>
      <c r="T30" s="3"/>
    </row>
    <row r="31" ht="15.75" customHeight="1">
      <c r="A31" s="34"/>
      <c r="B31" s="3"/>
      <c r="C31" s="3"/>
      <c r="D31" s="3"/>
      <c r="E31" s="3"/>
      <c r="F31" s="3"/>
      <c r="G31" s="3"/>
      <c r="H31" s="3"/>
      <c r="I31" s="3"/>
      <c r="J31" s="3"/>
      <c r="K31" s="3"/>
      <c r="L31" s="3"/>
      <c r="M31" s="3"/>
      <c r="N31" s="3"/>
      <c r="O31" s="3"/>
      <c r="P31" s="3"/>
      <c r="Q31" s="3"/>
      <c r="R31" s="3"/>
      <c r="S31" s="3"/>
      <c r="T31" s="3"/>
    </row>
    <row r="32" ht="15.75" customHeight="1">
      <c r="A32" s="34"/>
      <c r="B32" s="3"/>
      <c r="C32" s="3"/>
      <c r="D32" s="3"/>
      <c r="E32" s="3"/>
      <c r="F32" s="3"/>
      <c r="G32" s="3"/>
      <c r="H32" s="3"/>
      <c r="I32" s="3"/>
      <c r="J32" s="3"/>
      <c r="K32" s="3"/>
      <c r="L32" s="3"/>
      <c r="M32" s="3"/>
      <c r="N32" s="3"/>
      <c r="O32" s="3"/>
      <c r="P32" s="3"/>
      <c r="Q32" s="3"/>
      <c r="R32" s="3"/>
      <c r="S32" s="3"/>
      <c r="T32" s="3"/>
    </row>
    <row r="33" ht="15.75" customHeight="1">
      <c r="A33" s="34"/>
      <c r="B33" s="3"/>
      <c r="C33" s="3"/>
      <c r="D33" s="3"/>
      <c r="E33" s="3"/>
      <c r="F33" s="3"/>
      <c r="G33" s="3"/>
      <c r="H33" s="3"/>
      <c r="I33" s="3"/>
      <c r="J33" s="3"/>
      <c r="K33" s="3"/>
      <c r="L33" s="3"/>
      <c r="M33" s="3"/>
      <c r="N33" s="3"/>
      <c r="O33" s="3"/>
      <c r="P33" s="3"/>
      <c r="Q33" s="3"/>
      <c r="R33" s="3"/>
      <c r="S33" s="3"/>
      <c r="T33" s="3"/>
    </row>
    <row r="34" ht="15.75" customHeight="1">
      <c r="A34" s="34"/>
      <c r="B34" s="3"/>
      <c r="C34" s="3"/>
      <c r="D34" s="3"/>
      <c r="E34" s="3"/>
      <c r="F34" s="3"/>
      <c r="G34" s="3"/>
      <c r="H34" s="3"/>
      <c r="I34" s="3"/>
      <c r="J34" s="3"/>
      <c r="K34" s="3"/>
      <c r="L34" s="3"/>
      <c r="M34" s="3"/>
      <c r="N34" s="3"/>
      <c r="O34" s="3"/>
      <c r="P34" s="3"/>
      <c r="Q34" s="3"/>
      <c r="R34" s="3"/>
      <c r="S34" s="3"/>
      <c r="T34" s="3"/>
    </row>
    <row r="35" ht="15.75" customHeight="1">
      <c r="A35" s="34"/>
      <c r="B35" s="3"/>
      <c r="C35" s="3"/>
      <c r="D35" s="3"/>
      <c r="E35" s="3"/>
      <c r="F35" s="3"/>
      <c r="G35" s="3"/>
      <c r="H35" s="3"/>
      <c r="I35" s="3"/>
      <c r="J35" s="3"/>
      <c r="K35" s="3"/>
      <c r="L35" s="3"/>
      <c r="M35" s="3"/>
      <c r="N35" s="3"/>
      <c r="O35" s="3"/>
      <c r="P35" s="3"/>
      <c r="Q35" s="3"/>
      <c r="R35" s="3"/>
      <c r="S35" s="3"/>
      <c r="T35" s="3"/>
    </row>
    <row r="36" ht="15.75" customHeight="1">
      <c r="A36" s="34"/>
      <c r="B36" s="3"/>
      <c r="C36" s="3"/>
      <c r="D36" s="3"/>
      <c r="E36" s="3"/>
      <c r="F36" s="3"/>
      <c r="G36" s="3"/>
      <c r="H36" s="3"/>
      <c r="I36" s="3"/>
      <c r="J36" s="3"/>
      <c r="K36" s="3"/>
      <c r="L36" s="3"/>
      <c r="M36" s="3"/>
      <c r="N36" s="3"/>
      <c r="O36" s="3"/>
      <c r="P36" s="3"/>
      <c r="Q36" s="3"/>
      <c r="R36" s="3"/>
      <c r="S36" s="3"/>
      <c r="T36" s="3"/>
    </row>
    <row r="37" ht="15.75" customHeight="1">
      <c r="A37" s="34"/>
      <c r="B37" s="3"/>
      <c r="C37" s="3"/>
      <c r="D37" s="3"/>
      <c r="E37" s="3"/>
      <c r="F37" s="3"/>
      <c r="G37" s="3"/>
      <c r="H37" s="3"/>
      <c r="I37" s="3"/>
      <c r="J37" s="3"/>
      <c r="K37" s="3"/>
      <c r="L37" s="3"/>
      <c r="M37" s="3"/>
      <c r="N37" s="3"/>
      <c r="O37" s="3"/>
      <c r="P37" s="3"/>
      <c r="Q37" s="3"/>
      <c r="R37" s="3"/>
      <c r="S37" s="3"/>
      <c r="T37" s="3"/>
    </row>
    <row r="38" ht="15.75" customHeight="1">
      <c r="A38" s="34"/>
      <c r="B38" s="3"/>
      <c r="C38" s="3"/>
      <c r="D38" s="3"/>
      <c r="E38" s="3"/>
      <c r="F38" s="3"/>
      <c r="G38" s="3"/>
      <c r="H38" s="3"/>
      <c r="I38" s="3"/>
      <c r="J38" s="3"/>
      <c r="K38" s="3"/>
      <c r="L38" s="3"/>
      <c r="M38" s="3"/>
      <c r="N38" s="3"/>
      <c r="O38" s="3"/>
      <c r="P38" s="3"/>
      <c r="Q38" s="3"/>
      <c r="R38" s="3"/>
      <c r="S38" s="3"/>
      <c r="T38" s="3"/>
    </row>
    <row r="39" ht="15.75" customHeight="1">
      <c r="A39" s="34"/>
      <c r="B39" s="3"/>
      <c r="C39" s="3"/>
      <c r="D39" s="3"/>
      <c r="E39" s="3"/>
      <c r="F39" s="3"/>
      <c r="G39" s="3"/>
      <c r="H39" s="3"/>
      <c r="I39" s="3"/>
      <c r="J39" s="3"/>
      <c r="K39" s="3"/>
      <c r="L39" s="3"/>
      <c r="M39" s="3"/>
      <c r="N39" s="3"/>
      <c r="O39" s="3"/>
      <c r="P39" s="3"/>
      <c r="Q39" s="3"/>
      <c r="R39" s="3"/>
      <c r="S39" s="3"/>
      <c r="T39" s="3"/>
    </row>
    <row r="40" ht="15.75" customHeight="1">
      <c r="A40" s="34"/>
      <c r="B40" s="3"/>
      <c r="C40" s="3"/>
      <c r="D40" s="3"/>
      <c r="E40" s="3"/>
      <c r="F40" s="3"/>
      <c r="G40" s="3"/>
      <c r="H40" s="3"/>
      <c r="I40" s="3"/>
      <c r="J40" s="3"/>
      <c r="K40" s="3"/>
      <c r="L40" s="3"/>
      <c r="M40" s="3"/>
      <c r="N40" s="3"/>
      <c r="O40" s="3"/>
      <c r="P40" s="3"/>
      <c r="Q40" s="3"/>
      <c r="R40" s="3"/>
      <c r="S40" s="3"/>
      <c r="T40" s="3"/>
    </row>
    <row r="41" ht="15.75" customHeight="1">
      <c r="A41" s="34"/>
      <c r="B41" s="3"/>
      <c r="C41" s="3"/>
      <c r="D41" s="3"/>
      <c r="E41" s="3"/>
      <c r="F41" s="3"/>
      <c r="G41" s="3"/>
      <c r="H41" s="3"/>
      <c r="I41" s="3"/>
      <c r="J41" s="3"/>
      <c r="K41" s="3"/>
      <c r="L41" s="3"/>
      <c r="M41" s="3"/>
      <c r="N41" s="3"/>
      <c r="O41" s="3"/>
      <c r="P41" s="3"/>
      <c r="Q41" s="3"/>
      <c r="R41" s="3"/>
      <c r="S41" s="3"/>
      <c r="T41" s="3"/>
    </row>
    <row r="42" ht="15.75" customHeight="1">
      <c r="A42" s="34"/>
      <c r="B42" s="3"/>
      <c r="C42" s="3"/>
      <c r="D42" s="3"/>
      <c r="E42" s="3"/>
      <c r="F42" s="3"/>
      <c r="G42" s="3"/>
      <c r="H42" s="3"/>
      <c r="I42" s="3"/>
      <c r="J42" s="3"/>
      <c r="K42" s="3"/>
      <c r="L42" s="3"/>
      <c r="M42" s="3"/>
      <c r="N42" s="3"/>
      <c r="O42" s="3"/>
      <c r="P42" s="3"/>
      <c r="Q42" s="3"/>
      <c r="R42" s="3"/>
      <c r="S42" s="3"/>
      <c r="T42" s="3"/>
    </row>
    <row r="43" ht="15.75" customHeight="1">
      <c r="A43" s="34"/>
      <c r="B43" s="3"/>
      <c r="C43" s="3"/>
      <c r="D43" s="3"/>
      <c r="E43" s="3"/>
      <c r="F43" s="3"/>
      <c r="G43" s="3"/>
      <c r="H43" s="3"/>
      <c r="I43" s="3"/>
      <c r="J43" s="3"/>
      <c r="K43" s="3"/>
      <c r="L43" s="3"/>
      <c r="M43" s="3"/>
      <c r="N43" s="3"/>
      <c r="O43" s="3"/>
      <c r="P43" s="3"/>
      <c r="Q43" s="3"/>
      <c r="R43" s="3"/>
      <c r="S43" s="3"/>
      <c r="T43" s="3"/>
    </row>
    <row r="44" ht="15.75" customHeight="1">
      <c r="A44" s="34"/>
      <c r="B44" s="3"/>
      <c r="C44" s="3"/>
      <c r="D44" s="3"/>
      <c r="E44" s="3"/>
      <c r="F44" s="3"/>
      <c r="G44" s="3"/>
      <c r="H44" s="3"/>
      <c r="I44" s="3"/>
      <c r="J44" s="3"/>
      <c r="K44" s="3"/>
      <c r="L44" s="3"/>
      <c r="M44" s="3"/>
      <c r="N44" s="3"/>
      <c r="O44" s="3"/>
      <c r="P44" s="3"/>
      <c r="Q44" s="3"/>
      <c r="R44" s="3"/>
      <c r="S44" s="3"/>
      <c r="T44" s="3"/>
    </row>
    <row r="45" ht="15.75" customHeight="1">
      <c r="A45" s="34"/>
      <c r="B45" s="3"/>
      <c r="C45" s="3"/>
      <c r="D45" s="3"/>
      <c r="E45" s="3"/>
      <c r="F45" s="3"/>
      <c r="G45" s="3"/>
      <c r="H45" s="3"/>
      <c r="I45" s="3"/>
      <c r="J45" s="3"/>
      <c r="K45" s="3"/>
      <c r="L45" s="3"/>
      <c r="M45" s="3"/>
      <c r="N45" s="3"/>
      <c r="O45" s="3"/>
      <c r="P45" s="3"/>
      <c r="Q45" s="3"/>
      <c r="R45" s="3"/>
      <c r="S45" s="3"/>
      <c r="T45" s="3"/>
    </row>
    <row r="46" ht="15.75" customHeight="1">
      <c r="A46" s="34"/>
      <c r="B46" s="3"/>
      <c r="C46" s="3"/>
      <c r="D46" s="3"/>
      <c r="E46" s="3"/>
      <c r="F46" s="3"/>
      <c r="G46" s="3"/>
      <c r="H46" s="3"/>
      <c r="I46" s="3"/>
      <c r="J46" s="3"/>
      <c r="K46" s="3"/>
      <c r="L46" s="3"/>
      <c r="M46" s="3"/>
      <c r="N46" s="3"/>
      <c r="O46" s="3"/>
      <c r="P46" s="3"/>
      <c r="Q46" s="3"/>
      <c r="R46" s="3"/>
      <c r="S46" s="3"/>
      <c r="T46" s="3"/>
    </row>
    <row r="47" ht="15.75" customHeight="1">
      <c r="A47" s="34"/>
      <c r="B47" s="3"/>
      <c r="C47" s="3"/>
      <c r="D47" s="3"/>
      <c r="E47" s="3"/>
      <c r="F47" s="3"/>
      <c r="G47" s="3"/>
      <c r="H47" s="3"/>
      <c r="I47" s="3"/>
      <c r="J47" s="3"/>
      <c r="K47" s="3"/>
      <c r="L47" s="3"/>
      <c r="M47" s="3"/>
      <c r="N47" s="3"/>
      <c r="O47" s="3"/>
      <c r="P47" s="3"/>
      <c r="Q47" s="3"/>
      <c r="R47" s="3"/>
      <c r="S47" s="3"/>
      <c r="T47" s="3"/>
    </row>
    <row r="48" ht="15.75" customHeight="1">
      <c r="A48" s="34"/>
      <c r="B48" s="3"/>
      <c r="C48" s="3"/>
      <c r="D48" s="3"/>
      <c r="E48" s="3"/>
      <c r="F48" s="3"/>
      <c r="G48" s="3"/>
      <c r="H48" s="3"/>
      <c r="I48" s="3"/>
      <c r="J48" s="3"/>
      <c r="K48" s="3"/>
      <c r="L48" s="3"/>
      <c r="M48" s="3"/>
      <c r="N48" s="3"/>
      <c r="O48" s="3"/>
      <c r="P48" s="3"/>
      <c r="Q48" s="3"/>
      <c r="R48" s="3"/>
      <c r="S48" s="3"/>
      <c r="T48" s="3"/>
    </row>
    <row r="49" ht="15.75" customHeight="1">
      <c r="A49" s="34"/>
      <c r="B49" s="3"/>
      <c r="C49" s="3"/>
      <c r="D49" s="3"/>
      <c r="E49" s="3"/>
      <c r="F49" s="3"/>
      <c r="G49" s="3"/>
      <c r="H49" s="3"/>
      <c r="I49" s="3"/>
      <c r="J49" s="3"/>
      <c r="K49" s="3"/>
      <c r="L49" s="3"/>
      <c r="M49" s="3"/>
      <c r="N49" s="3"/>
      <c r="O49" s="3"/>
      <c r="P49" s="3"/>
      <c r="Q49" s="3"/>
      <c r="R49" s="3"/>
      <c r="S49" s="3"/>
      <c r="T49" s="3"/>
    </row>
    <row r="50" ht="15.75" customHeight="1">
      <c r="A50" s="34"/>
      <c r="B50" s="3"/>
      <c r="C50" s="3"/>
      <c r="D50" s="3"/>
      <c r="E50" s="3"/>
      <c r="F50" s="3"/>
      <c r="G50" s="3"/>
      <c r="H50" s="3"/>
      <c r="I50" s="3"/>
      <c r="J50" s="3"/>
      <c r="K50" s="3"/>
      <c r="L50" s="3"/>
      <c r="M50" s="3"/>
      <c r="N50" s="3"/>
      <c r="O50" s="3"/>
      <c r="P50" s="3"/>
      <c r="Q50" s="3"/>
      <c r="R50" s="3"/>
      <c r="S50" s="3"/>
      <c r="T50" s="3"/>
    </row>
    <row r="51" ht="15.75" customHeight="1">
      <c r="A51" s="34"/>
      <c r="B51" s="3"/>
      <c r="C51" s="3"/>
      <c r="D51" s="3"/>
      <c r="E51" s="3"/>
      <c r="F51" s="3"/>
      <c r="G51" s="3"/>
      <c r="H51" s="3"/>
      <c r="I51" s="3"/>
      <c r="J51" s="3"/>
      <c r="K51" s="3"/>
      <c r="L51" s="3"/>
      <c r="M51" s="3"/>
      <c r="N51" s="3"/>
      <c r="O51" s="3"/>
      <c r="P51" s="3"/>
      <c r="Q51" s="3"/>
      <c r="R51" s="3"/>
      <c r="S51" s="3"/>
      <c r="T51" s="3"/>
    </row>
    <row r="52" ht="15.75" customHeight="1">
      <c r="A52" s="34"/>
      <c r="B52" s="3"/>
      <c r="C52" s="3"/>
      <c r="D52" s="3"/>
      <c r="E52" s="3"/>
      <c r="F52" s="3"/>
      <c r="G52" s="3"/>
      <c r="H52" s="3"/>
      <c r="I52" s="3"/>
      <c r="J52" s="3"/>
      <c r="K52" s="3"/>
      <c r="L52" s="3"/>
      <c r="M52" s="3"/>
      <c r="N52" s="3"/>
      <c r="O52" s="3"/>
      <c r="P52" s="3"/>
      <c r="Q52" s="3"/>
      <c r="R52" s="3"/>
      <c r="S52" s="3"/>
      <c r="T52" s="3"/>
    </row>
    <row r="53" ht="15.75" customHeight="1">
      <c r="A53" s="34"/>
      <c r="B53" s="3"/>
      <c r="C53" s="3"/>
      <c r="D53" s="3"/>
      <c r="E53" s="3"/>
      <c r="F53" s="3"/>
      <c r="G53" s="3"/>
      <c r="H53" s="3"/>
      <c r="I53" s="3"/>
      <c r="J53" s="3"/>
      <c r="K53" s="3"/>
      <c r="L53" s="3"/>
      <c r="M53" s="3"/>
      <c r="N53" s="3"/>
      <c r="O53" s="3"/>
      <c r="P53" s="3"/>
      <c r="Q53" s="3"/>
      <c r="R53" s="3"/>
      <c r="S53" s="3"/>
      <c r="T53" s="3"/>
    </row>
    <row r="54" ht="15.75" customHeight="1">
      <c r="A54" s="34"/>
      <c r="B54" s="3"/>
      <c r="C54" s="3"/>
      <c r="D54" s="3"/>
      <c r="E54" s="3"/>
      <c r="F54" s="3"/>
      <c r="G54" s="3"/>
      <c r="H54" s="3"/>
      <c r="I54" s="3"/>
      <c r="J54" s="3"/>
      <c r="K54" s="3"/>
      <c r="L54" s="3"/>
      <c r="M54" s="3"/>
      <c r="N54" s="3"/>
      <c r="O54" s="3"/>
      <c r="P54" s="3"/>
      <c r="Q54" s="3"/>
      <c r="R54" s="3"/>
      <c r="S54" s="3"/>
      <c r="T54" s="3"/>
    </row>
    <row r="55" ht="15.75" customHeight="1">
      <c r="A55" s="34"/>
      <c r="B55" s="3"/>
      <c r="C55" s="3"/>
      <c r="D55" s="3"/>
      <c r="E55" s="3"/>
      <c r="F55" s="3"/>
      <c r="G55" s="3"/>
      <c r="H55" s="3"/>
      <c r="I55" s="3"/>
      <c r="J55" s="3"/>
      <c r="K55" s="3"/>
      <c r="L55" s="3"/>
      <c r="M55" s="3"/>
      <c r="N55" s="3"/>
      <c r="O55" s="3"/>
      <c r="P55" s="3"/>
      <c r="Q55" s="3"/>
      <c r="R55" s="3"/>
      <c r="S55" s="3"/>
      <c r="T55" s="3"/>
    </row>
    <row r="56" ht="15.75" customHeight="1">
      <c r="A56" s="34"/>
      <c r="B56" s="3"/>
      <c r="C56" s="3"/>
      <c r="D56" s="3"/>
      <c r="E56" s="3"/>
      <c r="F56" s="3"/>
      <c r="G56" s="3"/>
      <c r="H56" s="3"/>
      <c r="I56" s="3"/>
      <c r="J56" s="3"/>
      <c r="K56" s="3"/>
      <c r="L56" s="3"/>
      <c r="M56" s="3"/>
      <c r="N56" s="3"/>
      <c r="O56" s="3"/>
      <c r="P56" s="3"/>
      <c r="Q56" s="3"/>
      <c r="R56" s="3"/>
      <c r="S56" s="3"/>
      <c r="T56" s="3"/>
    </row>
    <row r="57" ht="15.75" customHeight="1">
      <c r="A57" s="34"/>
      <c r="B57" s="3"/>
      <c r="C57" s="3"/>
      <c r="D57" s="3"/>
      <c r="E57" s="3"/>
      <c r="F57" s="3"/>
      <c r="G57" s="3"/>
      <c r="H57" s="3"/>
      <c r="I57" s="3"/>
      <c r="J57" s="3"/>
      <c r="K57" s="3"/>
      <c r="L57" s="3"/>
      <c r="M57" s="3"/>
      <c r="N57" s="3"/>
      <c r="O57" s="3"/>
      <c r="P57" s="3"/>
      <c r="Q57" s="3"/>
      <c r="R57" s="3"/>
      <c r="S57" s="3"/>
      <c r="T57" s="3"/>
    </row>
    <row r="58" ht="15.75" customHeight="1">
      <c r="A58" s="34"/>
      <c r="B58" s="3"/>
      <c r="C58" s="3"/>
      <c r="D58" s="3"/>
      <c r="E58" s="3"/>
      <c r="F58" s="3"/>
      <c r="G58" s="3"/>
      <c r="H58" s="3"/>
      <c r="I58" s="3"/>
      <c r="J58" s="3"/>
      <c r="K58" s="3"/>
      <c r="L58" s="3"/>
      <c r="M58" s="3"/>
      <c r="N58" s="3"/>
      <c r="O58" s="3"/>
      <c r="P58" s="3"/>
      <c r="Q58" s="3"/>
      <c r="R58" s="3"/>
      <c r="S58" s="3"/>
      <c r="T58" s="3"/>
    </row>
    <row r="59" ht="15.75" customHeight="1">
      <c r="A59" s="34"/>
      <c r="B59" s="3"/>
      <c r="C59" s="3"/>
      <c r="D59" s="3"/>
      <c r="E59" s="3"/>
      <c r="F59" s="3"/>
      <c r="G59" s="3"/>
      <c r="H59" s="3"/>
      <c r="I59" s="3"/>
      <c r="J59" s="3"/>
      <c r="K59" s="3"/>
      <c r="L59" s="3"/>
      <c r="M59" s="3"/>
      <c r="N59" s="3"/>
      <c r="O59" s="3"/>
      <c r="P59" s="3"/>
      <c r="Q59" s="3"/>
      <c r="R59" s="3"/>
      <c r="S59" s="3"/>
      <c r="T59" s="3"/>
    </row>
    <row r="60" ht="15.75" customHeight="1">
      <c r="A60" s="34"/>
      <c r="B60" s="3"/>
      <c r="C60" s="3"/>
      <c r="D60" s="3"/>
      <c r="E60" s="3"/>
      <c r="F60" s="3"/>
      <c r="G60" s="3"/>
      <c r="H60" s="3"/>
      <c r="I60" s="3"/>
      <c r="J60" s="3"/>
      <c r="K60" s="3"/>
      <c r="L60" s="3"/>
      <c r="M60" s="3"/>
      <c r="N60" s="3"/>
      <c r="O60" s="3"/>
      <c r="P60" s="3"/>
      <c r="Q60" s="3"/>
      <c r="R60" s="3"/>
      <c r="S60" s="3"/>
      <c r="T60" s="3"/>
    </row>
    <row r="61" ht="15.75" customHeight="1">
      <c r="A61" s="34"/>
      <c r="B61" s="3"/>
      <c r="C61" s="3"/>
      <c r="D61" s="3"/>
      <c r="E61" s="3"/>
      <c r="F61" s="3"/>
      <c r="G61" s="3"/>
      <c r="H61" s="3"/>
      <c r="I61" s="3"/>
      <c r="J61" s="3"/>
      <c r="K61" s="3"/>
      <c r="L61" s="3"/>
      <c r="M61" s="3"/>
      <c r="N61" s="3"/>
      <c r="O61" s="3"/>
      <c r="P61" s="3"/>
      <c r="Q61" s="3"/>
      <c r="R61" s="3"/>
      <c r="S61" s="3"/>
      <c r="T61" s="3"/>
    </row>
    <row r="62" ht="15.75" customHeight="1">
      <c r="A62" s="34"/>
      <c r="B62" s="3"/>
      <c r="C62" s="3"/>
      <c r="D62" s="3"/>
      <c r="E62" s="3"/>
      <c r="F62" s="3"/>
      <c r="G62" s="3"/>
      <c r="H62" s="3"/>
      <c r="I62" s="3"/>
      <c r="J62" s="3"/>
      <c r="K62" s="3"/>
      <c r="L62" s="3"/>
      <c r="M62" s="3"/>
      <c r="N62" s="3"/>
      <c r="O62" s="3"/>
      <c r="P62" s="3"/>
      <c r="Q62" s="3"/>
      <c r="R62" s="3"/>
      <c r="S62" s="3"/>
      <c r="T62" s="3"/>
    </row>
    <row r="63" ht="15.75" customHeight="1">
      <c r="A63" s="34"/>
      <c r="B63" s="3"/>
      <c r="C63" s="3"/>
      <c r="D63" s="3"/>
      <c r="E63" s="3"/>
      <c r="F63" s="3"/>
      <c r="G63" s="3"/>
      <c r="H63" s="3"/>
      <c r="I63" s="3"/>
      <c r="J63" s="3"/>
      <c r="K63" s="3"/>
      <c r="L63" s="3"/>
      <c r="M63" s="3"/>
      <c r="N63" s="3"/>
      <c r="O63" s="3"/>
      <c r="P63" s="3"/>
      <c r="Q63" s="3"/>
      <c r="R63" s="3"/>
      <c r="S63" s="3"/>
      <c r="T63" s="3"/>
    </row>
    <row r="64" ht="15.75" customHeight="1">
      <c r="A64" s="34"/>
      <c r="B64" s="3"/>
      <c r="C64" s="3"/>
      <c r="D64" s="3"/>
      <c r="E64" s="3"/>
      <c r="F64" s="3"/>
      <c r="G64" s="3"/>
      <c r="H64" s="3"/>
      <c r="I64" s="3"/>
      <c r="J64" s="3"/>
      <c r="K64" s="3"/>
      <c r="L64" s="3"/>
      <c r="M64" s="3"/>
      <c r="N64" s="3"/>
      <c r="O64" s="3"/>
      <c r="P64" s="3"/>
      <c r="Q64" s="3"/>
      <c r="R64" s="3"/>
      <c r="S64" s="3"/>
      <c r="T64" s="3"/>
    </row>
    <row r="65" ht="15.75" customHeight="1">
      <c r="A65" s="34"/>
      <c r="B65" s="3"/>
      <c r="C65" s="3"/>
      <c r="D65" s="3"/>
      <c r="E65" s="3"/>
      <c r="F65" s="3"/>
      <c r="G65" s="3"/>
      <c r="H65" s="3"/>
      <c r="I65" s="3"/>
      <c r="J65" s="3"/>
      <c r="K65" s="3"/>
      <c r="L65" s="3"/>
      <c r="M65" s="3"/>
      <c r="N65" s="3"/>
      <c r="O65" s="3"/>
      <c r="P65" s="3"/>
      <c r="Q65" s="3"/>
      <c r="R65" s="3"/>
      <c r="S65" s="3"/>
      <c r="T65" s="3"/>
    </row>
    <row r="66" ht="15.75" customHeight="1">
      <c r="A66" s="34"/>
      <c r="B66" s="3"/>
      <c r="C66" s="3"/>
      <c r="D66" s="3"/>
      <c r="E66" s="3"/>
      <c r="F66" s="3"/>
      <c r="G66" s="3"/>
      <c r="H66" s="3"/>
      <c r="I66" s="3"/>
      <c r="J66" s="3"/>
      <c r="K66" s="3"/>
      <c r="L66" s="3"/>
      <c r="M66" s="3"/>
      <c r="N66" s="3"/>
      <c r="O66" s="3"/>
      <c r="P66" s="3"/>
      <c r="Q66" s="3"/>
      <c r="R66" s="3"/>
      <c r="S66" s="3"/>
      <c r="T66" s="3"/>
    </row>
    <row r="67" ht="15.75" customHeight="1">
      <c r="A67" s="34"/>
      <c r="B67" s="3"/>
      <c r="C67" s="3"/>
      <c r="D67" s="3"/>
      <c r="E67" s="3"/>
      <c r="F67" s="3"/>
      <c r="G67" s="3"/>
      <c r="H67" s="3"/>
      <c r="I67" s="3"/>
      <c r="J67" s="3"/>
      <c r="K67" s="3"/>
      <c r="L67" s="3"/>
      <c r="M67" s="3"/>
      <c r="N67" s="3"/>
      <c r="O67" s="3"/>
      <c r="P67" s="3"/>
      <c r="Q67" s="3"/>
      <c r="R67" s="3"/>
      <c r="S67" s="3"/>
      <c r="T67" s="3"/>
    </row>
    <row r="68" ht="15.75" customHeight="1">
      <c r="A68" s="34"/>
      <c r="B68" s="3"/>
      <c r="C68" s="3"/>
      <c r="D68" s="3"/>
      <c r="E68" s="3"/>
      <c r="F68" s="3"/>
      <c r="G68" s="3"/>
      <c r="H68" s="3"/>
      <c r="I68" s="3"/>
      <c r="J68" s="3"/>
      <c r="K68" s="3"/>
      <c r="L68" s="3"/>
      <c r="M68" s="3"/>
      <c r="N68" s="3"/>
      <c r="O68" s="3"/>
      <c r="P68" s="3"/>
      <c r="Q68" s="3"/>
      <c r="R68" s="3"/>
      <c r="S68" s="3"/>
      <c r="T68" s="3"/>
    </row>
    <row r="69" ht="15.75" customHeight="1">
      <c r="A69" s="34"/>
      <c r="B69" s="3"/>
      <c r="C69" s="3"/>
      <c r="D69" s="3"/>
      <c r="E69" s="3"/>
      <c r="F69" s="3"/>
      <c r="G69" s="3"/>
      <c r="H69" s="3"/>
      <c r="I69" s="3"/>
      <c r="J69" s="3"/>
      <c r="K69" s="3"/>
      <c r="L69" s="3"/>
      <c r="M69" s="3"/>
      <c r="N69" s="3"/>
      <c r="O69" s="3"/>
      <c r="P69" s="3"/>
      <c r="Q69" s="3"/>
      <c r="R69" s="3"/>
      <c r="S69" s="3"/>
      <c r="T69" s="3"/>
    </row>
    <row r="70" ht="15.75" customHeight="1">
      <c r="A70" s="34"/>
      <c r="B70" s="3"/>
      <c r="C70" s="3"/>
      <c r="D70" s="3"/>
      <c r="E70" s="3"/>
      <c r="F70" s="3"/>
      <c r="G70" s="3"/>
      <c r="H70" s="3"/>
      <c r="I70" s="3"/>
      <c r="J70" s="3"/>
      <c r="K70" s="3"/>
      <c r="L70" s="3"/>
      <c r="M70" s="3"/>
      <c r="N70" s="3"/>
      <c r="O70" s="3"/>
      <c r="P70" s="3"/>
      <c r="Q70" s="3"/>
      <c r="R70" s="3"/>
      <c r="S70" s="3"/>
      <c r="T70" s="3"/>
    </row>
    <row r="71" ht="15.75" customHeight="1">
      <c r="A71" s="34"/>
      <c r="B71" s="3"/>
      <c r="C71" s="3"/>
      <c r="D71" s="3"/>
      <c r="E71" s="3"/>
      <c r="F71" s="3"/>
      <c r="G71" s="3"/>
      <c r="H71" s="3"/>
      <c r="I71" s="3"/>
      <c r="J71" s="3"/>
      <c r="K71" s="3"/>
      <c r="L71" s="3"/>
      <c r="M71" s="3"/>
      <c r="N71" s="3"/>
      <c r="O71" s="3"/>
      <c r="P71" s="3"/>
      <c r="Q71" s="3"/>
      <c r="R71" s="3"/>
      <c r="S71" s="3"/>
      <c r="T71" s="3"/>
    </row>
    <row r="72" ht="15.75" customHeight="1">
      <c r="A72" s="34"/>
      <c r="B72" s="3"/>
      <c r="C72" s="3"/>
      <c r="D72" s="3"/>
      <c r="E72" s="3"/>
      <c r="F72" s="3"/>
      <c r="G72" s="3"/>
      <c r="H72" s="3"/>
      <c r="I72" s="3"/>
      <c r="J72" s="3"/>
      <c r="K72" s="3"/>
      <c r="L72" s="3"/>
      <c r="M72" s="3"/>
      <c r="N72" s="3"/>
      <c r="O72" s="3"/>
      <c r="P72" s="3"/>
      <c r="Q72" s="3"/>
      <c r="R72" s="3"/>
      <c r="S72" s="3"/>
      <c r="T72" s="3"/>
    </row>
    <row r="73" ht="15.75" customHeight="1">
      <c r="A73" s="34"/>
      <c r="B73" s="3"/>
      <c r="C73" s="3"/>
      <c r="D73" s="3"/>
      <c r="E73" s="3"/>
      <c r="F73" s="3"/>
      <c r="G73" s="3"/>
      <c r="H73" s="3"/>
      <c r="I73" s="3"/>
      <c r="J73" s="3"/>
      <c r="K73" s="3"/>
      <c r="L73" s="3"/>
      <c r="M73" s="3"/>
      <c r="N73" s="3"/>
      <c r="O73" s="3"/>
      <c r="P73" s="3"/>
      <c r="Q73" s="3"/>
      <c r="R73" s="3"/>
      <c r="S73" s="3"/>
      <c r="T73" s="3"/>
    </row>
    <row r="74" ht="15.75" customHeight="1">
      <c r="A74" s="34"/>
      <c r="B74" s="3"/>
      <c r="C74" s="3"/>
      <c r="D74" s="3"/>
      <c r="E74" s="3"/>
      <c r="F74" s="3"/>
      <c r="G74" s="3"/>
      <c r="H74" s="3"/>
      <c r="I74" s="3"/>
      <c r="J74" s="3"/>
      <c r="K74" s="3"/>
      <c r="L74" s="3"/>
      <c r="M74" s="3"/>
      <c r="N74" s="3"/>
      <c r="O74" s="3"/>
      <c r="P74" s="3"/>
      <c r="Q74" s="3"/>
      <c r="R74" s="3"/>
      <c r="S74" s="3"/>
      <c r="T74" s="3"/>
    </row>
    <row r="75" ht="15.75" customHeight="1">
      <c r="A75" s="34"/>
      <c r="B75" s="3"/>
      <c r="C75" s="3"/>
      <c r="D75" s="3"/>
      <c r="E75" s="3"/>
      <c r="F75" s="3"/>
      <c r="G75" s="3"/>
      <c r="H75" s="3"/>
      <c r="I75" s="3"/>
      <c r="J75" s="3"/>
      <c r="K75" s="3"/>
      <c r="L75" s="3"/>
      <c r="M75" s="3"/>
      <c r="N75" s="3"/>
      <c r="O75" s="3"/>
      <c r="P75" s="3"/>
      <c r="Q75" s="3"/>
      <c r="R75" s="3"/>
      <c r="S75" s="3"/>
      <c r="T75" s="3"/>
    </row>
    <row r="76" ht="15.75" customHeight="1">
      <c r="A76" s="34"/>
      <c r="B76" s="3"/>
      <c r="C76" s="3"/>
      <c r="D76" s="3"/>
      <c r="E76" s="3"/>
      <c r="F76" s="3"/>
      <c r="G76" s="3"/>
      <c r="H76" s="3"/>
      <c r="I76" s="3"/>
      <c r="J76" s="3"/>
      <c r="K76" s="3"/>
      <c r="L76" s="3"/>
      <c r="M76" s="3"/>
      <c r="N76" s="3"/>
      <c r="O76" s="3"/>
      <c r="P76" s="3"/>
      <c r="Q76" s="3"/>
      <c r="R76" s="3"/>
      <c r="S76" s="3"/>
      <c r="T76" s="3"/>
    </row>
    <row r="77" ht="15.75" customHeight="1">
      <c r="A77" s="34"/>
      <c r="B77" s="3"/>
      <c r="C77" s="3"/>
      <c r="D77" s="3"/>
      <c r="E77" s="3"/>
      <c r="F77" s="3"/>
      <c r="G77" s="3"/>
      <c r="H77" s="3"/>
      <c r="I77" s="3"/>
      <c r="J77" s="3"/>
      <c r="K77" s="3"/>
      <c r="L77" s="3"/>
      <c r="M77" s="3"/>
      <c r="N77" s="3"/>
      <c r="O77" s="3"/>
      <c r="P77" s="3"/>
      <c r="Q77" s="3"/>
      <c r="R77" s="3"/>
      <c r="S77" s="3"/>
      <c r="T77" s="3"/>
    </row>
    <row r="78" ht="15.75" customHeight="1">
      <c r="A78" s="34"/>
      <c r="B78" s="3"/>
      <c r="C78" s="3"/>
      <c r="D78" s="3"/>
      <c r="E78" s="3"/>
      <c r="F78" s="3"/>
      <c r="G78" s="3"/>
      <c r="H78" s="3"/>
      <c r="I78" s="3"/>
      <c r="J78" s="3"/>
      <c r="K78" s="3"/>
      <c r="L78" s="3"/>
      <c r="M78" s="3"/>
      <c r="N78" s="3"/>
      <c r="O78" s="3"/>
      <c r="P78" s="3"/>
      <c r="Q78" s="3"/>
      <c r="R78" s="3"/>
      <c r="S78" s="3"/>
      <c r="T78" s="3"/>
    </row>
    <row r="79" ht="15.75" customHeight="1">
      <c r="A79" s="34"/>
      <c r="B79" s="3"/>
      <c r="C79" s="3"/>
      <c r="D79" s="3"/>
      <c r="E79" s="3"/>
      <c r="F79" s="3"/>
      <c r="G79" s="3"/>
      <c r="H79" s="3"/>
      <c r="I79" s="3"/>
      <c r="J79" s="3"/>
      <c r="K79" s="3"/>
      <c r="L79" s="3"/>
      <c r="M79" s="3"/>
      <c r="N79" s="3"/>
      <c r="O79" s="3"/>
      <c r="P79" s="3"/>
      <c r="Q79" s="3"/>
      <c r="R79" s="3"/>
      <c r="S79" s="3"/>
      <c r="T79" s="3"/>
    </row>
    <row r="80" ht="15.75" customHeight="1">
      <c r="A80" s="34"/>
      <c r="B80" s="3"/>
      <c r="C80" s="3"/>
      <c r="D80" s="3"/>
      <c r="E80" s="3"/>
      <c r="F80" s="3"/>
      <c r="G80" s="3"/>
      <c r="H80" s="3"/>
      <c r="I80" s="3"/>
      <c r="J80" s="3"/>
      <c r="K80" s="3"/>
      <c r="L80" s="3"/>
      <c r="M80" s="3"/>
      <c r="N80" s="3"/>
      <c r="O80" s="3"/>
      <c r="P80" s="3"/>
      <c r="Q80" s="3"/>
      <c r="R80" s="3"/>
      <c r="S80" s="3"/>
      <c r="T80" s="3"/>
    </row>
    <row r="81" ht="15.75" customHeight="1">
      <c r="A81" s="34"/>
      <c r="B81" s="3"/>
      <c r="C81" s="3"/>
      <c r="D81" s="3"/>
      <c r="E81" s="3"/>
      <c r="F81" s="3"/>
      <c r="G81" s="3"/>
      <c r="H81" s="3"/>
      <c r="I81" s="3"/>
      <c r="J81" s="3"/>
      <c r="K81" s="3"/>
      <c r="L81" s="3"/>
      <c r="M81" s="3"/>
      <c r="N81" s="3"/>
      <c r="O81" s="3"/>
      <c r="P81" s="3"/>
      <c r="Q81" s="3"/>
      <c r="R81" s="3"/>
      <c r="S81" s="3"/>
      <c r="T81" s="3"/>
    </row>
    <row r="82" ht="15.75" customHeight="1">
      <c r="A82" s="34"/>
      <c r="B82" s="3"/>
      <c r="C82" s="3"/>
      <c r="D82" s="3"/>
      <c r="E82" s="3"/>
      <c r="F82" s="3"/>
      <c r="G82" s="3"/>
      <c r="H82" s="3"/>
      <c r="I82" s="3"/>
      <c r="J82" s="3"/>
      <c r="K82" s="3"/>
      <c r="L82" s="3"/>
      <c r="M82" s="3"/>
      <c r="N82" s="3"/>
      <c r="O82" s="3"/>
      <c r="P82" s="3"/>
      <c r="Q82" s="3"/>
      <c r="R82" s="3"/>
      <c r="S82" s="3"/>
      <c r="T82" s="3"/>
    </row>
    <row r="83" ht="15.75" customHeight="1">
      <c r="A83" s="34"/>
      <c r="B83" s="3"/>
      <c r="C83" s="3"/>
      <c r="D83" s="3"/>
      <c r="E83" s="3"/>
      <c r="F83" s="3"/>
      <c r="G83" s="3"/>
      <c r="H83" s="3"/>
      <c r="I83" s="3"/>
      <c r="J83" s="3"/>
      <c r="K83" s="3"/>
      <c r="L83" s="3"/>
      <c r="M83" s="3"/>
      <c r="N83" s="3"/>
      <c r="O83" s="3"/>
      <c r="P83" s="3"/>
      <c r="Q83" s="3"/>
      <c r="R83" s="3"/>
      <c r="S83" s="3"/>
      <c r="T83" s="3"/>
    </row>
    <row r="84" ht="15.75" customHeight="1">
      <c r="A84" s="34"/>
      <c r="B84" s="3"/>
      <c r="C84" s="3"/>
      <c r="D84" s="3"/>
      <c r="E84" s="3"/>
      <c r="F84" s="3"/>
      <c r="G84" s="3"/>
      <c r="H84" s="3"/>
      <c r="I84" s="3"/>
      <c r="J84" s="3"/>
      <c r="K84" s="3"/>
      <c r="L84" s="3"/>
      <c r="M84" s="3"/>
      <c r="N84" s="3"/>
      <c r="O84" s="3"/>
      <c r="P84" s="3"/>
      <c r="Q84" s="3"/>
      <c r="R84" s="3"/>
      <c r="S84" s="3"/>
      <c r="T84" s="3"/>
    </row>
    <row r="85" ht="15.75" customHeight="1">
      <c r="A85" s="34"/>
      <c r="B85" s="3"/>
      <c r="C85" s="3"/>
      <c r="D85" s="3"/>
      <c r="E85" s="3"/>
      <c r="F85" s="3"/>
      <c r="G85" s="3"/>
      <c r="H85" s="3"/>
      <c r="I85" s="3"/>
      <c r="J85" s="3"/>
      <c r="K85" s="3"/>
      <c r="L85" s="3"/>
      <c r="M85" s="3"/>
      <c r="N85" s="3"/>
      <c r="O85" s="3"/>
      <c r="P85" s="3"/>
      <c r="Q85" s="3"/>
      <c r="R85" s="3"/>
      <c r="S85" s="3"/>
      <c r="T85" s="3"/>
    </row>
    <row r="86" ht="15.75" customHeight="1">
      <c r="A86" s="34"/>
      <c r="B86" s="3"/>
      <c r="C86" s="3"/>
      <c r="D86" s="3"/>
      <c r="E86" s="3"/>
      <c r="F86" s="3"/>
      <c r="G86" s="3"/>
      <c r="H86" s="3"/>
      <c r="I86" s="3"/>
      <c r="J86" s="3"/>
      <c r="K86" s="3"/>
      <c r="L86" s="3"/>
      <c r="M86" s="3"/>
      <c r="N86" s="3"/>
      <c r="O86" s="3"/>
      <c r="P86" s="3"/>
      <c r="Q86" s="3"/>
      <c r="R86" s="3"/>
      <c r="S86" s="3"/>
      <c r="T86" s="3"/>
    </row>
    <row r="87" ht="15.75" customHeight="1">
      <c r="A87" s="34"/>
      <c r="B87" s="3"/>
      <c r="C87" s="3"/>
      <c r="D87" s="3"/>
      <c r="E87" s="3"/>
      <c r="F87" s="3"/>
      <c r="G87" s="3"/>
      <c r="H87" s="3"/>
      <c r="I87" s="3"/>
      <c r="J87" s="3"/>
      <c r="K87" s="3"/>
      <c r="L87" s="3"/>
      <c r="M87" s="3"/>
      <c r="N87" s="3"/>
      <c r="O87" s="3"/>
      <c r="P87" s="3"/>
      <c r="Q87" s="3"/>
      <c r="R87" s="3"/>
      <c r="S87" s="3"/>
      <c r="T87" s="3"/>
    </row>
    <row r="88" ht="15.75" customHeight="1">
      <c r="A88" s="34"/>
      <c r="B88" s="3"/>
      <c r="C88" s="3"/>
      <c r="D88" s="3"/>
      <c r="E88" s="3"/>
      <c r="F88" s="3"/>
      <c r="G88" s="3"/>
      <c r="H88" s="3"/>
      <c r="I88" s="3"/>
      <c r="J88" s="3"/>
      <c r="K88" s="3"/>
      <c r="L88" s="3"/>
      <c r="M88" s="3"/>
      <c r="N88" s="3"/>
      <c r="O88" s="3"/>
      <c r="P88" s="3"/>
      <c r="Q88" s="3"/>
      <c r="R88" s="3"/>
      <c r="S88" s="3"/>
      <c r="T88" s="3"/>
    </row>
    <row r="89" ht="15.75" customHeight="1">
      <c r="A89" s="34"/>
      <c r="B89" s="3"/>
      <c r="C89" s="3"/>
      <c r="D89" s="3"/>
      <c r="E89" s="3"/>
      <c r="F89" s="3"/>
      <c r="G89" s="3"/>
      <c r="H89" s="3"/>
      <c r="I89" s="3"/>
      <c r="J89" s="3"/>
      <c r="K89" s="3"/>
      <c r="L89" s="3"/>
      <c r="M89" s="3"/>
      <c r="N89" s="3"/>
      <c r="O89" s="3"/>
      <c r="P89" s="3"/>
      <c r="Q89" s="3"/>
      <c r="R89" s="3"/>
      <c r="S89" s="3"/>
      <c r="T89" s="3"/>
    </row>
    <row r="90" ht="15.75" customHeight="1">
      <c r="A90" s="34"/>
      <c r="B90" s="3"/>
      <c r="C90" s="3"/>
      <c r="D90" s="3"/>
      <c r="E90" s="3"/>
      <c r="F90" s="3"/>
      <c r="G90" s="3"/>
      <c r="H90" s="3"/>
      <c r="I90" s="3"/>
      <c r="J90" s="3"/>
      <c r="K90" s="3"/>
      <c r="L90" s="3"/>
      <c r="M90" s="3"/>
      <c r="N90" s="3"/>
      <c r="O90" s="3"/>
      <c r="P90" s="3"/>
      <c r="Q90" s="3"/>
      <c r="R90" s="3"/>
      <c r="S90" s="3"/>
      <c r="T90" s="3"/>
    </row>
    <row r="91" ht="15.75" customHeight="1">
      <c r="A91" s="34"/>
      <c r="B91" s="3"/>
      <c r="C91" s="3"/>
      <c r="D91" s="3"/>
      <c r="E91" s="3"/>
      <c r="F91" s="3"/>
      <c r="G91" s="3"/>
      <c r="H91" s="3"/>
      <c r="I91" s="3"/>
      <c r="J91" s="3"/>
      <c r="K91" s="3"/>
      <c r="L91" s="3"/>
      <c r="M91" s="3"/>
      <c r="N91" s="3"/>
      <c r="O91" s="3"/>
      <c r="P91" s="3"/>
      <c r="Q91" s="3"/>
      <c r="R91" s="3"/>
      <c r="S91" s="3"/>
      <c r="T91" s="3"/>
    </row>
    <row r="92" ht="15.75" customHeight="1">
      <c r="A92" s="34"/>
      <c r="B92" s="3"/>
      <c r="C92" s="3"/>
      <c r="D92" s="3"/>
      <c r="E92" s="3"/>
      <c r="F92" s="3"/>
      <c r="G92" s="3"/>
      <c r="H92" s="3"/>
      <c r="I92" s="3"/>
      <c r="J92" s="3"/>
      <c r="K92" s="3"/>
      <c r="L92" s="3"/>
      <c r="M92" s="3"/>
      <c r="N92" s="3"/>
      <c r="O92" s="3"/>
      <c r="P92" s="3"/>
      <c r="Q92" s="3"/>
      <c r="R92" s="3"/>
      <c r="S92" s="3"/>
      <c r="T92" s="3"/>
    </row>
    <row r="93" ht="15.75" customHeight="1">
      <c r="A93" s="34"/>
      <c r="B93" s="3"/>
      <c r="C93" s="3"/>
      <c r="D93" s="3"/>
      <c r="E93" s="3"/>
      <c r="F93" s="3"/>
      <c r="G93" s="3"/>
      <c r="H93" s="3"/>
      <c r="I93" s="3"/>
      <c r="J93" s="3"/>
      <c r="K93" s="3"/>
      <c r="L93" s="3"/>
      <c r="M93" s="3"/>
      <c r="N93" s="3"/>
      <c r="O93" s="3"/>
      <c r="P93" s="3"/>
      <c r="Q93" s="3"/>
      <c r="R93" s="3"/>
      <c r="S93" s="3"/>
      <c r="T93" s="3"/>
    </row>
    <row r="94" ht="15.75" customHeight="1">
      <c r="A94" s="34"/>
      <c r="B94" s="3"/>
      <c r="C94" s="3"/>
      <c r="D94" s="3"/>
      <c r="E94" s="3"/>
      <c r="F94" s="3"/>
      <c r="G94" s="3"/>
      <c r="H94" s="3"/>
      <c r="I94" s="3"/>
      <c r="J94" s="3"/>
      <c r="K94" s="3"/>
      <c r="L94" s="3"/>
      <c r="M94" s="3"/>
      <c r="N94" s="3"/>
      <c r="O94" s="3"/>
      <c r="P94" s="3"/>
      <c r="Q94" s="3"/>
      <c r="R94" s="3"/>
      <c r="S94" s="3"/>
      <c r="T94" s="3"/>
    </row>
    <row r="95" ht="15.75" customHeight="1">
      <c r="A95" s="34"/>
      <c r="B95" s="3"/>
      <c r="C95" s="3"/>
      <c r="D95" s="3"/>
      <c r="E95" s="3"/>
      <c r="F95" s="3"/>
      <c r="G95" s="3"/>
      <c r="H95" s="3"/>
      <c r="I95" s="3"/>
      <c r="J95" s="3"/>
      <c r="K95" s="3"/>
      <c r="L95" s="3"/>
      <c r="M95" s="3"/>
      <c r="N95" s="3"/>
      <c r="O95" s="3"/>
      <c r="P95" s="3"/>
      <c r="Q95" s="3"/>
      <c r="R95" s="3"/>
      <c r="S95" s="3"/>
      <c r="T95" s="3"/>
    </row>
    <row r="96" ht="15.75" customHeight="1">
      <c r="A96" s="34"/>
      <c r="B96" s="3"/>
      <c r="C96" s="3"/>
      <c r="D96" s="3"/>
      <c r="E96" s="3"/>
      <c r="F96" s="3"/>
      <c r="G96" s="3"/>
      <c r="H96" s="3"/>
      <c r="I96" s="3"/>
      <c r="J96" s="3"/>
      <c r="K96" s="3"/>
      <c r="L96" s="3"/>
      <c r="M96" s="3"/>
      <c r="N96" s="3"/>
      <c r="O96" s="3"/>
      <c r="P96" s="3"/>
      <c r="Q96" s="3"/>
      <c r="R96" s="3"/>
      <c r="S96" s="3"/>
      <c r="T96" s="3"/>
    </row>
    <row r="97" ht="15.75" customHeight="1">
      <c r="A97" s="34"/>
      <c r="B97" s="3"/>
      <c r="C97" s="3"/>
      <c r="D97" s="3"/>
      <c r="E97" s="3"/>
      <c r="F97" s="3"/>
      <c r="G97" s="3"/>
      <c r="H97" s="3"/>
      <c r="I97" s="3"/>
      <c r="J97" s="3"/>
      <c r="K97" s="3"/>
      <c r="L97" s="3"/>
      <c r="M97" s="3"/>
      <c r="N97" s="3"/>
      <c r="O97" s="3"/>
      <c r="P97" s="3"/>
      <c r="Q97" s="3"/>
      <c r="R97" s="3"/>
      <c r="S97" s="3"/>
      <c r="T97" s="3"/>
    </row>
    <row r="98" ht="15.75" customHeight="1">
      <c r="A98" s="34"/>
      <c r="B98" s="3"/>
      <c r="C98" s="3"/>
      <c r="D98" s="3"/>
      <c r="E98" s="3"/>
      <c r="F98" s="3"/>
      <c r="G98" s="3"/>
      <c r="H98" s="3"/>
      <c r="I98" s="3"/>
      <c r="J98" s="3"/>
      <c r="K98" s="3"/>
      <c r="L98" s="3"/>
      <c r="M98" s="3"/>
      <c r="N98" s="3"/>
      <c r="O98" s="3"/>
      <c r="P98" s="3"/>
      <c r="Q98" s="3"/>
      <c r="R98" s="3"/>
      <c r="S98" s="3"/>
      <c r="T98" s="3"/>
    </row>
    <row r="99" ht="15.75" customHeight="1">
      <c r="A99" s="34"/>
      <c r="B99" s="3"/>
      <c r="C99" s="3"/>
      <c r="D99" s="3"/>
      <c r="E99" s="3"/>
      <c r="F99" s="3"/>
      <c r="G99" s="3"/>
      <c r="H99" s="3"/>
      <c r="I99" s="3"/>
      <c r="J99" s="3"/>
      <c r="K99" s="3"/>
      <c r="L99" s="3"/>
      <c r="M99" s="3"/>
      <c r="N99" s="3"/>
      <c r="O99" s="3"/>
      <c r="P99" s="3"/>
      <c r="Q99" s="3"/>
      <c r="R99" s="3"/>
      <c r="S99" s="3"/>
      <c r="T99" s="3"/>
    </row>
    <row r="100" ht="15.75" customHeight="1">
      <c r="A100" s="34"/>
      <c r="B100" s="3"/>
      <c r="C100" s="3"/>
      <c r="D100" s="3"/>
      <c r="E100" s="3"/>
      <c r="F100" s="3"/>
      <c r="G100" s="3"/>
      <c r="H100" s="3"/>
      <c r="I100" s="3"/>
      <c r="J100" s="3"/>
      <c r="K100" s="3"/>
      <c r="L100" s="3"/>
      <c r="M100" s="3"/>
      <c r="N100" s="3"/>
      <c r="O100" s="3"/>
      <c r="P100" s="3"/>
      <c r="Q100" s="3"/>
      <c r="R100" s="3"/>
      <c r="S100" s="3"/>
      <c r="T100" s="3"/>
    </row>
    <row r="101" ht="15.75" customHeight="1">
      <c r="A101" s="34"/>
      <c r="B101" s="3"/>
      <c r="C101" s="3"/>
      <c r="D101" s="3"/>
      <c r="E101" s="3"/>
      <c r="F101" s="3"/>
      <c r="G101" s="3"/>
      <c r="H101" s="3"/>
      <c r="I101" s="3"/>
      <c r="J101" s="3"/>
      <c r="K101" s="3"/>
      <c r="L101" s="3"/>
      <c r="M101" s="3"/>
      <c r="N101" s="3"/>
      <c r="O101" s="3"/>
      <c r="P101" s="3"/>
      <c r="Q101" s="3"/>
      <c r="R101" s="3"/>
      <c r="S101" s="3"/>
      <c r="T101" s="3"/>
    </row>
    <row r="102" ht="15.75" customHeight="1">
      <c r="A102" s="34"/>
      <c r="B102" s="3"/>
      <c r="C102" s="3"/>
      <c r="D102" s="3"/>
      <c r="E102" s="3"/>
      <c r="F102" s="3"/>
      <c r="G102" s="3"/>
      <c r="H102" s="3"/>
      <c r="I102" s="3"/>
      <c r="J102" s="3"/>
      <c r="K102" s="3"/>
      <c r="L102" s="3"/>
      <c r="M102" s="3"/>
      <c r="N102" s="3"/>
      <c r="O102" s="3"/>
      <c r="P102" s="3"/>
      <c r="Q102" s="3"/>
      <c r="R102" s="3"/>
      <c r="S102" s="3"/>
      <c r="T102" s="3"/>
    </row>
    <row r="103" ht="15.75" customHeight="1">
      <c r="A103" s="34"/>
      <c r="B103" s="3"/>
      <c r="C103" s="3"/>
      <c r="D103" s="3"/>
      <c r="E103" s="3"/>
      <c r="F103" s="3"/>
      <c r="G103" s="3"/>
      <c r="H103" s="3"/>
      <c r="I103" s="3"/>
      <c r="J103" s="3"/>
      <c r="K103" s="3"/>
      <c r="L103" s="3"/>
      <c r="M103" s="3"/>
      <c r="N103" s="3"/>
      <c r="O103" s="3"/>
      <c r="P103" s="3"/>
      <c r="Q103" s="3"/>
      <c r="R103" s="3"/>
      <c r="S103" s="3"/>
      <c r="T103" s="3"/>
    </row>
    <row r="104" ht="15.75" customHeight="1">
      <c r="A104" s="34"/>
      <c r="B104" s="3"/>
      <c r="C104" s="3"/>
      <c r="D104" s="3"/>
      <c r="E104" s="3"/>
      <c r="F104" s="3"/>
      <c r="G104" s="3"/>
      <c r="H104" s="3"/>
      <c r="I104" s="3"/>
      <c r="J104" s="3"/>
      <c r="K104" s="3"/>
      <c r="L104" s="3"/>
      <c r="M104" s="3"/>
      <c r="N104" s="3"/>
      <c r="O104" s="3"/>
      <c r="P104" s="3"/>
      <c r="Q104" s="3"/>
      <c r="R104" s="3"/>
      <c r="S104" s="3"/>
      <c r="T104" s="3"/>
    </row>
    <row r="105" ht="15.75" customHeight="1">
      <c r="A105" s="34"/>
      <c r="B105" s="3"/>
      <c r="C105" s="3"/>
      <c r="D105" s="3"/>
      <c r="E105" s="3"/>
      <c r="F105" s="3"/>
      <c r="G105" s="3"/>
      <c r="H105" s="3"/>
      <c r="I105" s="3"/>
      <c r="J105" s="3"/>
      <c r="K105" s="3"/>
      <c r="L105" s="3"/>
      <c r="M105" s="3"/>
      <c r="N105" s="3"/>
      <c r="O105" s="3"/>
      <c r="P105" s="3"/>
      <c r="Q105" s="3"/>
      <c r="R105" s="3"/>
      <c r="S105" s="3"/>
      <c r="T105" s="3"/>
    </row>
    <row r="106" ht="15.75" customHeight="1">
      <c r="A106" s="34"/>
      <c r="B106" s="3"/>
      <c r="C106" s="3"/>
      <c r="D106" s="3"/>
      <c r="E106" s="3"/>
      <c r="F106" s="3"/>
      <c r="G106" s="3"/>
      <c r="H106" s="3"/>
      <c r="I106" s="3"/>
      <c r="J106" s="3"/>
      <c r="K106" s="3"/>
      <c r="L106" s="3"/>
      <c r="M106" s="3"/>
      <c r="N106" s="3"/>
      <c r="O106" s="3"/>
      <c r="P106" s="3"/>
      <c r="Q106" s="3"/>
      <c r="R106" s="3"/>
      <c r="S106" s="3"/>
      <c r="T106" s="3"/>
    </row>
    <row r="107" ht="15.75" customHeight="1">
      <c r="A107" s="34"/>
      <c r="B107" s="3"/>
      <c r="C107" s="3"/>
      <c r="D107" s="3"/>
      <c r="E107" s="3"/>
      <c r="F107" s="3"/>
      <c r="G107" s="3"/>
      <c r="H107" s="3"/>
      <c r="I107" s="3"/>
      <c r="J107" s="3"/>
      <c r="K107" s="3"/>
      <c r="L107" s="3"/>
      <c r="M107" s="3"/>
      <c r="N107" s="3"/>
      <c r="O107" s="3"/>
      <c r="P107" s="3"/>
      <c r="Q107" s="3"/>
      <c r="R107" s="3"/>
      <c r="S107" s="3"/>
      <c r="T107" s="3"/>
    </row>
    <row r="108" ht="15.75" customHeight="1">
      <c r="A108" s="34"/>
      <c r="B108" s="3"/>
      <c r="C108" s="3"/>
      <c r="D108" s="3"/>
      <c r="E108" s="3"/>
      <c r="F108" s="3"/>
      <c r="G108" s="3"/>
      <c r="H108" s="3"/>
      <c r="I108" s="3"/>
      <c r="J108" s="3"/>
      <c r="K108" s="3"/>
      <c r="L108" s="3"/>
      <c r="M108" s="3"/>
      <c r="N108" s="3"/>
      <c r="O108" s="3"/>
      <c r="P108" s="3"/>
      <c r="Q108" s="3"/>
      <c r="R108" s="3"/>
      <c r="S108" s="3"/>
      <c r="T108" s="3"/>
    </row>
    <row r="109" ht="15.75" customHeight="1">
      <c r="A109" s="34"/>
      <c r="B109" s="3"/>
      <c r="C109" s="3"/>
      <c r="D109" s="3"/>
      <c r="E109" s="3"/>
      <c r="F109" s="3"/>
      <c r="G109" s="3"/>
      <c r="H109" s="3"/>
      <c r="I109" s="3"/>
      <c r="J109" s="3"/>
      <c r="K109" s="3"/>
      <c r="L109" s="3"/>
      <c r="M109" s="3"/>
      <c r="N109" s="3"/>
      <c r="O109" s="3"/>
      <c r="P109" s="3"/>
      <c r="Q109" s="3"/>
      <c r="R109" s="3"/>
      <c r="S109" s="3"/>
      <c r="T109" s="3"/>
    </row>
    <row r="110" ht="15.75" customHeight="1">
      <c r="A110" s="34"/>
      <c r="B110" s="3"/>
      <c r="C110" s="3"/>
      <c r="D110" s="3"/>
      <c r="E110" s="3"/>
      <c r="F110" s="3"/>
      <c r="G110" s="3"/>
      <c r="H110" s="3"/>
      <c r="I110" s="3"/>
      <c r="J110" s="3"/>
      <c r="K110" s="3"/>
      <c r="L110" s="3"/>
      <c r="M110" s="3"/>
      <c r="N110" s="3"/>
      <c r="O110" s="3"/>
      <c r="P110" s="3"/>
      <c r="Q110" s="3"/>
      <c r="R110" s="3"/>
      <c r="S110" s="3"/>
      <c r="T110" s="3"/>
    </row>
    <row r="111" ht="15.75" customHeight="1">
      <c r="A111" s="34"/>
      <c r="B111" s="3"/>
      <c r="C111" s="3"/>
      <c r="D111" s="3"/>
      <c r="E111" s="3"/>
      <c r="F111" s="3"/>
      <c r="G111" s="3"/>
      <c r="H111" s="3"/>
      <c r="I111" s="3"/>
      <c r="J111" s="3"/>
      <c r="K111" s="3"/>
      <c r="L111" s="3"/>
      <c r="M111" s="3"/>
      <c r="N111" s="3"/>
      <c r="O111" s="3"/>
      <c r="P111" s="3"/>
      <c r="Q111" s="3"/>
      <c r="R111" s="3"/>
      <c r="S111" s="3"/>
      <c r="T111" s="3"/>
    </row>
    <row r="112" ht="15.75" customHeight="1">
      <c r="A112" s="34"/>
      <c r="B112" s="3"/>
      <c r="C112" s="3"/>
      <c r="D112" s="3"/>
      <c r="E112" s="3"/>
      <c r="F112" s="3"/>
      <c r="G112" s="3"/>
      <c r="H112" s="3"/>
      <c r="I112" s="3"/>
      <c r="J112" s="3"/>
      <c r="K112" s="3"/>
      <c r="L112" s="3"/>
      <c r="M112" s="3"/>
      <c r="N112" s="3"/>
      <c r="O112" s="3"/>
      <c r="P112" s="3"/>
      <c r="Q112" s="3"/>
      <c r="R112" s="3"/>
      <c r="S112" s="3"/>
      <c r="T112" s="3"/>
    </row>
    <row r="113" ht="15.75" customHeight="1">
      <c r="A113" s="34"/>
      <c r="B113" s="3"/>
      <c r="C113" s="3"/>
      <c r="D113" s="3"/>
      <c r="E113" s="3"/>
      <c r="F113" s="3"/>
      <c r="G113" s="3"/>
      <c r="H113" s="3"/>
      <c r="I113" s="3"/>
      <c r="J113" s="3"/>
      <c r="K113" s="3"/>
      <c r="L113" s="3"/>
      <c r="M113" s="3"/>
      <c r="N113" s="3"/>
      <c r="O113" s="3"/>
      <c r="P113" s="3"/>
      <c r="Q113" s="3"/>
      <c r="R113" s="3"/>
      <c r="S113" s="3"/>
      <c r="T113" s="3"/>
    </row>
    <row r="114" ht="15.75" customHeight="1">
      <c r="A114" s="34"/>
      <c r="B114" s="3"/>
      <c r="C114" s="3"/>
      <c r="D114" s="3"/>
      <c r="E114" s="3"/>
      <c r="F114" s="3"/>
      <c r="G114" s="3"/>
      <c r="H114" s="3"/>
      <c r="I114" s="3"/>
      <c r="J114" s="3"/>
      <c r="K114" s="3"/>
      <c r="L114" s="3"/>
      <c r="M114" s="3"/>
      <c r="N114" s="3"/>
      <c r="O114" s="3"/>
      <c r="P114" s="3"/>
      <c r="Q114" s="3"/>
      <c r="R114" s="3"/>
      <c r="S114" s="3"/>
      <c r="T114" s="3"/>
    </row>
    <row r="115" ht="15.75" customHeight="1">
      <c r="A115" s="34"/>
      <c r="B115" s="3"/>
      <c r="C115" s="3"/>
      <c r="D115" s="3"/>
      <c r="E115" s="3"/>
      <c r="F115" s="3"/>
      <c r="G115" s="3"/>
      <c r="H115" s="3"/>
      <c r="I115" s="3"/>
      <c r="J115" s="3"/>
      <c r="K115" s="3"/>
      <c r="L115" s="3"/>
      <c r="M115" s="3"/>
      <c r="N115" s="3"/>
      <c r="O115" s="3"/>
      <c r="P115" s="3"/>
      <c r="Q115" s="3"/>
      <c r="R115" s="3"/>
      <c r="S115" s="3"/>
      <c r="T115" s="3"/>
    </row>
    <row r="116" ht="15.75" customHeight="1">
      <c r="A116" s="34"/>
      <c r="B116" s="3"/>
      <c r="C116" s="3"/>
      <c r="D116" s="3"/>
      <c r="E116" s="3"/>
      <c r="F116" s="3"/>
      <c r="G116" s="3"/>
      <c r="H116" s="3"/>
      <c r="I116" s="3"/>
      <c r="J116" s="3"/>
      <c r="K116" s="3"/>
      <c r="L116" s="3"/>
      <c r="M116" s="3"/>
      <c r="N116" s="3"/>
      <c r="O116" s="3"/>
      <c r="P116" s="3"/>
      <c r="Q116" s="3"/>
      <c r="R116" s="3"/>
      <c r="S116" s="3"/>
      <c r="T116" s="3"/>
    </row>
    <row r="117" ht="15.75" customHeight="1">
      <c r="A117" s="34"/>
      <c r="B117" s="3"/>
      <c r="C117" s="3"/>
      <c r="D117" s="3"/>
      <c r="E117" s="3"/>
      <c r="F117" s="3"/>
      <c r="G117" s="3"/>
      <c r="H117" s="3"/>
      <c r="I117" s="3"/>
      <c r="J117" s="3"/>
      <c r="K117" s="3"/>
      <c r="L117" s="3"/>
      <c r="M117" s="3"/>
      <c r="N117" s="3"/>
      <c r="O117" s="3"/>
      <c r="P117" s="3"/>
      <c r="Q117" s="3"/>
      <c r="R117" s="3"/>
      <c r="S117" s="3"/>
      <c r="T117" s="3"/>
    </row>
    <row r="118" ht="15.75" customHeight="1">
      <c r="A118" s="34"/>
      <c r="B118" s="3"/>
      <c r="C118" s="3"/>
      <c r="D118" s="3"/>
      <c r="E118" s="3"/>
      <c r="F118" s="3"/>
      <c r="G118" s="3"/>
      <c r="H118" s="3"/>
      <c r="I118" s="3"/>
      <c r="J118" s="3"/>
      <c r="K118" s="3"/>
      <c r="L118" s="3"/>
      <c r="M118" s="3"/>
      <c r="N118" s="3"/>
      <c r="O118" s="3"/>
      <c r="P118" s="3"/>
      <c r="Q118" s="3"/>
      <c r="R118" s="3"/>
      <c r="S118" s="3"/>
      <c r="T118" s="3"/>
    </row>
    <row r="119" ht="15.75" customHeight="1">
      <c r="A119" s="34"/>
      <c r="B119" s="3"/>
      <c r="C119" s="3"/>
      <c r="D119" s="3"/>
      <c r="E119" s="3"/>
      <c r="F119" s="3"/>
      <c r="G119" s="3"/>
      <c r="H119" s="3"/>
      <c r="I119" s="3"/>
      <c r="J119" s="3"/>
      <c r="K119" s="3"/>
      <c r="L119" s="3"/>
      <c r="M119" s="3"/>
      <c r="N119" s="3"/>
      <c r="O119" s="3"/>
      <c r="P119" s="3"/>
      <c r="Q119" s="3"/>
      <c r="R119" s="3"/>
      <c r="S119" s="3"/>
      <c r="T119" s="3"/>
    </row>
    <row r="120" ht="15.75" customHeight="1">
      <c r="A120" s="34"/>
      <c r="B120" s="3"/>
      <c r="C120" s="3"/>
      <c r="D120" s="3"/>
      <c r="E120" s="3"/>
      <c r="F120" s="3"/>
      <c r="G120" s="3"/>
      <c r="H120" s="3"/>
      <c r="I120" s="3"/>
      <c r="J120" s="3"/>
      <c r="K120" s="3"/>
      <c r="L120" s="3"/>
      <c r="M120" s="3"/>
      <c r="N120" s="3"/>
      <c r="O120" s="3"/>
      <c r="P120" s="3"/>
      <c r="Q120" s="3"/>
      <c r="R120" s="3"/>
      <c r="S120" s="3"/>
      <c r="T120" s="3"/>
    </row>
    <row r="121" ht="15.75" customHeight="1">
      <c r="A121" s="34"/>
      <c r="B121" s="3"/>
      <c r="C121" s="3"/>
      <c r="D121" s="3"/>
      <c r="E121" s="3"/>
      <c r="F121" s="3"/>
      <c r="G121" s="3"/>
      <c r="H121" s="3"/>
      <c r="I121" s="3"/>
      <c r="J121" s="3"/>
      <c r="K121" s="3"/>
      <c r="L121" s="3"/>
      <c r="M121" s="3"/>
      <c r="N121" s="3"/>
      <c r="O121" s="3"/>
      <c r="P121" s="3"/>
      <c r="Q121" s="3"/>
      <c r="R121" s="3"/>
      <c r="S121" s="3"/>
      <c r="T121" s="3"/>
    </row>
    <row r="122" ht="15.75" customHeight="1">
      <c r="A122" s="34"/>
      <c r="B122" s="3"/>
      <c r="C122" s="3"/>
      <c r="D122" s="3"/>
      <c r="E122" s="3"/>
      <c r="F122" s="3"/>
      <c r="G122" s="3"/>
      <c r="H122" s="3"/>
      <c r="I122" s="3"/>
      <c r="J122" s="3"/>
      <c r="K122" s="3"/>
      <c r="L122" s="3"/>
      <c r="M122" s="3"/>
      <c r="N122" s="3"/>
      <c r="O122" s="3"/>
      <c r="P122" s="3"/>
      <c r="Q122" s="3"/>
      <c r="R122" s="3"/>
      <c r="S122" s="3"/>
      <c r="T122" s="3"/>
    </row>
    <row r="123" ht="15.75" customHeight="1">
      <c r="A123" s="34"/>
      <c r="B123" s="3"/>
      <c r="C123" s="3"/>
      <c r="D123" s="3"/>
      <c r="E123" s="3"/>
      <c r="F123" s="3"/>
      <c r="G123" s="3"/>
      <c r="H123" s="3"/>
      <c r="I123" s="3"/>
      <c r="J123" s="3"/>
      <c r="K123" s="3"/>
      <c r="L123" s="3"/>
      <c r="M123" s="3"/>
      <c r="N123" s="3"/>
      <c r="O123" s="3"/>
      <c r="P123" s="3"/>
      <c r="Q123" s="3"/>
      <c r="R123" s="3"/>
      <c r="S123" s="3"/>
      <c r="T123" s="3"/>
    </row>
    <row r="124" ht="15.75" customHeight="1">
      <c r="A124" s="34"/>
      <c r="B124" s="3"/>
      <c r="C124" s="3"/>
      <c r="D124" s="3"/>
      <c r="E124" s="3"/>
      <c r="F124" s="3"/>
      <c r="G124" s="3"/>
      <c r="H124" s="3"/>
      <c r="I124" s="3"/>
      <c r="J124" s="3"/>
      <c r="K124" s="3"/>
      <c r="L124" s="3"/>
      <c r="M124" s="3"/>
      <c r="N124" s="3"/>
      <c r="O124" s="3"/>
      <c r="P124" s="3"/>
      <c r="Q124" s="3"/>
      <c r="R124" s="3"/>
      <c r="S124" s="3"/>
      <c r="T124" s="3"/>
    </row>
    <row r="125" ht="15.75" customHeight="1">
      <c r="A125" s="34"/>
      <c r="B125" s="3"/>
      <c r="C125" s="3"/>
      <c r="D125" s="3"/>
      <c r="E125" s="3"/>
      <c r="F125" s="3"/>
      <c r="G125" s="3"/>
      <c r="H125" s="3"/>
      <c r="I125" s="3"/>
      <c r="J125" s="3"/>
      <c r="K125" s="3"/>
      <c r="L125" s="3"/>
      <c r="M125" s="3"/>
      <c r="N125" s="3"/>
      <c r="O125" s="3"/>
      <c r="P125" s="3"/>
      <c r="Q125" s="3"/>
      <c r="R125" s="3"/>
      <c r="S125" s="3"/>
      <c r="T125" s="3"/>
    </row>
    <row r="126" ht="15.75" customHeight="1">
      <c r="A126" s="34"/>
      <c r="B126" s="3"/>
      <c r="C126" s="3"/>
      <c r="D126" s="3"/>
      <c r="E126" s="3"/>
      <c r="F126" s="3"/>
      <c r="G126" s="3"/>
      <c r="H126" s="3"/>
      <c r="I126" s="3"/>
      <c r="J126" s="3"/>
      <c r="K126" s="3"/>
      <c r="L126" s="3"/>
      <c r="M126" s="3"/>
      <c r="N126" s="3"/>
      <c r="O126" s="3"/>
      <c r="P126" s="3"/>
      <c r="Q126" s="3"/>
      <c r="R126" s="3"/>
      <c r="S126" s="3"/>
      <c r="T126" s="3"/>
    </row>
    <row r="127" ht="15.75" customHeight="1">
      <c r="A127" s="34"/>
      <c r="B127" s="3"/>
      <c r="C127" s="3"/>
      <c r="D127" s="3"/>
      <c r="E127" s="3"/>
      <c r="F127" s="3"/>
      <c r="G127" s="3"/>
      <c r="H127" s="3"/>
      <c r="I127" s="3"/>
      <c r="J127" s="3"/>
      <c r="K127" s="3"/>
      <c r="L127" s="3"/>
      <c r="M127" s="3"/>
      <c r="N127" s="3"/>
      <c r="O127" s="3"/>
      <c r="P127" s="3"/>
      <c r="Q127" s="3"/>
      <c r="R127" s="3"/>
      <c r="S127" s="3"/>
      <c r="T127" s="3"/>
    </row>
    <row r="128" ht="15.75" customHeight="1">
      <c r="A128" s="34"/>
      <c r="B128" s="3"/>
      <c r="C128" s="3"/>
      <c r="D128" s="3"/>
      <c r="E128" s="3"/>
      <c r="F128" s="3"/>
      <c r="G128" s="3"/>
      <c r="H128" s="3"/>
      <c r="I128" s="3"/>
      <c r="J128" s="3"/>
      <c r="K128" s="3"/>
      <c r="L128" s="3"/>
      <c r="M128" s="3"/>
      <c r="N128" s="3"/>
      <c r="O128" s="3"/>
      <c r="P128" s="3"/>
      <c r="Q128" s="3"/>
      <c r="R128" s="3"/>
      <c r="S128" s="3"/>
      <c r="T128" s="3"/>
    </row>
    <row r="129" ht="15.75" customHeight="1">
      <c r="A129" s="34"/>
      <c r="B129" s="3"/>
      <c r="C129" s="3"/>
      <c r="D129" s="3"/>
      <c r="E129" s="3"/>
      <c r="F129" s="3"/>
      <c r="G129" s="3"/>
      <c r="H129" s="3"/>
      <c r="I129" s="3"/>
      <c r="J129" s="3"/>
      <c r="K129" s="3"/>
      <c r="L129" s="3"/>
      <c r="M129" s="3"/>
      <c r="N129" s="3"/>
      <c r="O129" s="3"/>
      <c r="P129" s="3"/>
      <c r="Q129" s="3"/>
      <c r="R129" s="3"/>
      <c r="S129" s="3"/>
      <c r="T129" s="3"/>
    </row>
    <row r="130" ht="15.75" customHeight="1">
      <c r="A130" s="34"/>
      <c r="B130" s="3"/>
      <c r="C130" s="3"/>
      <c r="D130" s="3"/>
      <c r="E130" s="3"/>
      <c r="F130" s="3"/>
      <c r="G130" s="3"/>
      <c r="H130" s="3"/>
      <c r="I130" s="3"/>
      <c r="J130" s="3"/>
      <c r="K130" s="3"/>
      <c r="L130" s="3"/>
      <c r="M130" s="3"/>
      <c r="N130" s="3"/>
      <c r="O130" s="3"/>
      <c r="P130" s="3"/>
      <c r="Q130" s="3"/>
      <c r="R130" s="3"/>
      <c r="S130" s="3"/>
      <c r="T130" s="3"/>
    </row>
    <row r="131" ht="15.75" customHeight="1">
      <c r="A131" s="34"/>
      <c r="B131" s="3"/>
      <c r="C131" s="3"/>
      <c r="D131" s="3"/>
      <c r="E131" s="3"/>
      <c r="F131" s="3"/>
      <c r="G131" s="3"/>
      <c r="H131" s="3"/>
      <c r="I131" s="3"/>
      <c r="J131" s="3"/>
      <c r="K131" s="3"/>
      <c r="L131" s="3"/>
      <c r="M131" s="3"/>
      <c r="N131" s="3"/>
      <c r="O131" s="3"/>
      <c r="P131" s="3"/>
      <c r="Q131" s="3"/>
      <c r="R131" s="3"/>
      <c r="S131" s="3"/>
      <c r="T131" s="3"/>
    </row>
    <row r="132" ht="15.75" customHeight="1">
      <c r="A132" s="34"/>
      <c r="B132" s="3"/>
      <c r="C132" s="3"/>
      <c r="D132" s="3"/>
      <c r="E132" s="3"/>
      <c r="F132" s="3"/>
      <c r="G132" s="3"/>
      <c r="H132" s="3"/>
      <c r="I132" s="3"/>
      <c r="J132" s="3"/>
      <c r="K132" s="3"/>
      <c r="L132" s="3"/>
      <c r="M132" s="3"/>
      <c r="N132" s="3"/>
      <c r="O132" s="3"/>
      <c r="P132" s="3"/>
      <c r="Q132" s="3"/>
      <c r="R132" s="3"/>
      <c r="S132" s="3"/>
      <c r="T132" s="3"/>
    </row>
    <row r="133" ht="15.75" customHeight="1">
      <c r="A133" s="34"/>
      <c r="B133" s="3"/>
      <c r="C133" s="3"/>
      <c r="D133" s="3"/>
      <c r="E133" s="3"/>
      <c r="F133" s="3"/>
      <c r="G133" s="3"/>
      <c r="H133" s="3"/>
      <c r="I133" s="3"/>
      <c r="J133" s="3"/>
      <c r="K133" s="3"/>
      <c r="L133" s="3"/>
      <c r="M133" s="3"/>
      <c r="N133" s="3"/>
      <c r="O133" s="3"/>
      <c r="P133" s="3"/>
      <c r="Q133" s="3"/>
      <c r="R133" s="3"/>
      <c r="S133" s="3"/>
      <c r="T133" s="3"/>
    </row>
    <row r="134" ht="15.75" customHeight="1">
      <c r="A134" s="34"/>
      <c r="B134" s="3"/>
      <c r="C134" s="3"/>
      <c r="D134" s="3"/>
      <c r="E134" s="3"/>
      <c r="F134" s="3"/>
      <c r="G134" s="3"/>
      <c r="H134" s="3"/>
      <c r="I134" s="3"/>
      <c r="J134" s="3"/>
      <c r="K134" s="3"/>
      <c r="L134" s="3"/>
      <c r="M134" s="3"/>
      <c r="N134" s="3"/>
      <c r="O134" s="3"/>
      <c r="P134" s="3"/>
      <c r="Q134" s="3"/>
      <c r="R134" s="3"/>
      <c r="S134" s="3"/>
      <c r="T134" s="3"/>
    </row>
    <row r="135" ht="15.75" customHeight="1">
      <c r="A135" s="34"/>
      <c r="B135" s="3"/>
      <c r="C135" s="3"/>
      <c r="D135" s="3"/>
      <c r="E135" s="3"/>
      <c r="F135" s="3"/>
      <c r="G135" s="3"/>
      <c r="H135" s="3"/>
      <c r="I135" s="3"/>
      <c r="J135" s="3"/>
      <c r="K135" s="3"/>
      <c r="L135" s="3"/>
      <c r="M135" s="3"/>
      <c r="N135" s="3"/>
      <c r="O135" s="3"/>
      <c r="P135" s="3"/>
      <c r="Q135" s="3"/>
      <c r="R135" s="3"/>
      <c r="S135" s="3"/>
      <c r="T135" s="3"/>
    </row>
    <row r="136" ht="15.75" customHeight="1">
      <c r="A136" s="34"/>
      <c r="B136" s="3"/>
      <c r="C136" s="3"/>
      <c r="D136" s="3"/>
      <c r="E136" s="3"/>
      <c r="F136" s="3"/>
      <c r="G136" s="3"/>
      <c r="H136" s="3"/>
      <c r="I136" s="3"/>
      <c r="J136" s="3"/>
      <c r="K136" s="3"/>
      <c r="L136" s="3"/>
      <c r="M136" s="3"/>
      <c r="N136" s="3"/>
      <c r="O136" s="3"/>
      <c r="P136" s="3"/>
      <c r="Q136" s="3"/>
      <c r="R136" s="3"/>
      <c r="S136" s="3"/>
      <c r="T136" s="3"/>
    </row>
    <row r="137" ht="15.75" customHeight="1">
      <c r="A137" s="34"/>
      <c r="B137" s="3"/>
      <c r="C137" s="3"/>
      <c r="D137" s="3"/>
      <c r="E137" s="3"/>
      <c r="F137" s="3"/>
      <c r="G137" s="3"/>
      <c r="H137" s="3"/>
      <c r="I137" s="3"/>
      <c r="J137" s="3"/>
      <c r="K137" s="3"/>
      <c r="L137" s="3"/>
      <c r="M137" s="3"/>
      <c r="N137" s="3"/>
      <c r="O137" s="3"/>
      <c r="P137" s="3"/>
      <c r="Q137" s="3"/>
      <c r="R137" s="3"/>
      <c r="S137" s="3"/>
      <c r="T137" s="3"/>
    </row>
    <row r="138" ht="15.75" customHeight="1">
      <c r="A138" s="34"/>
      <c r="B138" s="3"/>
      <c r="C138" s="3"/>
      <c r="D138" s="3"/>
      <c r="E138" s="3"/>
      <c r="F138" s="3"/>
      <c r="G138" s="3"/>
      <c r="H138" s="3"/>
      <c r="I138" s="3"/>
      <c r="J138" s="3"/>
      <c r="K138" s="3"/>
      <c r="L138" s="3"/>
      <c r="M138" s="3"/>
      <c r="N138" s="3"/>
      <c r="O138" s="3"/>
      <c r="P138" s="3"/>
      <c r="Q138" s="3"/>
      <c r="R138" s="3"/>
      <c r="S138" s="3"/>
      <c r="T138" s="3"/>
    </row>
    <row r="139" ht="15.75" customHeight="1">
      <c r="A139" s="34"/>
      <c r="B139" s="3"/>
      <c r="C139" s="3"/>
      <c r="D139" s="3"/>
      <c r="E139" s="3"/>
      <c r="F139" s="3"/>
      <c r="G139" s="3"/>
      <c r="H139" s="3"/>
      <c r="I139" s="3"/>
      <c r="J139" s="3"/>
      <c r="K139" s="3"/>
      <c r="L139" s="3"/>
      <c r="M139" s="3"/>
      <c r="N139" s="3"/>
      <c r="O139" s="3"/>
      <c r="P139" s="3"/>
      <c r="Q139" s="3"/>
      <c r="R139" s="3"/>
      <c r="S139" s="3"/>
      <c r="T139" s="3"/>
    </row>
    <row r="140" ht="15.75" customHeight="1">
      <c r="A140" s="34"/>
      <c r="B140" s="3"/>
      <c r="C140" s="3"/>
      <c r="D140" s="3"/>
      <c r="E140" s="3"/>
      <c r="F140" s="3"/>
      <c r="G140" s="3"/>
      <c r="H140" s="3"/>
      <c r="I140" s="3"/>
      <c r="J140" s="3"/>
      <c r="K140" s="3"/>
      <c r="L140" s="3"/>
      <c r="M140" s="3"/>
      <c r="N140" s="3"/>
      <c r="O140" s="3"/>
      <c r="P140" s="3"/>
      <c r="Q140" s="3"/>
      <c r="R140" s="3"/>
      <c r="S140" s="3"/>
      <c r="T140" s="3"/>
    </row>
    <row r="141" ht="15.75" customHeight="1">
      <c r="A141" s="34"/>
      <c r="B141" s="3"/>
      <c r="C141" s="3"/>
      <c r="D141" s="3"/>
      <c r="E141" s="3"/>
      <c r="F141" s="3"/>
      <c r="G141" s="3"/>
      <c r="H141" s="3"/>
      <c r="I141" s="3"/>
      <c r="J141" s="3"/>
      <c r="K141" s="3"/>
      <c r="L141" s="3"/>
      <c r="M141" s="3"/>
      <c r="N141" s="3"/>
      <c r="O141" s="3"/>
      <c r="P141" s="3"/>
      <c r="Q141" s="3"/>
      <c r="R141" s="3"/>
      <c r="S141" s="3"/>
      <c r="T141" s="3"/>
    </row>
    <row r="142" ht="15.75" customHeight="1">
      <c r="A142" s="34"/>
      <c r="B142" s="3"/>
      <c r="C142" s="3"/>
      <c r="D142" s="3"/>
      <c r="E142" s="3"/>
      <c r="F142" s="3"/>
      <c r="G142" s="3"/>
      <c r="H142" s="3"/>
      <c r="I142" s="3"/>
      <c r="J142" s="3"/>
      <c r="K142" s="3"/>
      <c r="L142" s="3"/>
      <c r="M142" s="3"/>
      <c r="N142" s="3"/>
      <c r="O142" s="3"/>
      <c r="P142" s="3"/>
      <c r="Q142" s="3"/>
      <c r="R142" s="3"/>
      <c r="S142" s="3"/>
      <c r="T142" s="3"/>
    </row>
    <row r="143" ht="15.75" customHeight="1">
      <c r="A143" s="34"/>
      <c r="B143" s="3"/>
      <c r="C143" s="3"/>
      <c r="D143" s="3"/>
      <c r="E143" s="3"/>
      <c r="F143" s="3"/>
      <c r="G143" s="3"/>
      <c r="H143" s="3"/>
      <c r="I143" s="3"/>
      <c r="J143" s="3"/>
      <c r="K143" s="3"/>
      <c r="L143" s="3"/>
      <c r="M143" s="3"/>
      <c r="N143" s="3"/>
      <c r="O143" s="3"/>
      <c r="P143" s="3"/>
      <c r="Q143" s="3"/>
      <c r="R143" s="3"/>
      <c r="S143" s="3"/>
      <c r="T143" s="3"/>
    </row>
    <row r="144" ht="15.75" customHeight="1">
      <c r="A144" s="34"/>
      <c r="B144" s="3"/>
      <c r="C144" s="3"/>
      <c r="D144" s="3"/>
      <c r="E144" s="3"/>
      <c r="F144" s="3"/>
      <c r="G144" s="3"/>
      <c r="H144" s="3"/>
      <c r="I144" s="3"/>
      <c r="J144" s="3"/>
      <c r="K144" s="3"/>
      <c r="L144" s="3"/>
      <c r="M144" s="3"/>
      <c r="N144" s="3"/>
      <c r="O144" s="3"/>
      <c r="P144" s="3"/>
      <c r="Q144" s="3"/>
      <c r="R144" s="3"/>
      <c r="S144" s="3"/>
      <c r="T144" s="3"/>
    </row>
    <row r="145" ht="15.75" customHeight="1">
      <c r="A145" s="34"/>
      <c r="B145" s="3"/>
      <c r="C145" s="3"/>
      <c r="D145" s="3"/>
      <c r="E145" s="3"/>
      <c r="F145" s="3"/>
      <c r="G145" s="3"/>
      <c r="H145" s="3"/>
      <c r="I145" s="3"/>
      <c r="J145" s="3"/>
      <c r="K145" s="3"/>
      <c r="L145" s="3"/>
      <c r="M145" s="3"/>
      <c r="N145" s="3"/>
      <c r="O145" s="3"/>
      <c r="P145" s="3"/>
      <c r="Q145" s="3"/>
      <c r="R145" s="3"/>
      <c r="S145" s="3"/>
      <c r="T145" s="3"/>
    </row>
    <row r="146" ht="15.75" customHeight="1">
      <c r="A146" s="34"/>
      <c r="B146" s="3"/>
      <c r="C146" s="3"/>
      <c r="D146" s="3"/>
      <c r="E146" s="3"/>
      <c r="F146" s="3"/>
      <c r="G146" s="3"/>
      <c r="H146" s="3"/>
      <c r="I146" s="3"/>
      <c r="J146" s="3"/>
      <c r="K146" s="3"/>
      <c r="L146" s="3"/>
      <c r="M146" s="3"/>
      <c r="N146" s="3"/>
      <c r="O146" s="3"/>
      <c r="P146" s="3"/>
      <c r="Q146" s="3"/>
      <c r="R146" s="3"/>
      <c r="S146" s="3"/>
      <c r="T146" s="3"/>
    </row>
    <row r="147" ht="15.75" customHeight="1">
      <c r="A147" s="34"/>
      <c r="B147" s="3"/>
      <c r="C147" s="3"/>
      <c r="D147" s="3"/>
      <c r="E147" s="3"/>
      <c r="F147" s="3"/>
      <c r="G147" s="3"/>
      <c r="H147" s="3"/>
      <c r="I147" s="3"/>
      <c r="J147" s="3"/>
      <c r="K147" s="3"/>
      <c r="L147" s="3"/>
      <c r="M147" s="3"/>
      <c r="N147" s="3"/>
      <c r="O147" s="3"/>
      <c r="P147" s="3"/>
      <c r="Q147" s="3"/>
      <c r="R147" s="3"/>
      <c r="S147" s="3"/>
      <c r="T147" s="3"/>
    </row>
    <row r="148" ht="15.75" customHeight="1">
      <c r="A148" s="34"/>
      <c r="B148" s="3"/>
      <c r="C148" s="3"/>
      <c r="D148" s="3"/>
      <c r="E148" s="3"/>
      <c r="F148" s="3"/>
      <c r="G148" s="3"/>
      <c r="H148" s="3"/>
      <c r="I148" s="3"/>
      <c r="J148" s="3"/>
      <c r="K148" s="3"/>
      <c r="L148" s="3"/>
      <c r="M148" s="3"/>
      <c r="N148" s="3"/>
      <c r="O148" s="3"/>
      <c r="P148" s="3"/>
      <c r="Q148" s="3"/>
      <c r="R148" s="3"/>
      <c r="S148" s="3"/>
      <c r="T148" s="3"/>
    </row>
    <row r="149" ht="15.75" customHeight="1">
      <c r="A149" s="34"/>
      <c r="B149" s="3"/>
      <c r="C149" s="3"/>
      <c r="D149" s="3"/>
      <c r="E149" s="3"/>
      <c r="F149" s="3"/>
      <c r="G149" s="3"/>
      <c r="H149" s="3"/>
      <c r="I149" s="3"/>
      <c r="J149" s="3"/>
      <c r="K149" s="3"/>
      <c r="L149" s="3"/>
      <c r="M149" s="3"/>
      <c r="N149" s="3"/>
      <c r="O149" s="3"/>
      <c r="P149" s="3"/>
      <c r="Q149" s="3"/>
      <c r="R149" s="3"/>
      <c r="S149" s="3"/>
      <c r="T149" s="3"/>
    </row>
    <row r="150" ht="15.75" customHeight="1">
      <c r="A150" s="34"/>
      <c r="B150" s="3"/>
      <c r="C150" s="3"/>
      <c r="D150" s="3"/>
      <c r="E150" s="3"/>
      <c r="F150" s="3"/>
      <c r="G150" s="3"/>
      <c r="H150" s="3"/>
      <c r="I150" s="3"/>
      <c r="J150" s="3"/>
      <c r="K150" s="3"/>
      <c r="L150" s="3"/>
      <c r="M150" s="3"/>
      <c r="N150" s="3"/>
      <c r="O150" s="3"/>
      <c r="P150" s="3"/>
      <c r="Q150" s="3"/>
      <c r="R150" s="3"/>
      <c r="S150" s="3"/>
      <c r="T150" s="3"/>
    </row>
    <row r="151" ht="15.75" customHeight="1">
      <c r="A151" s="34"/>
      <c r="B151" s="3"/>
      <c r="C151" s="3"/>
      <c r="D151" s="3"/>
      <c r="E151" s="3"/>
      <c r="F151" s="3"/>
      <c r="G151" s="3"/>
      <c r="H151" s="3"/>
      <c r="I151" s="3"/>
      <c r="J151" s="3"/>
      <c r="K151" s="3"/>
      <c r="L151" s="3"/>
      <c r="M151" s="3"/>
      <c r="N151" s="3"/>
      <c r="O151" s="3"/>
      <c r="P151" s="3"/>
      <c r="Q151" s="3"/>
      <c r="R151" s="3"/>
      <c r="S151" s="3"/>
      <c r="T151" s="3"/>
    </row>
    <row r="152" ht="15.75" customHeight="1">
      <c r="A152" s="34"/>
      <c r="B152" s="3"/>
      <c r="C152" s="3"/>
      <c r="D152" s="3"/>
      <c r="E152" s="3"/>
      <c r="F152" s="3"/>
      <c r="G152" s="3"/>
      <c r="H152" s="3"/>
      <c r="I152" s="3"/>
      <c r="J152" s="3"/>
      <c r="K152" s="3"/>
      <c r="L152" s="3"/>
      <c r="M152" s="3"/>
      <c r="N152" s="3"/>
      <c r="O152" s="3"/>
      <c r="P152" s="3"/>
      <c r="Q152" s="3"/>
      <c r="R152" s="3"/>
      <c r="S152" s="3"/>
      <c r="T152" s="3"/>
    </row>
    <row r="153" ht="15.75" customHeight="1">
      <c r="A153" s="34"/>
      <c r="B153" s="3"/>
      <c r="C153" s="3"/>
      <c r="D153" s="3"/>
      <c r="E153" s="3"/>
      <c r="F153" s="3"/>
      <c r="G153" s="3"/>
      <c r="H153" s="3"/>
      <c r="I153" s="3"/>
      <c r="J153" s="3"/>
      <c r="K153" s="3"/>
      <c r="L153" s="3"/>
      <c r="M153" s="3"/>
      <c r="N153" s="3"/>
      <c r="O153" s="3"/>
      <c r="P153" s="3"/>
      <c r="Q153" s="3"/>
      <c r="R153" s="3"/>
      <c r="S153" s="3"/>
      <c r="T153" s="3"/>
    </row>
    <row r="154" ht="15.75" customHeight="1">
      <c r="A154" s="34"/>
      <c r="B154" s="3"/>
      <c r="C154" s="3"/>
      <c r="D154" s="3"/>
      <c r="E154" s="3"/>
      <c r="F154" s="3"/>
      <c r="G154" s="3"/>
      <c r="H154" s="3"/>
      <c r="I154" s="3"/>
      <c r="J154" s="3"/>
      <c r="K154" s="3"/>
      <c r="L154" s="3"/>
      <c r="M154" s="3"/>
      <c r="N154" s="3"/>
      <c r="O154" s="3"/>
      <c r="P154" s="3"/>
      <c r="Q154" s="3"/>
      <c r="R154" s="3"/>
      <c r="S154" s="3"/>
      <c r="T154" s="3"/>
    </row>
    <row r="155" ht="15.75" customHeight="1">
      <c r="A155" s="34"/>
      <c r="B155" s="3"/>
      <c r="C155" s="3"/>
      <c r="D155" s="3"/>
      <c r="E155" s="3"/>
      <c r="F155" s="3"/>
      <c r="G155" s="3"/>
      <c r="H155" s="3"/>
      <c r="I155" s="3"/>
      <c r="J155" s="3"/>
      <c r="K155" s="3"/>
      <c r="L155" s="3"/>
      <c r="M155" s="3"/>
      <c r="N155" s="3"/>
      <c r="O155" s="3"/>
      <c r="P155" s="3"/>
      <c r="Q155" s="3"/>
      <c r="R155" s="3"/>
      <c r="S155" s="3"/>
      <c r="T155" s="3"/>
    </row>
    <row r="156" ht="15.75" customHeight="1">
      <c r="A156" s="34"/>
      <c r="B156" s="3"/>
      <c r="C156" s="3"/>
      <c r="D156" s="3"/>
      <c r="E156" s="3"/>
      <c r="F156" s="3"/>
      <c r="G156" s="3"/>
      <c r="H156" s="3"/>
      <c r="I156" s="3"/>
      <c r="J156" s="3"/>
      <c r="K156" s="3"/>
      <c r="L156" s="3"/>
      <c r="M156" s="3"/>
      <c r="N156" s="3"/>
      <c r="O156" s="3"/>
      <c r="P156" s="3"/>
      <c r="Q156" s="3"/>
      <c r="R156" s="3"/>
      <c r="S156" s="3"/>
      <c r="T156" s="3"/>
    </row>
    <row r="157" ht="15.75" customHeight="1">
      <c r="A157" s="34"/>
      <c r="B157" s="3"/>
      <c r="C157" s="3"/>
      <c r="D157" s="3"/>
      <c r="E157" s="3"/>
      <c r="F157" s="3"/>
      <c r="G157" s="3"/>
      <c r="H157" s="3"/>
      <c r="I157" s="3"/>
      <c r="J157" s="3"/>
      <c r="K157" s="3"/>
      <c r="L157" s="3"/>
      <c r="M157" s="3"/>
      <c r="N157" s="3"/>
      <c r="O157" s="3"/>
      <c r="P157" s="3"/>
      <c r="Q157" s="3"/>
      <c r="R157" s="3"/>
      <c r="S157" s="3"/>
      <c r="T157" s="3"/>
    </row>
    <row r="158" ht="15.75" customHeight="1">
      <c r="A158" s="34"/>
      <c r="B158" s="3"/>
      <c r="C158" s="3"/>
      <c r="D158" s="3"/>
      <c r="E158" s="3"/>
      <c r="F158" s="3"/>
      <c r="G158" s="3"/>
      <c r="H158" s="3"/>
      <c r="I158" s="3"/>
      <c r="J158" s="3"/>
      <c r="K158" s="3"/>
      <c r="L158" s="3"/>
      <c r="M158" s="3"/>
      <c r="N158" s="3"/>
      <c r="O158" s="3"/>
      <c r="P158" s="3"/>
      <c r="Q158" s="3"/>
      <c r="R158" s="3"/>
      <c r="S158" s="3"/>
      <c r="T158" s="3"/>
    </row>
    <row r="159" ht="15.75" customHeight="1">
      <c r="A159" s="34"/>
      <c r="B159" s="3"/>
      <c r="C159" s="3"/>
      <c r="D159" s="3"/>
      <c r="E159" s="3"/>
      <c r="F159" s="3"/>
      <c r="G159" s="3"/>
      <c r="H159" s="3"/>
      <c r="I159" s="3"/>
      <c r="J159" s="3"/>
      <c r="K159" s="3"/>
      <c r="L159" s="3"/>
      <c r="M159" s="3"/>
      <c r="N159" s="3"/>
      <c r="O159" s="3"/>
      <c r="P159" s="3"/>
      <c r="Q159" s="3"/>
      <c r="R159" s="3"/>
      <c r="S159" s="3"/>
      <c r="T159" s="3"/>
    </row>
    <row r="160" ht="15.75" customHeight="1">
      <c r="A160" s="34"/>
      <c r="B160" s="3"/>
      <c r="C160" s="3"/>
      <c r="D160" s="3"/>
      <c r="E160" s="3"/>
      <c r="F160" s="3"/>
      <c r="G160" s="3"/>
      <c r="H160" s="3"/>
      <c r="I160" s="3"/>
      <c r="J160" s="3"/>
      <c r="K160" s="3"/>
      <c r="L160" s="3"/>
      <c r="M160" s="3"/>
      <c r="N160" s="3"/>
      <c r="O160" s="3"/>
      <c r="P160" s="3"/>
      <c r="Q160" s="3"/>
      <c r="R160" s="3"/>
      <c r="S160" s="3"/>
      <c r="T160" s="3"/>
    </row>
    <row r="161" ht="15.75" customHeight="1">
      <c r="A161" s="34"/>
      <c r="B161" s="3"/>
      <c r="C161" s="3"/>
      <c r="D161" s="3"/>
      <c r="E161" s="3"/>
      <c r="F161" s="3"/>
      <c r="G161" s="3"/>
      <c r="H161" s="3"/>
      <c r="I161" s="3"/>
      <c r="J161" s="3"/>
      <c r="K161" s="3"/>
      <c r="L161" s="3"/>
      <c r="M161" s="3"/>
      <c r="N161" s="3"/>
      <c r="O161" s="3"/>
      <c r="P161" s="3"/>
      <c r="Q161" s="3"/>
      <c r="R161" s="3"/>
      <c r="S161" s="3"/>
      <c r="T161" s="3"/>
    </row>
    <row r="162" ht="15.75" customHeight="1">
      <c r="A162" s="34"/>
      <c r="B162" s="3"/>
      <c r="C162" s="3"/>
      <c r="D162" s="3"/>
      <c r="E162" s="3"/>
      <c r="F162" s="3"/>
      <c r="G162" s="3"/>
      <c r="H162" s="3"/>
      <c r="I162" s="3"/>
      <c r="J162" s="3"/>
      <c r="K162" s="3"/>
      <c r="L162" s="3"/>
      <c r="M162" s="3"/>
      <c r="N162" s="3"/>
      <c r="O162" s="3"/>
      <c r="P162" s="3"/>
      <c r="Q162" s="3"/>
      <c r="R162" s="3"/>
      <c r="S162" s="3"/>
      <c r="T162" s="3"/>
    </row>
    <row r="163" ht="15.75" customHeight="1">
      <c r="A163" s="34"/>
      <c r="B163" s="3"/>
      <c r="C163" s="3"/>
      <c r="D163" s="3"/>
      <c r="E163" s="3"/>
      <c r="F163" s="3"/>
      <c r="G163" s="3"/>
      <c r="H163" s="3"/>
      <c r="I163" s="3"/>
      <c r="J163" s="3"/>
      <c r="K163" s="3"/>
      <c r="L163" s="3"/>
      <c r="M163" s="3"/>
      <c r="N163" s="3"/>
      <c r="O163" s="3"/>
      <c r="P163" s="3"/>
      <c r="Q163" s="3"/>
      <c r="R163" s="3"/>
      <c r="S163" s="3"/>
      <c r="T163" s="3"/>
    </row>
    <row r="164" ht="15.75" customHeight="1">
      <c r="A164" s="34"/>
      <c r="B164" s="3"/>
      <c r="C164" s="3"/>
      <c r="D164" s="3"/>
      <c r="E164" s="3"/>
      <c r="F164" s="3"/>
      <c r="G164" s="3"/>
      <c r="H164" s="3"/>
      <c r="I164" s="3"/>
      <c r="J164" s="3"/>
      <c r="K164" s="3"/>
      <c r="L164" s="3"/>
      <c r="M164" s="3"/>
      <c r="N164" s="3"/>
      <c r="O164" s="3"/>
      <c r="P164" s="3"/>
      <c r="Q164" s="3"/>
      <c r="R164" s="3"/>
      <c r="S164" s="3"/>
      <c r="T164" s="3"/>
    </row>
    <row r="165" ht="15.75" customHeight="1">
      <c r="A165" s="34"/>
      <c r="B165" s="3"/>
      <c r="C165" s="3"/>
      <c r="D165" s="3"/>
      <c r="E165" s="3"/>
      <c r="F165" s="3"/>
      <c r="G165" s="3"/>
      <c r="H165" s="3"/>
      <c r="I165" s="3"/>
      <c r="J165" s="3"/>
      <c r="K165" s="3"/>
      <c r="L165" s="3"/>
      <c r="M165" s="3"/>
      <c r="N165" s="3"/>
      <c r="O165" s="3"/>
      <c r="P165" s="3"/>
      <c r="Q165" s="3"/>
      <c r="R165" s="3"/>
      <c r="S165" s="3"/>
      <c r="T165" s="3"/>
    </row>
    <row r="166" ht="15.75" customHeight="1">
      <c r="A166" s="34"/>
      <c r="B166" s="3"/>
      <c r="C166" s="3"/>
      <c r="D166" s="3"/>
      <c r="E166" s="3"/>
      <c r="F166" s="3"/>
      <c r="G166" s="3"/>
      <c r="H166" s="3"/>
      <c r="I166" s="3"/>
      <c r="J166" s="3"/>
      <c r="K166" s="3"/>
      <c r="L166" s="3"/>
      <c r="M166" s="3"/>
      <c r="N166" s="3"/>
      <c r="O166" s="3"/>
      <c r="P166" s="3"/>
      <c r="Q166" s="3"/>
      <c r="R166" s="3"/>
      <c r="S166" s="3"/>
      <c r="T166" s="3"/>
    </row>
    <row r="167" ht="15.75" customHeight="1">
      <c r="A167" s="34"/>
      <c r="B167" s="3"/>
      <c r="C167" s="3"/>
      <c r="D167" s="3"/>
      <c r="E167" s="3"/>
      <c r="F167" s="3"/>
      <c r="G167" s="3"/>
      <c r="H167" s="3"/>
      <c r="I167" s="3"/>
      <c r="J167" s="3"/>
      <c r="K167" s="3"/>
      <c r="L167" s="3"/>
      <c r="M167" s="3"/>
      <c r="N167" s="3"/>
      <c r="O167" s="3"/>
      <c r="P167" s="3"/>
      <c r="Q167" s="3"/>
      <c r="R167" s="3"/>
      <c r="S167" s="3"/>
      <c r="T167" s="3"/>
    </row>
    <row r="168" ht="15.75" customHeight="1">
      <c r="A168" s="34"/>
      <c r="B168" s="3"/>
      <c r="C168" s="3"/>
      <c r="D168" s="3"/>
      <c r="E168" s="3"/>
      <c r="F168" s="3"/>
      <c r="G168" s="3"/>
      <c r="H168" s="3"/>
      <c r="I168" s="3"/>
      <c r="J168" s="3"/>
      <c r="K168" s="3"/>
      <c r="L168" s="3"/>
      <c r="M168" s="3"/>
      <c r="N168" s="3"/>
      <c r="O168" s="3"/>
      <c r="P168" s="3"/>
      <c r="Q168" s="3"/>
      <c r="R168" s="3"/>
      <c r="S168" s="3"/>
      <c r="T168" s="3"/>
    </row>
    <row r="169" ht="15.75" customHeight="1">
      <c r="A169" s="34"/>
      <c r="B169" s="3"/>
      <c r="C169" s="3"/>
      <c r="D169" s="3"/>
      <c r="E169" s="3"/>
      <c r="F169" s="3"/>
      <c r="G169" s="3"/>
      <c r="H169" s="3"/>
      <c r="I169" s="3"/>
      <c r="J169" s="3"/>
      <c r="K169" s="3"/>
      <c r="L169" s="3"/>
      <c r="M169" s="3"/>
      <c r="N169" s="3"/>
      <c r="O169" s="3"/>
      <c r="P169" s="3"/>
      <c r="Q169" s="3"/>
      <c r="R169" s="3"/>
      <c r="S169" s="3"/>
      <c r="T169" s="3"/>
    </row>
    <row r="170" ht="15.75" customHeight="1">
      <c r="A170" s="34"/>
      <c r="B170" s="3"/>
      <c r="C170" s="3"/>
      <c r="D170" s="3"/>
      <c r="E170" s="3"/>
      <c r="F170" s="3"/>
      <c r="G170" s="3"/>
      <c r="H170" s="3"/>
      <c r="I170" s="3"/>
      <c r="J170" s="3"/>
      <c r="K170" s="3"/>
      <c r="L170" s="3"/>
      <c r="M170" s="3"/>
      <c r="N170" s="3"/>
      <c r="O170" s="3"/>
      <c r="P170" s="3"/>
      <c r="Q170" s="3"/>
      <c r="R170" s="3"/>
      <c r="S170" s="3"/>
      <c r="T170" s="3"/>
    </row>
    <row r="171" ht="15.75" customHeight="1">
      <c r="A171" s="34"/>
      <c r="B171" s="3"/>
      <c r="C171" s="3"/>
      <c r="D171" s="3"/>
      <c r="E171" s="3"/>
      <c r="F171" s="3"/>
      <c r="G171" s="3"/>
      <c r="H171" s="3"/>
      <c r="I171" s="3"/>
      <c r="J171" s="3"/>
      <c r="K171" s="3"/>
      <c r="L171" s="3"/>
      <c r="M171" s="3"/>
      <c r="N171" s="3"/>
      <c r="O171" s="3"/>
      <c r="P171" s="3"/>
      <c r="Q171" s="3"/>
      <c r="R171" s="3"/>
      <c r="S171" s="3"/>
      <c r="T171" s="3"/>
    </row>
    <row r="172" ht="15.75" customHeight="1">
      <c r="A172" s="34"/>
      <c r="B172" s="3"/>
      <c r="C172" s="3"/>
      <c r="D172" s="3"/>
      <c r="E172" s="3"/>
      <c r="F172" s="3"/>
      <c r="G172" s="3"/>
      <c r="H172" s="3"/>
      <c r="I172" s="3"/>
      <c r="J172" s="3"/>
      <c r="K172" s="3"/>
      <c r="L172" s="3"/>
      <c r="M172" s="3"/>
      <c r="N172" s="3"/>
      <c r="O172" s="3"/>
      <c r="P172" s="3"/>
      <c r="Q172" s="3"/>
      <c r="R172" s="3"/>
      <c r="S172" s="3"/>
      <c r="T172" s="3"/>
    </row>
    <row r="173" ht="15.75" customHeight="1">
      <c r="A173" s="34"/>
      <c r="B173" s="3"/>
      <c r="C173" s="3"/>
      <c r="D173" s="3"/>
      <c r="E173" s="3"/>
      <c r="F173" s="3"/>
      <c r="G173" s="3"/>
      <c r="H173" s="3"/>
      <c r="I173" s="3"/>
      <c r="J173" s="3"/>
      <c r="K173" s="3"/>
      <c r="L173" s="3"/>
      <c r="M173" s="3"/>
      <c r="N173" s="3"/>
      <c r="O173" s="3"/>
      <c r="P173" s="3"/>
      <c r="Q173" s="3"/>
      <c r="R173" s="3"/>
      <c r="S173" s="3"/>
      <c r="T173" s="3"/>
    </row>
    <row r="174" ht="15.75" customHeight="1">
      <c r="A174" s="34"/>
      <c r="B174" s="3"/>
      <c r="C174" s="3"/>
      <c r="D174" s="3"/>
      <c r="E174" s="3"/>
      <c r="F174" s="3"/>
      <c r="G174" s="3"/>
      <c r="H174" s="3"/>
      <c r="I174" s="3"/>
      <c r="J174" s="3"/>
      <c r="K174" s="3"/>
      <c r="L174" s="3"/>
      <c r="M174" s="3"/>
      <c r="N174" s="3"/>
      <c r="O174" s="3"/>
      <c r="P174" s="3"/>
      <c r="Q174" s="3"/>
      <c r="R174" s="3"/>
      <c r="S174" s="3"/>
      <c r="T174" s="3"/>
    </row>
    <row r="175" ht="15.75" customHeight="1">
      <c r="A175" s="34"/>
      <c r="B175" s="3"/>
      <c r="C175" s="3"/>
      <c r="D175" s="3"/>
      <c r="E175" s="3"/>
      <c r="F175" s="3"/>
      <c r="G175" s="3"/>
      <c r="H175" s="3"/>
      <c r="I175" s="3"/>
      <c r="J175" s="3"/>
      <c r="K175" s="3"/>
      <c r="L175" s="3"/>
      <c r="M175" s="3"/>
      <c r="N175" s="3"/>
      <c r="O175" s="3"/>
      <c r="P175" s="3"/>
      <c r="Q175" s="3"/>
      <c r="R175" s="3"/>
      <c r="S175" s="3"/>
      <c r="T175" s="3"/>
    </row>
    <row r="176" ht="15.75" customHeight="1">
      <c r="A176" s="34"/>
      <c r="B176" s="3"/>
      <c r="C176" s="3"/>
      <c r="D176" s="3"/>
      <c r="E176" s="3"/>
      <c r="F176" s="3"/>
      <c r="G176" s="3"/>
      <c r="H176" s="3"/>
      <c r="I176" s="3"/>
      <c r="J176" s="3"/>
      <c r="K176" s="3"/>
      <c r="L176" s="3"/>
      <c r="M176" s="3"/>
      <c r="N176" s="3"/>
      <c r="O176" s="3"/>
      <c r="P176" s="3"/>
      <c r="Q176" s="3"/>
      <c r="R176" s="3"/>
      <c r="S176" s="3"/>
      <c r="T176" s="3"/>
    </row>
    <row r="177" ht="15.75" customHeight="1">
      <c r="A177" s="34"/>
      <c r="B177" s="3"/>
      <c r="C177" s="3"/>
      <c r="D177" s="3"/>
      <c r="E177" s="3"/>
      <c r="F177" s="3"/>
      <c r="G177" s="3"/>
      <c r="H177" s="3"/>
      <c r="I177" s="3"/>
      <c r="J177" s="3"/>
      <c r="K177" s="3"/>
      <c r="L177" s="3"/>
      <c r="M177" s="3"/>
      <c r="N177" s="3"/>
      <c r="O177" s="3"/>
      <c r="P177" s="3"/>
      <c r="Q177" s="3"/>
      <c r="R177" s="3"/>
      <c r="S177" s="3"/>
      <c r="T177" s="3"/>
    </row>
    <row r="178" ht="15.75" customHeight="1">
      <c r="A178" s="34"/>
      <c r="B178" s="3"/>
      <c r="C178" s="3"/>
      <c r="D178" s="3"/>
      <c r="E178" s="3"/>
      <c r="F178" s="3"/>
      <c r="G178" s="3"/>
      <c r="H178" s="3"/>
      <c r="I178" s="3"/>
      <c r="J178" s="3"/>
      <c r="K178" s="3"/>
      <c r="L178" s="3"/>
      <c r="M178" s="3"/>
      <c r="N178" s="3"/>
      <c r="O178" s="3"/>
      <c r="P178" s="3"/>
      <c r="Q178" s="3"/>
      <c r="R178" s="3"/>
      <c r="S178" s="3"/>
      <c r="T178" s="3"/>
    </row>
    <row r="179" ht="15.75" customHeight="1">
      <c r="A179" s="34"/>
      <c r="B179" s="3"/>
      <c r="C179" s="3"/>
      <c r="D179" s="3"/>
      <c r="E179" s="3"/>
      <c r="F179" s="3"/>
      <c r="G179" s="3"/>
      <c r="H179" s="3"/>
      <c r="I179" s="3"/>
      <c r="J179" s="3"/>
      <c r="K179" s="3"/>
      <c r="L179" s="3"/>
      <c r="M179" s="3"/>
      <c r="N179" s="3"/>
      <c r="O179" s="3"/>
      <c r="P179" s="3"/>
      <c r="Q179" s="3"/>
      <c r="R179" s="3"/>
      <c r="S179" s="3"/>
      <c r="T179" s="3"/>
    </row>
    <row r="180" ht="15.75" customHeight="1">
      <c r="A180" s="34"/>
      <c r="B180" s="3"/>
      <c r="C180" s="3"/>
      <c r="D180" s="3"/>
      <c r="E180" s="3"/>
      <c r="F180" s="3"/>
      <c r="G180" s="3"/>
      <c r="H180" s="3"/>
      <c r="I180" s="3"/>
      <c r="J180" s="3"/>
      <c r="K180" s="3"/>
      <c r="L180" s="3"/>
      <c r="M180" s="3"/>
      <c r="N180" s="3"/>
      <c r="O180" s="3"/>
      <c r="P180" s="3"/>
      <c r="Q180" s="3"/>
      <c r="R180" s="3"/>
      <c r="S180" s="3"/>
      <c r="T180" s="3"/>
    </row>
    <row r="181" ht="15.75" customHeight="1">
      <c r="A181" s="34"/>
      <c r="B181" s="3"/>
      <c r="C181" s="3"/>
      <c r="D181" s="3"/>
      <c r="E181" s="3"/>
      <c r="F181" s="3"/>
      <c r="G181" s="3"/>
      <c r="H181" s="3"/>
      <c r="I181" s="3"/>
      <c r="J181" s="3"/>
      <c r="K181" s="3"/>
      <c r="L181" s="3"/>
      <c r="M181" s="3"/>
      <c r="N181" s="3"/>
      <c r="O181" s="3"/>
      <c r="P181" s="3"/>
      <c r="Q181" s="3"/>
      <c r="R181" s="3"/>
      <c r="S181" s="3"/>
      <c r="T181" s="3"/>
    </row>
    <row r="182" ht="15.75" customHeight="1">
      <c r="A182" s="34"/>
      <c r="B182" s="3"/>
      <c r="C182" s="3"/>
      <c r="D182" s="3"/>
      <c r="E182" s="3"/>
      <c r="F182" s="3"/>
      <c r="G182" s="3"/>
      <c r="H182" s="3"/>
      <c r="I182" s="3"/>
      <c r="J182" s="3"/>
      <c r="K182" s="3"/>
      <c r="L182" s="3"/>
      <c r="M182" s="3"/>
      <c r="N182" s="3"/>
      <c r="O182" s="3"/>
      <c r="P182" s="3"/>
      <c r="Q182" s="3"/>
      <c r="R182" s="3"/>
      <c r="S182" s="3"/>
      <c r="T182" s="3"/>
    </row>
    <row r="183" ht="15.75" customHeight="1">
      <c r="A183" s="34"/>
      <c r="B183" s="3"/>
      <c r="C183" s="3"/>
      <c r="D183" s="3"/>
      <c r="E183" s="3"/>
      <c r="F183" s="3"/>
      <c r="G183" s="3"/>
      <c r="H183" s="3"/>
      <c r="I183" s="3"/>
      <c r="J183" s="3"/>
      <c r="K183" s="3"/>
      <c r="L183" s="3"/>
      <c r="M183" s="3"/>
      <c r="N183" s="3"/>
      <c r="O183" s="3"/>
      <c r="P183" s="3"/>
      <c r="Q183" s="3"/>
      <c r="R183" s="3"/>
      <c r="S183" s="3"/>
      <c r="T183" s="3"/>
    </row>
    <row r="184" ht="15.75" customHeight="1">
      <c r="A184" s="34"/>
      <c r="B184" s="3"/>
      <c r="C184" s="3"/>
      <c r="D184" s="3"/>
      <c r="E184" s="3"/>
      <c r="F184" s="3"/>
      <c r="G184" s="3"/>
      <c r="H184" s="3"/>
      <c r="I184" s="3"/>
      <c r="J184" s="3"/>
      <c r="K184" s="3"/>
      <c r="L184" s="3"/>
      <c r="M184" s="3"/>
      <c r="N184" s="3"/>
      <c r="O184" s="3"/>
      <c r="P184" s="3"/>
      <c r="Q184" s="3"/>
      <c r="R184" s="3"/>
      <c r="S184" s="3"/>
      <c r="T184" s="3"/>
    </row>
    <row r="185" ht="15.75" customHeight="1">
      <c r="A185" s="34"/>
      <c r="B185" s="3"/>
      <c r="C185" s="3"/>
      <c r="D185" s="3"/>
      <c r="E185" s="3"/>
      <c r="F185" s="3"/>
      <c r="G185" s="3"/>
      <c r="H185" s="3"/>
      <c r="I185" s="3"/>
      <c r="J185" s="3"/>
      <c r="K185" s="3"/>
      <c r="L185" s="3"/>
      <c r="M185" s="3"/>
      <c r="N185" s="3"/>
      <c r="O185" s="3"/>
      <c r="P185" s="3"/>
      <c r="Q185" s="3"/>
      <c r="R185" s="3"/>
      <c r="S185" s="3"/>
      <c r="T185" s="3"/>
    </row>
    <row r="186" ht="15.75" customHeight="1">
      <c r="A186" s="34"/>
      <c r="B186" s="3"/>
      <c r="C186" s="3"/>
      <c r="D186" s="3"/>
      <c r="E186" s="3"/>
      <c r="F186" s="3"/>
      <c r="G186" s="3"/>
      <c r="H186" s="3"/>
      <c r="I186" s="3"/>
      <c r="J186" s="3"/>
      <c r="K186" s="3"/>
      <c r="L186" s="3"/>
      <c r="M186" s="3"/>
      <c r="N186" s="3"/>
      <c r="O186" s="3"/>
      <c r="P186" s="3"/>
      <c r="Q186" s="3"/>
      <c r="R186" s="3"/>
      <c r="S186" s="3"/>
      <c r="T186" s="3"/>
    </row>
    <row r="187" ht="15.75" customHeight="1">
      <c r="A187" s="34"/>
      <c r="B187" s="3"/>
      <c r="C187" s="3"/>
      <c r="D187" s="3"/>
      <c r="E187" s="3"/>
      <c r="F187" s="3"/>
      <c r="G187" s="3"/>
      <c r="H187" s="3"/>
      <c r="I187" s="3"/>
      <c r="J187" s="3"/>
      <c r="K187" s="3"/>
      <c r="L187" s="3"/>
      <c r="M187" s="3"/>
      <c r="N187" s="3"/>
      <c r="O187" s="3"/>
      <c r="P187" s="3"/>
      <c r="Q187" s="3"/>
      <c r="R187" s="3"/>
      <c r="S187" s="3"/>
      <c r="T187" s="3"/>
    </row>
    <row r="188" ht="15.75" customHeight="1">
      <c r="A188" s="34"/>
      <c r="B188" s="3"/>
      <c r="C188" s="3"/>
      <c r="D188" s="3"/>
      <c r="E188" s="3"/>
      <c r="F188" s="3"/>
      <c r="G188" s="3"/>
      <c r="H188" s="3"/>
      <c r="I188" s="3"/>
      <c r="J188" s="3"/>
      <c r="K188" s="3"/>
      <c r="L188" s="3"/>
      <c r="M188" s="3"/>
      <c r="N188" s="3"/>
      <c r="O188" s="3"/>
      <c r="P188" s="3"/>
      <c r="Q188" s="3"/>
      <c r="R188" s="3"/>
      <c r="S188" s="3"/>
      <c r="T188" s="3"/>
    </row>
    <row r="189" ht="15.75" customHeight="1">
      <c r="A189" s="34"/>
      <c r="B189" s="3"/>
      <c r="C189" s="3"/>
      <c r="D189" s="3"/>
      <c r="E189" s="3"/>
      <c r="F189" s="3"/>
      <c r="G189" s="3"/>
      <c r="H189" s="3"/>
      <c r="I189" s="3"/>
      <c r="J189" s="3"/>
      <c r="K189" s="3"/>
      <c r="L189" s="3"/>
      <c r="M189" s="3"/>
      <c r="N189" s="3"/>
      <c r="O189" s="3"/>
      <c r="P189" s="3"/>
      <c r="Q189" s="3"/>
      <c r="R189" s="3"/>
      <c r="S189" s="3"/>
      <c r="T189" s="3"/>
    </row>
    <row r="190" ht="15.75" customHeight="1">
      <c r="A190" s="34"/>
      <c r="B190" s="3"/>
      <c r="C190" s="3"/>
      <c r="D190" s="3"/>
      <c r="E190" s="3"/>
      <c r="F190" s="3"/>
      <c r="G190" s="3"/>
      <c r="H190" s="3"/>
      <c r="I190" s="3"/>
      <c r="J190" s="3"/>
      <c r="K190" s="3"/>
      <c r="L190" s="3"/>
      <c r="M190" s="3"/>
      <c r="N190" s="3"/>
      <c r="O190" s="3"/>
      <c r="P190" s="3"/>
      <c r="Q190" s="3"/>
      <c r="R190" s="3"/>
      <c r="S190" s="3"/>
      <c r="T190" s="3"/>
    </row>
    <row r="191" ht="15.75" customHeight="1">
      <c r="A191" s="34"/>
      <c r="B191" s="3"/>
      <c r="C191" s="3"/>
      <c r="D191" s="3"/>
      <c r="E191" s="3"/>
      <c r="F191" s="3"/>
      <c r="G191" s="3"/>
      <c r="H191" s="3"/>
      <c r="I191" s="3"/>
      <c r="J191" s="3"/>
      <c r="K191" s="3"/>
      <c r="L191" s="3"/>
      <c r="M191" s="3"/>
      <c r="N191" s="3"/>
      <c r="O191" s="3"/>
      <c r="P191" s="3"/>
      <c r="Q191" s="3"/>
      <c r="R191" s="3"/>
      <c r="S191" s="3"/>
      <c r="T191" s="3"/>
    </row>
    <row r="192" ht="15.75" customHeight="1">
      <c r="A192" s="34"/>
      <c r="B192" s="3"/>
      <c r="C192" s="3"/>
      <c r="D192" s="3"/>
      <c r="E192" s="3"/>
      <c r="F192" s="3"/>
      <c r="G192" s="3"/>
      <c r="H192" s="3"/>
      <c r="I192" s="3"/>
      <c r="J192" s="3"/>
      <c r="K192" s="3"/>
      <c r="L192" s="3"/>
      <c r="M192" s="3"/>
      <c r="N192" s="3"/>
      <c r="O192" s="3"/>
      <c r="P192" s="3"/>
      <c r="Q192" s="3"/>
      <c r="R192" s="3"/>
      <c r="S192" s="3"/>
      <c r="T192" s="3"/>
    </row>
    <row r="193" ht="15.75" customHeight="1">
      <c r="A193" s="34"/>
      <c r="B193" s="3"/>
      <c r="C193" s="3"/>
      <c r="D193" s="3"/>
      <c r="E193" s="3"/>
      <c r="F193" s="3"/>
      <c r="G193" s="3"/>
      <c r="H193" s="3"/>
      <c r="I193" s="3"/>
      <c r="J193" s="3"/>
      <c r="K193" s="3"/>
      <c r="L193" s="3"/>
      <c r="M193" s="3"/>
      <c r="N193" s="3"/>
      <c r="O193" s="3"/>
      <c r="P193" s="3"/>
      <c r="Q193" s="3"/>
      <c r="R193" s="3"/>
      <c r="S193" s="3"/>
      <c r="T193" s="3"/>
    </row>
    <row r="194" ht="15.75" customHeight="1">
      <c r="A194" s="34"/>
      <c r="B194" s="3"/>
      <c r="C194" s="3"/>
      <c r="D194" s="3"/>
      <c r="E194" s="3"/>
      <c r="F194" s="3"/>
      <c r="G194" s="3"/>
      <c r="H194" s="3"/>
      <c r="I194" s="3"/>
      <c r="J194" s="3"/>
      <c r="K194" s="3"/>
      <c r="L194" s="3"/>
      <c r="M194" s="3"/>
      <c r="N194" s="3"/>
      <c r="O194" s="3"/>
      <c r="P194" s="3"/>
      <c r="Q194" s="3"/>
      <c r="R194" s="3"/>
      <c r="S194" s="3"/>
      <c r="T194" s="3"/>
    </row>
    <row r="195" ht="15.75" customHeight="1">
      <c r="A195" s="34"/>
      <c r="B195" s="3"/>
      <c r="C195" s="3"/>
      <c r="D195" s="3"/>
      <c r="E195" s="3"/>
      <c r="F195" s="3"/>
      <c r="G195" s="3"/>
      <c r="H195" s="3"/>
      <c r="I195" s="3"/>
      <c r="J195" s="3"/>
      <c r="K195" s="3"/>
      <c r="L195" s="3"/>
      <c r="M195" s="3"/>
      <c r="N195" s="3"/>
      <c r="O195" s="3"/>
      <c r="P195" s="3"/>
      <c r="Q195" s="3"/>
      <c r="R195" s="3"/>
      <c r="S195" s="3"/>
      <c r="T195" s="3"/>
    </row>
    <row r="196" ht="15.75" customHeight="1">
      <c r="A196" s="34"/>
      <c r="B196" s="3"/>
      <c r="C196" s="3"/>
      <c r="D196" s="3"/>
      <c r="E196" s="3"/>
      <c r="F196" s="3"/>
      <c r="G196" s="3"/>
      <c r="H196" s="3"/>
      <c r="I196" s="3"/>
      <c r="J196" s="3"/>
      <c r="K196" s="3"/>
      <c r="L196" s="3"/>
      <c r="M196" s="3"/>
      <c r="N196" s="3"/>
      <c r="O196" s="3"/>
      <c r="P196" s="3"/>
      <c r="Q196" s="3"/>
      <c r="R196" s="3"/>
      <c r="S196" s="3"/>
      <c r="T196" s="3"/>
    </row>
    <row r="197" ht="15.75" customHeight="1">
      <c r="A197" s="34"/>
      <c r="B197" s="3"/>
      <c r="C197" s="3"/>
      <c r="D197" s="3"/>
      <c r="E197" s="3"/>
      <c r="F197" s="3"/>
      <c r="G197" s="3"/>
      <c r="H197" s="3"/>
      <c r="I197" s="3"/>
      <c r="J197" s="3"/>
      <c r="K197" s="3"/>
      <c r="L197" s="3"/>
      <c r="M197" s="3"/>
      <c r="N197" s="3"/>
      <c r="O197" s="3"/>
      <c r="P197" s="3"/>
      <c r="Q197" s="3"/>
      <c r="R197" s="3"/>
      <c r="S197" s="3"/>
      <c r="T197" s="3"/>
    </row>
    <row r="198" ht="15.75" customHeight="1">
      <c r="A198" s="34"/>
      <c r="B198" s="3"/>
      <c r="C198" s="3"/>
      <c r="D198" s="3"/>
      <c r="E198" s="3"/>
      <c r="F198" s="3"/>
      <c r="G198" s="3"/>
      <c r="H198" s="3"/>
      <c r="I198" s="3"/>
      <c r="J198" s="3"/>
      <c r="K198" s="3"/>
      <c r="L198" s="3"/>
      <c r="M198" s="3"/>
      <c r="N198" s="3"/>
      <c r="O198" s="3"/>
      <c r="P198" s="3"/>
      <c r="Q198" s="3"/>
      <c r="R198" s="3"/>
      <c r="S198" s="3"/>
      <c r="T198" s="3"/>
    </row>
    <row r="199" ht="15.75" customHeight="1">
      <c r="A199" s="34"/>
      <c r="B199" s="3"/>
      <c r="C199" s="3"/>
      <c r="D199" s="3"/>
      <c r="E199" s="3"/>
      <c r="F199" s="3"/>
      <c r="G199" s="3"/>
      <c r="H199" s="3"/>
      <c r="I199" s="3"/>
      <c r="J199" s="3"/>
      <c r="K199" s="3"/>
      <c r="L199" s="3"/>
      <c r="M199" s="3"/>
      <c r="N199" s="3"/>
      <c r="O199" s="3"/>
      <c r="P199" s="3"/>
      <c r="Q199" s="3"/>
      <c r="R199" s="3"/>
      <c r="S199" s="3"/>
      <c r="T199" s="3"/>
    </row>
    <row r="200" ht="15.75" customHeight="1">
      <c r="A200" s="34"/>
      <c r="B200" s="3"/>
      <c r="C200" s="3"/>
      <c r="D200" s="3"/>
      <c r="E200" s="3"/>
      <c r="F200" s="3"/>
      <c r="G200" s="3"/>
      <c r="H200" s="3"/>
      <c r="I200" s="3"/>
      <c r="J200" s="3"/>
      <c r="K200" s="3"/>
      <c r="L200" s="3"/>
      <c r="M200" s="3"/>
      <c r="N200" s="3"/>
      <c r="O200" s="3"/>
      <c r="P200" s="3"/>
      <c r="Q200" s="3"/>
      <c r="R200" s="3"/>
      <c r="S200" s="3"/>
      <c r="T200" s="3"/>
    </row>
    <row r="201" ht="15.75" customHeight="1">
      <c r="A201" s="34"/>
      <c r="B201" s="3"/>
      <c r="C201" s="3"/>
      <c r="D201" s="3"/>
      <c r="E201" s="3"/>
      <c r="F201" s="3"/>
      <c r="G201" s="3"/>
      <c r="H201" s="3"/>
      <c r="I201" s="3"/>
      <c r="J201" s="3"/>
      <c r="K201" s="3"/>
      <c r="L201" s="3"/>
      <c r="M201" s="3"/>
      <c r="N201" s="3"/>
      <c r="O201" s="3"/>
      <c r="P201" s="3"/>
      <c r="Q201" s="3"/>
      <c r="R201" s="3"/>
      <c r="S201" s="3"/>
      <c r="T201" s="3"/>
    </row>
    <row r="202" ht="15.75" customHeight="1">
      <c r="A202" s="34"/>
      <c r="B202" s="3"/>
      <c r="C202" s="3"/>
      <c r="D202" s="3"/>
      <c r="E202" s="3"/>
      <c r="F202" s="3"/>
      <c r="G202" s="3"/>
      <c r="H202" s="3"/>
      <c r="I202" s="3"/>
      <c r="J202" s="3"/>
      <c r="K202" s="3"/>
      <c r="L202" s="3"/>
      <c r="M202" s="3"/>
      <c r="N202" s="3"/>
      <c r="O202" s="3"/>
      <c r="P202" s="3"/>
      <c r="Q202" s="3"/>
      <c r="R202" s="3"/>
      <c r="S202" s="3"/>
      <c r="T202" s="3"/>
    </row>
    <row r="203" ht="15.75" customHeight="1">
      <c r="A203" s="34"/>
      <c r="B203" s="3"/>
      <c r="C203" s="3"/>
      <c r="D203" s="3"/>
      <c r="E203" s="3"/>
      <c r="F203" s="3"/>
      <c r="G203" s="3"/>
      <c r="H203" s="3"/>
      <c r="I203" s="3"/>
      <c r="J203" s="3"/>
      <c r="K203" s="3"/>
      <c r="L203" s="3"/>
      <c r="M203" s="3"/>
      <c r="N203" s="3"/>
      <c r="O203" s="3"/>
      <c r="P203" s="3"/>
      <c r="Q203" s="3"/>
      <c r="R203" s="3"/>
      <c r="S203" s="3"/>
      <c r="T203" s="3"/>
    </row>
    <row r="204" ht="15.75" customHeight="1">
      <c r="A204" s="34"/>
      <c r="B204" s="3"/>
      <c r="C204" s="3"/>
      <c r="D204" s="3"/>
      <c r="E204" s="3"/>
      <c r="F204" s="3"/>
      <c r="G204" s="3"/>
      <c r="H204" s="3"/>
      <c r="I204" s="3"/>
      <c r="J204" s="3"/>
      <c r="K204" s="3"/>
      <c r="L204" s="3"/>
      <c r="M204" s="3"/>
      <c r="N204" s="3"/>
      <c r="O204" s="3"/>
      <c r="P204" s="3"/>
      <c r="Q204" s="3"/>
      <c r="R204" s="3"/>
      <c r="S204" s="3"/>
      <c r="T204" s="3"/>
    </row>
    <row r="205" ht="15.75" customHeight="1">
      <c r="A205" s="34"/>
      <c r="B205" s="3"/>
      <c r="C205" s="3"/>
      <c r="D205" s="3"/>
      <c r="E205" s="3"/>
      <c r="F205" s="3"/>
      <c r="G205" s="3"/>
      <c r="H205" s="3"/>
      <c r="I205" s="3"/>
      <c r="J205" s="3"/>
      <c r="K205" s="3"/>
      <c r="L205" s="3"/>
      <c r="M205" s="3"/>
      <c r="N205" s="3"/>
      <c r="O205" s="3"/>
      <c r="P205" s="3"/>
      <c r="Q205" s="3"/>
      <c r="R205" s="3"/>
      <c r="S205" s="3"/>
      <c r="T205" s="3"/>
    </row>
    <row r="206" ht="15.75" customHeight="1">
      <c r="A206" s="34"/>
      <c r="B206" s="3"/>
      <c r="C206" s="3"/>
      <c r="D206" s="3"/>
      <c r="E206" s="3"/>
      <c r="F206" s="3"/>
      <c r="G206" s="3"/>
      <c r="H206" s="3"/>
      <c r="I206" s="3"/>
      <c r="J206" s="3"/>
      <c r="K206" s="3"/>
      <c r="L206" s="3"/>
      <c r="M206" s="3"/>
      <c r="N206" s="3"/>
      <c r="O206" s="3"/>
      <c r="P206" s="3"/>
      <c r="Q206" s="3"/>
      <c r="R206" s="3"/>
      <c r="S206" s="3"/>
      <c r="T206" s="3"/>
    </row>
    <row r="207" ht="15.75" customHeight="1">
      <c r="A207" s="34"/>
      <c r="B207" s="3"/>
      <c r="C207" s="3"/>
      <c r="D207" s="3"/>
      <c r="E207" s="3"/>
      <c r="F207" s="3"/>
      <c r="G207" s="3"/>
      <c r="H207" s="3"/>
      <c r="I207" s="3"/>
      <c r="J207" s="3"/>
      <c r="K207" s="3"/>
      <c r="L207" s="3"/>
      <c r="M207" s="3"/>
      <c r="N207" s="3"/>
      <c r="O207" s="3"/>
      <c r="P207" s="3"/>
      <c r="Q207" s="3"/>
      <c r="R207" s="3"/>
      <c r="S207" s="3"/>
      <c r="T207" s="3"/>
    </row>
    <row r="208" ht="15.75" customHeight="1">
      <c r="A208" s="34"/>
      <c r="B208" s="3"/>
      <c r="C208" s="3"/>
      <c r="D208" s="3"/>
      <c r="E208" s="3"/>
      <c r="F208" s="3"/>
      <c r="G208" s="3"/>
      <c r="H208" s="3"/>
      <c r="I208" s="3"/>
      <c r="J208" s="3"/>
      <c r="K208" s="3"/>
      <c r="L208" s="3"/>
      <c r="M208" s="3"/>
      <c r="N208" s="3"/>
      <c r="O208" s="3"/>
      <c r="P208" s="3"/>
      <c r="Q208" s="3"/>
      <c r="R208" s="3"/>
      <c r="S208" s="3"/>
      <c r="T208" s="3"/>
    </row>
    <row r="209" ht="15.75" customHeight="1">
      <c r="A209" s="34"/>
      <c r="B209" s="3"/>
      <c r="C209" s="3"/>
      <c r="D209" s="3"/>
      <c r="E209" s="3"/>
      <c r="F209" s="3"/>
      <c r="G209" s="3"/>
      <c r="H209" s="3"/>
      <c r="I209" s="3"/>
      <c r="J209" s="3"/>
      <c r="K209" s="3"/>
      <c r="L209" s="3"/>
      <c r="M209" s="3"/>
      <c r="N209" s="3"/>
      <c r="O209" s="3"/>
      <c r="P209" s="3"/>
      <c r="Q209" s="3"/>
      <c r="R209" s="3"/>
      <c r="S209" s="3"/>
      <c r="T209" s="3"/>
    </row>
    <row r="210" ht="15.75" customHeight="1">
      <c r="A210" s="34"/>
      <c r="B210" s="3"/>
      <c r="C210" s="3"/>
      <c r="D210" s="3"/>
      <c r="E210" s="3"/>
      <c r="F210" s="3"/>
      <c r="G210" s="3"/>
      <c r="H210" s="3"/>
      <c r="I210" s="3"/>
      <c r="J210" s="3"/>
      <c r="K210" s="3"/>
      <c r="L210" s="3"/>
      <c r="M210" s="3"/>
      <c r="N210" s="3"/>
      <c r="O210" s="3"/>
      <c r="P210" s="3"/>
      <c r="Q210" s="3"/>
      <c r="R210" s="3"/>
      <c r="S210" s="3"/>
      <c r="T210" s="3"/>
    </row>
    <row r="211" ht="15.75" customHeight="1">
      <c r="A211" s="34"/>
      <c r="B211" s="3"/>
      <c r="C211" s="3"/>
      <c r="D211" s="3"/>
      <c r="E211" s="3"/>
      <c r="F211" s="3"/>
      <c r="G211" s="3"/>
      <c r="H211" s="3"/>
      <c r="I211" s="3"/>
      <c r="J211" s="3"/>
      <c r="K211" s="3"/>
      <c r="L211" s="3"/>
      <c r="M211" s="3"/>
      <c r="N211" s="3"/>
      <c r="O211" s="3"/>
      <c r="P211" s="3"/>
      <c r="Q211" s="3"/>
      <c r="R211" s="3"/>
      <c r="S211" s="3"/>
      <c r="T211" s="3"/>
    </row>
    <row r="212" ht="15.75" customHeight="1">
      <c r="A212" s="34"/>
      <c r="B212" s="3"/>
      <c r="C212" s="3"/>
      <c r="D212" s="3"/>
      <c r="E212" s="3"/>
      <c r="F212" s="3"/>
      <c r="G212" s="3"/>
      <c r="H212" s="3"/>
      <c r="I212" s="3"/>
      <c r="J212" s="3"/>
      <c r="K212" s="3"/>
      <c r="L212" s="3"/>
      <c r="M212" s="3"/>
      <c r="N212" s="3"/>
      <c r="O212" s="3"/>
      <c r="P212" s="3"/>
      <c r="Q212" s="3"/>
      <c r="R212" s="3"/>
      <c r="S212" s="3"/>
      <c r="T212" s="3"/>
    </row>
    <row r="213" ht="15.75" customHeight="1">
      <c r="A213" s="34"/>
      <c r="B213" s="3"/>
      <c r="C213" s="3"/>
      <c r="D213" s="3"/>
      <c r="E213" s="3"/>
      <c r="F213" s="3"/>
      <c r="G213" s="3"/>
      <c r="H213" s="3"/>
      <c r="I213" s="3"/>
      <c r="J213" s="3"/>
      <c r="K213" s="3"/>
      <c r="L213" s="3"/>
      <c r="M213" s="3"/>
      <c r="N213" s="3"/>
      <c r="O213" s="3"/>
      <c r="P213" s="3"/>
      <c r="Q213" s="3"/>
      <c r="R213" s="3"/>
      <c r="S213" s="3"/>
      <c r="T213" s="3"/>
    </row>
    <row r="214" ht="15.75" customHeight="1">
      <c r="A214" s="34"/>
      <c r="B214" s="3"/>
      <c r="C214" s="3"/>
      <c r="D214" s="3"/>
      <c r="E214" s="3"/>
      <c r="F214" s="3"/>
      <c r="G214" s="3"/>
      <c r="H214" s="3"/>
      <c r="I214" s="3"/>
      <c r="J214" s="3"/>
      <c r="K214" s="3"/>
      <c r="L214" s="3"/>
      <c r="M214" s="3"/>
      <c r="N214" s="3"/>
      <c r="O214" s="3"/>
      <c r="P214" s="3"/>
      <c r="Q214" s="3"/>
      <c r="R214" s="3"/>
      <c r="S214" s="3"/>
      <c r="T214" s="3"/>
    </row>
    <row r="215" ht="15.75" customHeight="1">
      <c r="A215" s="34"/>
      <c r="B215" s="3"/>
      <c r="C215" s="3"/>
      <c r="D215" s="3"/>
      <c r="E215" s="3"/>
      <c r="F215" s="3"/>
      <c r="G215" s="3"/>
      <c r="H215" s="3"/>
      <c r="I215" s="3"/>
      <c r="J215" s="3"/>
      <c r="K215" s="3"/>
      <c r="L215" s="3"/>
      <c r="M215" s="3"/>
      <c r="N215" s="3"/>
      <c r="O215" s="3"/>
      <c r="P215" s="3"/>
      <c r="Q215" s="3"/>
      <c r="R215" s="3"/>
      <c r="S215" s="3"/>
      <c r="T215" s="3"/>
    </row>
    <row r="216" ht="15.75" customHeight="1">
      <c r="A216" s="34"/>
      <c r="B216" s="3"/>
      <c r="C216" s="3"/>
      <c r="D216" s="3"/>
      <c r="E216" s="3"/>
      <c r="F216" s="3"/>
      <c r="G216" s="3"/>
      <c r="H216" s="3"/>
      <c r="I216" s="3"/>
      <c r="J216" s="3"/>
      <c r="K216" s="3"/>
      <c r="L216" s="3"/>
      <c r="M216" s="3"/>
      <c r="N216" s="3"/>
      <c r="O216" s="3"/>
      <c r="P216" s="3"/>
      <c r="Q216" s="3"/>
      <c r="R216" s="3"/>
      <c r="S216" s="3"/>
      <c r="T216" s="3"/>
    </row>
    <row r="217" ht="15.75" customHeight="1">
      <c r="A217" s="34"/>
      <c r="B217" s="3"/>
      <c r="C217" s="3"/>
      <c r="D217" s="3"/>
      <c r="E217" s="3"/>
      <c r="F217" s="3"/>
      <c r="G217" s="3"/>
      <c r="H217" s="3"/>
      <c r="I217" s="3"/>
      <c r="J217" s="3"/>
      <c r="K217" s="3"/>
      <c r="L217" s="3"/>
      <c r="M217" s="3"/>
      <c r="N217" s="3"/>
      <c r="O217" s="3"/>
      <c r="P217" s="3"/>
      <c r="Q217" s="3"/>
      <c r="R217" s="3"/>
      <c r="S217" s="3"/>
      <c r="T217" s="3"/>
    </row>
    <row r="218" ht="15.75" customHeight="1">
      <c r="A218" s="34"/>
      <c r="B218" s="3"/>
      <c r="C218" s="3"/>
      <c r="D218" s="3"/>
      <c r="E218" s="3"/>
      <c r="F218" s="3"/>
      <c r="G218" s="3"/>
      <c r="H218" s="3"/>
      <c r="I218" s="3"/>
      <c r="J218" s="3"/>
      <c r="K218" s="3"/>
      <c r="L218" s="3"/>
      <c r="M218" s="3"/>
      <c r="N218" s="3"/>
      <c r="O218" s="3"/>
      <c r="P218" s="3"/>
      <c r="Q218" s="3"/>
      <c r="R218" s="3"/>
      <c r="S218" s="3"/>
      <c r="T218" s="3"/>
    </row>
    <row r="219" ht="15.75" customHeight="1">
      <c r="A219" s="34"/>
      <c r="B219" s="3"/>
      <c r="C219" s="3"/>
      <c r="D219" s="3"/>
      <c r="E219" s="3"/>
      <c r="F219" s="3"/>
      <c r="G219" s="3"/>
      <c r="H219" s="3"/>
      <c r="I219" s="3"/>
      <c r="J219" s="3"/>
      <c r="K219" s="3"/>
      <c r="L219" s="3"/>
      <c r="M219" s="3"/>
      <c r="N219" s="3"/>
      <c r="O219" s="3"/>
      <c r="P219" s="3"/>
      <c r="Q219" s="3"/>
      <c r="R219" s="3"/>
      <c r="S219" s="3"/>
      <c r="T219" s="3"/>
    </row>
    <row r="220" ht="15.75" customHeight="1">
      <c r="A220" s="34"/>
      <c r="B220" s="3"/>
      <c r="C220" s="3"/>
      <c r="D220" s="3"/>
      <c r="E220" s="3"/>
      <c r="F220" s="3"/>
      <c r="G220" s="3"/>
      <c r="H220" s="3"/>
      <c r="I220" s="3"/>
      <c r="J220" s="3"/>
      <c r="K220" s="3"/>
      <c r="L220" s="3"/>
      <c r="M220" s="3"/>
      <c r="N220" s="3"/>
      <c r="O220" s="3"/>
      <c r="P220" s="3"/>
      <c r="Q220" s="3"/>
      <c r="R220" s="3"/>
      <c r="S220" s="3"/>
      <c r="T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3:G3"/>
    <mergeCell ref="A6:H6"/>
  </mergeCells>
  <dataValidations>
    <dataValidation type="list" allowBlank="1" sqref="J8:J13">
      <formula1>"ONGOING TC CREATION,ONGOING TESTING,FOR UAT REVIEW,FOR INVESTIGATION OF DEV,DONE CREATION OF TC,FOR UAT TESTING"</formula1>
    </dataValidation>
  </dataValidations>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5"/>
    <col customWidth="1" min="2" max="2" width="73.88"/>
    <col customWidth="1" min="3" max="26" width="12.5"/>
  </cols>
  <sheetData>
    <row r="1" ht="15.75" customHeight="1">
      <c r="A1" s="401" t="s">
        <v>3142</v>
      </c>
      <c r="B1" s="16"/>
    </row>
    <row r="2" ht="15.75" customHeight="1">
      <c r="A2" s="402" t="s">
        <v>3143</v>
      </c>
      <c r="B2" s="402" t="s">
        <v>3144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c r="A12" s="402" t="s">
        <v>3145</v>
      </c>
      <c r="B12" s="402" t="s">
        <v>3144</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2023-10-02T11:48:35Z</dcterms:created>
</cp:coreProperties>
</file>